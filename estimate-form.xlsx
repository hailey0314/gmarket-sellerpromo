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한가위빅세일 프로모션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</fonts>
  <fills count="5">
    <fill>
      <patternFill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1">
    <xf numFmtId="0" fontId="0" fillId="0" borderId="0" applyAlignment="1" pivotButton="0" quotePrefix="0" xfId="0">
      <alignment vertical="bottom"/>
    </xf>
    <xf numFmtId="0" fontId="1" fillId="2" borderId="1" pivotButton="0" quotePrefix="0" xfId="0"/>
    <xf numFmtId="0" fontId="2" fillId="3" borderId="1" pivotButton="0" quotePrefix="0" xfId="0"/>
    <xf numFmtId="9" fontId="2" fillId="3" borderId="1" pivotButton="0" quotePrefix="0" xfId="0"/>
    <xf numFmtId="0" fontId="1" fillId="0" borderId="0" pivotButton="0" quotePrefix="0" xfId="0"/>
    <xf numFmtId="0" fontId="2" fillId="0" borderId="1" pivotButton="0" quotePrefix="0" xfId="0"/>
    <xf numFmtId="3" fontId="2" fillId="0" borderId="1" pivotButton="0" quotePrefix="0" xfId="0"/>
    <xf numFmtId="9" fontId="2" fillId="0" borderId="1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2" fillId="4" borderId="0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3" fontId="2" fillId="0" borderId="1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B2:W220"/>
  <sheetViews>
    <sheetView workbookViewId="0">
      <selection activeCell="A1" sqref="A1"/>
    </sheetView>
  </sheetViews>
  <sheetFormatPr baseColWidth="8" defaultColWidth="12.63" defaultRowHeight="15.75" customHeight="1"/>
  <cols>
    <col width="3" customWidth="1" style="20" min="1" max="1"/>
  </cols>
  <sheetData>
    <row r="2">
      <c r="B2" s="1" t="inlineStr">
        <is>
          <t>G마켓ID</t>
        </is>
      </c>
      <c r="C2" s="1" t="inlineStr">
        <is>
          <t>옥션ID</t>
        </is>
      </c>
      <c r="D2" s="1" t="inlineStr">
        <is>
          <t>적용수수료율(프로모션 수수료 2% 포함)</t>
        </is>
      </c>
      <c r="E2" s="1" t="n"/>
    </row>
    <row r="3">
      <c r="B3" s="2" t="n"/>
      <c r="C3" s="2" t="n"/>
      <c r="D3" s="3" t="n">
        <v>0.15</v>
      </c>
      <c r="E3" s="2" t="n"/>
    </row>
    <row r="4">
      <c r="B4" s="1" t="inlineStr">
        <is>
          <t>담당자+직함</t>
        </is>
      </c>
      <c r="C4" s="1" t="inlineStr">
        <is>
          <t>휴대전화</t>
        </is>
      </c>
      <c r="D4" s="1" t="inlineStr">
        <is>
          <t>메일</t>
        </is>
      </c>
      <c r="E4" s="1" t="inlineStr">
        <is>
          <t>네이트온</t>
        </is>
      </c>
    </row>
    <row r="5">
      <c r="B5" s="2" t="n"/>
      <c r="C5" s="2" t="n"/>
      <c r="D5" s="2" t="n"/>
      <c r="E5" s="2" t="n"/>
    </row>
    <row r="7">
      <c r="B7" s="4" t="inlineStr">
        <is>
          <t>* 한가위빅세일 쿠폰 (전액 당사부담)</t>
        </is>
      </c>
      <c r="I7" s="4" t="inlineStr">
        <is>
          <t>* 카드 결제할인</t>
        </is>
      </c>
    </row>
    <row r="8">
      <c r="B8" s="1" t="inlineStr">
        <is>
          <t>구분</t>
        </is>
      </c>
      <c r="C8" s="1" t="inlineStr">
        <is>
          <t>최저</t>
        </is>
      </c>
      <c r="D8" s="1" t="inlineStr">
        <is>
          <t>요율</t>
        </is>
      </c>
      <c r="E8" s="1" t="inlineStr">
        <is>
          <t>최대</t>
        </is>
      </c>
      <c r="F8" s="1" t="inlineStr">
        <is>
          <t>발급/분담</t>
        </is>
      </c>
      <c r="G8" s="1" t="inlineStr">
        <is>
          <t>비고</t>
        </is>
      </c>
      <c r="I8" s="1" t="inlineStr">
        <is>
          <t>구분</t>
        </is>
      </c>
      <c r="J8" s="1" t="inlineStr">
        <is>
          <t>최저</t>
        </is>
      </c>
      <c r="K8" s="1" t="inlineStr">
        <is>
          <t>할인율</t>
        </is>
      </c>
      <c r="L8" s="1" t="inlineStr">
        <is>
          <t>한도</t>
        </is>
      </c>
      <c r="M8" s="1" t="inlineStr">
        <is>
          <t>당사</t>
        </is>
      </c>
      <c r="N8" s="1" t="inlineStr">
        <is>
          <t>셀러</t>
        </is>
      </c>
      <c r="O8" s="1" t="inlineStr">
        <is>
          <t>카드</t>
        </is>
      </c>
      <c r="P8" s="1" t="inlineStr">
        <is>
          <t>대상 카드사</t>
        </is>
      </c>
    </row>
    <row r="9">
      <c r="B9" s="18" t="inlineStr">
        <is>
          <t>B2</t>
        </is>
      </c>
      <c r="C9" s="19" t="n">
        <v>1</v>
      </c>
      <c r="D9" s="7" t="n">
        <v>0.05</v>
      </c>
      <c r="E9" s="19" t="n">
        <v>2000</v>
      </c>
      <c r="F9" s="18" t="inlineStr">
        <is>
          <t>매일 ID당 3장/당사100%</t>
        </is>
      </c>
      <c r="G9" s="18" t="inlineStr">
        <is>
          <t>전사 Cat. 웹폼 참여셀러</t>
        </is>
      </c>
      <c r="I9" s="18" t="inlineStr">
        <is>
          <t>오늘만</t>
        </is>
      </c>
      <c r="J9" s="19" t="n">
        <v>10000</v>
      </c>
      <c r="K9" s="7" t="n">
        <v>0.12</v>
      </c>
      <c r="L9" s="19" t="n">
        <v>5000</v>
      </c>
      <c r="M9" s="7" t="n">
        <v>0.21</v>
      </c>
      <c r="N9" s="7" t="n">
        <v>0.5</v>
      </c>
      <c r="O9" s="7" t="n">
        <v>0.29</v>
      </c>
      <c r="P9" s="18" t="inlineStr">
        <is>
          <t>10/1 NH·KB·우리·IBK / 10/2 롯데·비씨·하나 / 10/3 삼성 / 10/4 스마일 / 10/5 삼성</t>
        </is>
      </c>
    </row>
    <row r="10">
      <c r="B10" s="18" t="inlineStr">
        <is>
          <t>B2</t>
        </is>
      </c>
      <c r="C10" s="19" t="n">
        <v>50000</v>
      </c>
      <c r="D10" s="7" t="n">
        <v>0.05</v>
      </c>
      <c r="E10" s="19" t="n">
        <v>10000</v>
      </c>
      <c r="F10" s="18" t="inlineStr">
        <is>
          <t>매일 ID당 3장/당사100%</t>
        </is>
      </c>
      <c r="G10" s="18" t="inlineStr">
        <is>
          <t>전사 Cat. 웹폼 참여셀러</t>
        </is>
      </c>
      <c r="I10" s="18" t="inlineStr">
        <is>
          <t>매일</t>
        </is>
      </c>
      <c r="J10" s="19" t="n">
        <v>10000</v>
      </c>
      <c r="K10" s="7" t="n">
        <v>0.07000000000000001</v>
      </c>
      <c r="L10" s="19" t="n">
        <v>20000</v>
      </c>
      <c r="M10" s="18" t="n">
        <v>0</v>
      </c>
      <c r="N10" s="7" t="n">
        <v>0.5</v>
      </c>
      <c r="O10" s="7" t="n">
        <v>0.5</v>
      </c>
      <c r="P10" s="18" t="inlineStr">
        <is>
          <t>꼭현대·스마일·삼성·G삼성·KB·NH·우리·IBK·하나·롯데·비씨</t>
        </is>
      </c>
    </row>
    <row r="11">
      <c r="B11" s="18" t="inlineStr">
        <is>
          <t>B2</t>
        </is>
      </c>
      <c r="C11" s="19" t="n">
        <v>250000</v>
      </c>
      <c r="D11" s="7" t="n">
        <v>0.05</v>
      </c>
      <c r="E11" s="19" t="n">
        <v>30000</v>
      </c>
      <c r="F11" s="18" t="inlineStr">
        <is>
          <t>매일 ID당 3장/당사100%</t>
        </is>
      </c>
      <c r="G11" s="18" t="inlineStr">
        <is>
          <t>전사 Cat. 웹폼 참여셀러</t>
        </is>
      </c>
      <c r="I11" s="18" t="inlineStr">
        <is>
          <t>기타</t>
        </is>
      </c>
      <c r="J11" s="19" t="n">
        <v>10000</v>
      </c>
      <c r="K11" s="7" t="n">
        <v>0.15</v>
      </c>
      <c r="L11" s="19" t="n">
        <v>10000</v>
      </c>
      <c r="M11" s="18" t="n">
        <v>0</v>
      </c>
      <c r="N11" s="7" t="n">
        <v>0.4</v>
      </c>
      <c r="O11" s="7" t="n">
        <v>0.6</v>
      </c>
      <c r="P11" s="18" t="inlineStr">
        <is>
          <t>꼭현대·G삼성</t>
        </is>
      </c>
    </row>
    <row r="12">
      <c r="B12" s="18" t="inlineStr">
        <is>
          <t>B1(인서트)</t>
        </is>
      </c>
      <c r="C12" s="19" t="n">
        <v>10000</v>
      </c>
      <c r="D12" s="7" t="n">
        <v>0.14</v>
      </c>
      <c r="E12" s="19" t="n">
        <v>5000</v>
      </c>
      <c r="F12" s="18" t="inlineStr">
        <is>
          <t>기간 중 1회/당사100%</t>
        </is>
      </c>
      <c r="G12" s="18" t="inlineStr">
        <is>
          <t>대상: 26/08/01~08/05 구매 &amp; 08/06~09/27 구매이력 N 고객</t>
        </is>
      </c>
    </row>
    <row r="14">
      <c r="B14" s="8" t="inlineStr">
        <is>
          <t>* 쿠폰은 전액 당사부담 → 정산 차감 없음. 카드할인 셀러분담분만 정산에서 차감됩니다(최대 분담 카드 기준, 보수적 산출).</t>
        </is>
      </c>
    </row>
    <row r="15">
      <c r="B15" s="8" t="inlineStr">
        <is>
          <t>* 쿠폰은 중복 불가 가정 → 적용 가능한 쿠폰 중 최대 할인 1개 반영.</t>
        </is>
      </c>
    </row>
    <row r="16">
      <c r="B16" s="8" t="inlineStr">
        <is>
          <t>G마켓/옥션 중 1개</t>
        </is>
      </c>
      <c r="C16" s="8" t="inlineStr">
        <is>
          <t>그룹코드/마스터코드X</t>
        </is>
      </c>
    </row>
    <row r="17">
      <c r="I17" s="10" t="inlineStr">
        <is>
          <t>마케팅쿠폰 당사 100%</t>
        </is>
      </c>
      <c r="J17" s="10" t="n"/>
      <c r="K17" s="10" t="n"/>
      <c r="L17" s="10" t="n"/>
      <c r="M17" s="10" t="n"/>
      <c r="N17" s="10" t="n"/>
      <c r="O17" s="10" t="n"/>
      <c r="P17" s="10" t="n"/>
      <c r="Q17" s="10" t="inlineStr">
        <is>
          <t>카드할인</t>
        </is>
      </c>
      <c r="R17" s="10" t="n"/>
      <c r="S17" s="10" t="n"/>
      <c r="T17" s="10" t="n"/>
      <c r="U17" s="10" t="n"/>
      <c r="V17" s="10" t="inlineStr">
        <is>
          <t>정산</t>
        </is>
      </c>
    </row>
    <row r="18">
      <c r="B18" s="11" t="inlineStr">
        <is>
          <t>수동기입</t>
        </is>
      </c>
      <c r="C18" s="11" t="inlineStr">
        <is>
          <t>수동기입</t>
        </is>
      </c>
      <c r="D18" s="11" t="inlineStr">
        <is>
          <t>수동기입</t>
        </is>
      </c>
      <c r="E18" s="11" t="inlineStr">
        <is>
          <t>수동기입</t>
        </is>
      </c>
      <c r="F18" s="11" t="inlineStr">
        <is>
          <t>수동기입</t>
        </is>
      </c>
      <c r="G18" s="13" t="inlineStr">
        <is>
          <t>자동계산</t>
        </is>
      </c>
      <c r="H18" s="13" t="n"/>
      <c r="I18" s="13" t="inlineStr">
        <is>
          <t>자동계산</t>
        </is>
      </c>
      <c r="J18" s="13" t="inlineStr">
        <is>
          <t>자동계산</t>
        </is>
      </c>
      <c r="K18" s="13" t="inlineStr">
        <is>
          <t>자동계산</t>
        </is>
      </c>
      <c r="L18" s="13" t="inlineStr">
        <is>
          <t>자동계산</t>
        </is>
      </c>
      <c r="M18" s="13" t="n"/>
      <c r="N18" s="13" t="inlineStr">
        <is>
          <t>자동계산</t>
        </is>
      </c>
      <c r="O18" s="13" t="inlineStr">
        <is>
          <t>자동계산</t>
        </is>
      </c>
      <c r="P18" s="13" t="n"/>
      <c r="Q18" s="13" t="inlineStr">
        <is>
          <t>자동계산</t>
        </is>
      </c>
      <c r="R18" s="13" t="inlineStr">
        <is>
          <t>자동계산</t>
        </is>
      </c>
      <c r="S18" s="13" t="inlineStr">
        <is>
          <t>자동계산</t>
        </is>
      </c>
      <c r="T18" s="13" t="inlineStr">
        <is>
          <t>자동계산</t>
        </is>
      </c>
      <c r="U18" s="13" t="inlineStr">
        <is>
          <t>자동계산</t>
        </is>
      </c>
      <c r="V18" s="13" t="inlineStr">
        <is>
          <t>자동계산</t>
        </is>
      </c>
      <c r="W18" s="13" t="inlineStr">
        <is>
          <t>자동계산</t>
        </is>
      </c>
    </row>
    <row r="19">
      <c r="B19" s="16" t="inlineStr">
        <is>
          <t>사이트</t>
        </is>
      </c>
      <c r="C19" s="16" t="inlineStr">
        <is>
          <t>상품코드</t>
        </is>
      </c>
      <c r="D19" s="16" t="inlineStr">
        <is>
          <t>상품명</t>
        </is>
      </c>
      <c r="E19" s="16" t="inlineStr">
        <is>
          <t>정상소비자가</t>
        </is>
      </c>
      <c r="F19" s="16" t="inlineStr">
        <is>
          <t>판매자할인</t>
        </is>
      </c>
      <c r="G19" s="16" t="inlineStr">
        <is>
          <t>판매자할인
적용가</t>
        </is>
      </c>
      <c r="H19" s="17" t="n"/>
      <c r="I19" s="17">
        <f>B9&amp;" "&amp;TEXT(D9,"0%")&amp;"
"&amp;TEXT(C9,"#,##0")&amp;"원↑"</f>
        <v/>
      </c>
      <c r="J19" s="17">
        <f>B10&amp;" "&amp;TEXT(D10,"0%")&amp;"
"&amp;TEXT(C10,"#,##0")&amp;"원↑"</f>
        <v/>
      </c>
      <c r="K19" s="17">
        <f>B11&amp;" "&amp;TEXT(D11,"0%")&amp;"
"&amp;TEXT(C11,"#,##0")&amp;"원↑"</f>
        <v/>
      </c>
      <c r="L19" s="16">
        <f>B12&amp;" "&amp;TEXT(D12,"0%")</f>
        <v/>
      </c>
      <c r="M19" s="17" t="n"/>
      <c r="N19" s="16" t="inlineStr">
        <is>
          <t>최대쿠폰</t>
        </is>
      </c>
      <c r="O19" s="16" t="inlineStr">
        <is>
          <t>쿠폰적용가</t>
        </is>
      </c>
      <c r="P19" s="17" t="n"/>
      <c r="Q19" s="16">
        <f>"오늘만 "&amp;TEXT(K9,"0%")</f>
        <v/>
      </c>
      <c r="R19" s="16">
        <f>"매일 "&amp;TEXT(K10,"0%")</f>
        <v/>
      </c>
      <c r="S19" s="16">
        <f>"기타 "&amp;TEXT(K11,"0%")</f>
        <v/>
      </c>
      <c r="T19" s="17" t="inlineStr">
        <is>
          <t>최대
카드할인</t>
        </is>
      </c>
      <c r="U19" s="16" t="inlineStr">
        <is>
          <t>최종혜택가</t>
        </is>
      </c>
      <c r="V19" s="17" t="inlineStr">
        <is>
          <t>셀러
카드분담(최대)</t>
        </is>
      </c>
      <c r="W19" s="17" t="inlineStr">
        <is>
          <t>예상
정산금액</t>
        </is>
      </c>
    </row>
    <row r="20">
      <c r="B20" s="18" t="n"/>
      <c r="C20" s="18" t="n"/>
      <c r="D20" s="18" t="n"/>
      <c r="E20" s="18" t="n"/>
      <c r="F20" s="18" t="n"/>
      <c r="G20" s="18" t="n"/>
      <c r="H20" s="18" t="n"/>
      <c r="I20" s="18" t="n"/>
      <c r="J20" s="18" t="n"/>
      <c r="K20" s="18" t="n"/>
      <c r="L20" s="18" t="n"/>
      <c r="M20" s="18" t="n"/>
      <c r="N20" s="18" t="n"/>
      <c r="O20" s="18" t="n"/>
      <c r="P20" s="18" t="n"/>
      <c r="Q20" s="18" t="n"/>
      <c r="R20" s="18" t="n"/>
      <c r="S20" s="18" t="n"/>
      <c r="T20" s="18" t="n"/>
      <c r="U20" s="18" t="n"/>
      <c r="V20" s="18" t="n"/>
      <c r="W20" s="18" t="n"/>
    </row>
    <row r="21">
      <c r="B21" s="18" t="inlineStr">
        <is>
          <t>G마켓</t>
        </is>
      </c>
      <c r="C21" s="18" t="inlineStr">
        <is>
          <t>예시001</t>
        </is>
      </c>
      <c r="D21" s="18" t="inlineStr">
        <is>
          <t>(예시) 스테인리스 텀블러</t>
        </is>
      </c>
      <c r="E21" s="19" t="n">
        <v>32000</v>
      </c>
      <c r="F21" s="19" t="n">
        <v>2000</v>
      </c>
      <c r="G21" s="19">
        <f>IF(E21="","",E21-N(F21))</f>
        <v/>
      </c>
      <c r="H21" s="19" t="n"/>
      <c r="I21" s="19">
        <f>IF(G21="","",IF(G21&gt;=$C$9,IF(B21="G마켓",ROUNDDOWN(MIN(G21*$D$9,$E$9),0),ROUNDUP(MIN(G21*$D$9,$E$9),0)),0))</f>
        <v/>
      </c>
      <c r="J21" s="19">
        <f>IF(G21="","",IF(G21&gt;=$C$10,IF(B21="G마켓",ROUNDDOWN(MIN(G21*$D$10,$E$10),0),ROUNDUP(MIN(G21*$D$10,$E$10),0)),0))</f>
        <v/>
      </c>
      <c r="K21" s="19">
        <f>IF(G21="","",IF(G21&gt;=$C$11,IF(B21="G마켓",ROUNDDOWN(MIN(G21*$D$11,$E$11),0),ROUNDUP(MIN(G21*$D$11,$E$11),0)),0))</f>
        <v/>
      </c>
      <c r="L21" s="19">
        <f>IF(G21="","",IF(G21&gt;=$C$12,IF(B21="G마켓",ROUNDDOWN(MIN(G21*$D$12,$E$12),0),ROUNDUP(MIN(G21*$D$12,$E$12),0)),0))</f>
        <v/>
      </c>
      <c r="M21" s="19" t="n"/>
      <c r="N21" s="19">
        <f>IF(G21="","",MAX(I21,J21,K21,L21))</f>
        <v/>
      </c>
      <c r="O21" s="19">
        <f>IF(G21="","",G21-N21)</f>
        <v/>
      </c>
      <c r="P21" s="19" t="n"/>
      <c r="Q21" s="19">
        <f>IF(O21="","",IF(O21&gt;=$J$9,IF(B21="G마켓",ROUNDDOWN(MIN(O21*$K$9,$L$9),0),ROUNDUP(MIN(O21*$K$9,$L$9),0)),0))</f>
        <v/>
      </c>
      <c r="R21" s="19">
        <f>IF(O21="","",IF(O21&gt;=$J$10,IF(B21="G마켓",ROUNDDOWN(MIN(O21*$K$10,$L$10),0),ROUNDUP(MIN(O21*$K$10,$L$10),0)),0))</f>
        <v/>
      </c>
      <c r="S21" s="19">
        <f>IF(O21="","",IF(O21&gt;=$J$11,IF(B21="G마켓",ROUNDDOWN(MIN(O21*$K$11,$L$11),0),ROUNDUP(MIN(O21*$K$11,$L$11),0)),0))</f>
        <v/>
      </c>
      <c r="T21" s="19">
        <f>IF(O21="","",MAX(Q21,R21,S21))</f>
        <v/>
      </c>
      <c r="U21" s="19">
        <f>IF(O21="","",O21-T21)</f>
        <v/>
      </c>
      <c r="V21" s="19">
        <f>IF(O21="","",IF(B21="G마켓",ROUNDDOWN(MAX(Q21*$N$9,R21*$N$10,S21*$N$11),0),ROUNDUP(MAX(Q21*$N$9,R21*$N$10,S21*$N$11),0)))</f>
        <v/>
      </c>
      <c r="W21" s="19">
        <f>IF(G21="","",IF(B21="G마켓",ROUNDDOWN(G21-G21*$D$3-V21,0),ROUNDUP(G21-G21*$D$3-V21,0)))</f>
        <v/>
      </c>
    </row>
    <row r="22">
      <c r="B22" s="18" t="inlineStr">
        <is>
          <t>옥션</t>
        </is>
      </c>
      <c r="C22" s="18" t="inlineStr">
        <is>
          <t>예시002</t>
        </is>
      </c>
      <c r="D22" s="18" t="inlineStr">
        <is>
          <t>(예시) 무선청소기</t>
        </is>
      </c>
      <c r="E22" s="19" t="n">
        <v>299000</v>
      </c>
      <c r="F22" s="19" t="n">
        <v>20000</v>
      </c>
      <c r="G22" s="19">
        <f>IF(E22="","",E22-N(F22))</f>
        <v/>
      </c>
      <c r="H22" s="19" t="n"/>
      <c r="I22" s="19">
        <f>IF(G22="","",IF(G22&gt;=$C$9,IF(B22="G마켓",ROUNDDOWN(MIN(G22*$D$9,$E$9),0),ROUNDUP(MIN(G22*$D$9,$E$9),0)),0))</f>
        <v/>
      </c>
      <c r="J22" s="19">
        <f>IF(G22="","",IF(G22&gt;=$C$10,IF(B22="G마켓",ROUNDDOWN(MIN(G22*$D$10,$E$10),0),ROUNDUP(MIN(G22*$D$10,$E$10),0)),0))</f>
        <v/>
      </c>
      <c r="K22" s="19">
        <f>IF(G22="","",IF(G22&gt;=$C$11,IF(B22="G마켓",ROUNDDOWN(MIN(G22*$D$11,$E$11),0),ROUNDUP(MIN(G22*$D$11,$E$11),0)),0))</f>
        <v/>
      </c>
      <c r="L22" s="19">
        <f>IF(G22="","",IF(G22&gt;=$C$12,IF(B22="G마켓",ROUNDDOWN(MIN(G22*$D$12,$E$12),0),ROUNDUP(MIN(G22*$D$12,$E$12),0)),0))</f>
        <v/>
      </c>
      <c r="M22" s="19" t="n"/>
      <c r="N22" s="19">
        <f>IF(G22="","",MAX(I22,J22,K22,L22))</f>
        <v/>
      </c>
      <c r="O22" s="19">
        <f>IF(G22="","",G22-N22)</f>
        <v/>
      </c>
      <c r="P22" s="19" t="n"/>
      <c r="Q22" s="19">
        <f>IF(O22="","",IF(O22&gt;=$J$9,IF(B22="G마켓",ROUNDDOWN(MIN(O22*$K$9,$L$9),0),ROUNDUP(MIN(O22*$K$9,$L$9),0)),0))</f>
        <v/>
      </c>
      <c r="R22" s="19">
        <f>IF(O22="","",IF(O22&gt;=$J$10,IF(B22="G마켓",ROUNDDOWN(MIN(O22*$K$10,$L$10),0),ROUNDUP(MIN(O22*$K$10,$L$10),0)),0))</f>
        <v/>
      </c>
      <c r="S22" s="19">
        <f>IF(O22="","",IF(O22&gt;=$J$11,IF(B22="G마켓",ROUNDDOWN(MIN(O22*$K$11,$L$11),0),ROUNDUP(MIN(O22*$K$11,$L$11),0)),0))</f>
        <v/>
      </c>
      <c r="T22" s="19">
        <f>IF(O22="","",MAX(Q22,R22,S22))</f>
        <v/>
      </c>
      <c r="U22" s="19">
        <f>IF(O22="","",O22-T22)</f>
        <v/>
      </c>
      <c r="V22" s="19">
        <f>IF(O22="","",IF(B22="G마켓",ROUNDDOWN(MAX(Q22*$N$9,R22*$N$10,S22*$N$11),0),ROUNDUP(MAX(Q22*$N$9,R22*$N$10,S22*$N$11),0)))</f>
        <v/>
      </c>
      <c r="W22" s="19">
        <f>IF(G22="","",IF(B22="G마켓",ROUNDDOWN(G22-G22*$D$3-V22,0),ROUNDUP(G22-G22*$D$3-V22,0)))</f>
        <v/>
      </c>
    </row>
    <row r="23">
      <c r="B23" s="18" t="n"/>
      <c r="C23" s="18" t="n"/>
      <c r="D23" s="18" t="n"/>
      <c r="E23" s="19" t="n"/>
      <c r="F23" s="19" t="n"/>
      <c r="G23" s="19">
        <f>IF(E23="","",E23-N(F23))</f>
        <v/>
      </c>
      <c r="H23" s="19" t="n"/>
      <c r="I23" s="19">
        <f>IF(G23="","",IF(G23&gt;=$C$9,IF(B23="G마켓",ROUNDDOWN(MIN(G23*$D$9,$E$9),0),ROUNDUP(MIN(G23*$D$9,$E$9),0)),0))</f>
        <v/>
      </c>
      <c r="J23" s="19">
        <f>IF(G23="","",IF(G23&gt;=$C$10,IF(B23="G마켓",ROUNDDOWN(MIN(G23*$D$10,$E$10),0),ROUNDUP(MIN(G23*$D$10,$E$10),0)),0))</f>
        <v/>
      </c>
      <c r="K23" s="19">
        <f>IF(G23="","",IF(G23&gt;=$C$11,IF(B23="G마켓",ROUNDDOWN(MIN(G23*$D$11,$E$11),0),ROUNDUP(MIN(G23*$D$11,$E$11),0)),0))</f>
        <v/>
      </c>
      <c r="L23" s="19">
        <f>IF(G23="","",IF(G23&gt;=$C$12,IF(B23="G마켓",ROUNDDOWN(MIN(G23*$D$12,$E$12),0),ROUNDUP(MIN(G23*$D$12,$E$12),0)),0))</f>
        <v/>
      </c>
      <c r="M23" s="19" t="n"/>
      <c r="N23" s="19">
        <f>IF(G23="","",MAX(I23,J23,K23,L23))</f>
        <v/>
      </c>
      <c r="O23" s="19">
        <f>IF(G23="","",G23-N23)</f>
        <v/>
      </c>
      <c r="P23" s="19" t="n"/>
      <c r="Q23" s="19">
        <f>IF(O23="","",IF(O23&gt;=$J$9,IF(B23="G마켓",ROUNDDOWN(MIN(O23*$K$9,$L$9),0),ROUNDUP(MIN(O23*$K$9,$L$9),0)),0))</f>
        <v/>
      </c>
      <c r="R23" s="19">
        <f>IF(O23="","",IF(O23&gt;=$J$10,IF(B23="G마켓",ROUNDDOWN(MIN(O23*$K$10,$L$10),0),ROUNDUP(MIN(O23*$K$10,$L$10),0)),0))</f>
        <v/>
      </c>
      <c r="S23" s="19">
        <f>IF(O23="","",IF(O23&gt;=$J$11,IF(B23="G마켓",ROUNDDOWN(MIN(O23*$K$11,$L$11),0),ROUNDUP(MIN(O23*$K$11,$L$11),0)),0))</f>
        <v/>
      </c>
      <c r="T23" s="19">
        <f>IF(O23="","",MAX(Q23,R23,S23))</f>
        <v/>
      </c>
      <c r="U23" s="19">
        <f>IF(O23="","",O23-T23)</f>
        <v/>
      </c>
      <c r="V23" s="19">
        <f>IF(O23="","",IF(B23="G마켓",ROUNDDOWN(MAX(Q23*$N$9,R23*$N$10,S23*$N$11),0),ROUNDUP(MAX(Q23*$N$9,R23*$N$10,S23*$N$11),0)))</f>
        <v/>
      </c>
      <c r="W23" s="19">
        <f>IF(G23="","",IF(B23="G마켓",ROUNDDOWN(G23-G23*$D$3-V23,0),ROUNDUP(G23-G23*$D$3-V23,0)))</f>
        <v/>
      </c>
    </row>
    <row r="24">
      <c r="B24" s="18" t="n"/>
      <c r="C24" s="18" t="n"/>
      <c r="D24" s="18" t="n"/>
      <c r="E24" s="19" t="n"/>
      <c r="F24" s="19" t="n"/>
      <c r="G24" s="19">
        <f>IF(E24="","",E24-N(F24))</f>
        <v/>
      </c>
      <c r="H24" s="19" t="n"/>
      <c r="I24" s="19">
        <f>IF(G24="","",IF(G24&gt;=$C$9,IF(B24="G마켓",ROUNDDOWN(MIN(G24*$D$9,$E$9),0),ROUNDUP(MIN(G24*$D$9,$E$9),0)),0))</f>
        <v/>
      </c>
      <c r="J24" s="19">
        <f>IF(G24="","",IF(G24&gt;=$C$10,IF(B24="G마켓",ROUNDDOWN(MIN(G24*$D$10,$E$10),0),ROUNDUP(MIN(G24*$D$10,$E$10),0)),0))</f>
        <v/>
      </c>
      <c r="K24" s="19">
        <f>IF(G24="","",IF(G24&gt;=$C$11,IF(B24="G마켓",ROUNDDOWN(MIN(G24*$D$11,$E$11),0),ROUNDUP(MIN(G24*$D$11,$E$11),0)),0))</f>
        <v/>
      </c>
      <c r="L24" s="19">
        <f>IF(G24="","",IF(G24&gt;=$C$12,IF(B24="G마켓",ROUNDDOWN(MIN(G24*$D$12,$E$12),0),ROUNDUP(MIN(G24*$D$12,$E$12),0)),0))</f>
        <v/>
      </c>
      <c r="M24" s="19" t="n"/>
      <c r="N24" s="19">
        <f>IF(G24="","",MAX(I24,J24,K24,L24))</f>
        <v/>
      </c>
      <c r="O24" s="19">
        <f>IF(G24="","",G24-N24)</f>
        <v/>
      </c>
      <c r="P24" s="19" t="n"/>
      <c r="Q24" s="19">
        <f>IF(O24="","",IF(O24&gt;=$J$9,IF(B24="G마켓",ROUNDDOWN(MIN(O24*$K$9,$L$9),0),ROUNDUP(MIN(O24*$K$9,$L$9),0)),0))</f>
        <v/>
      </c>
      <c r="R24" s="19">
        <f>IF(O24="","",IF(O24&gt;=$J$10,IF(B24="G마켓",ROUNDDOWN(MIN(O24*$K$10,$L$10),0),ROUNDUP(MIN(O24*$K$10,$L$10),0)),0))</f>
        <v/>
      </c>
      <c r="S24" s="19">
        <f>IF(O24="","",IF(O24&gt;=$J$11,IF(B24="G마켓",ROUNDDOWN(MIN(O24*$K$11,$L$11),0),ROUNDUP(MIN(O24*$K$11,$L$11),0)),0))</f>
        <v/>
      </c>
      <c r="T24" s="19">
        <f>IF(O24="","",MAX(Q24,R24,S24))</f>
        <v/>
      </c>
      <c r="U24" s="19">
        <f>IF(O24="","",O24-T24)</f>
        <v/>
      </c>
      <c r="V24" s="19">
        <f>IF(O24="","",IF(B24="G마켓",ROUNDDOWN(MAX(Q24*$N$9,R24*$N$10,S24*$N$11),0),ROUNDUP(MAX(Q24*$N$9,R24*$N$10,S24*$N$11),0)))</f>
        <v/>
      </c>
      <c r="W24" s="19">
        <f>IF(G24="","",IF(B24="G마켓",ROUNDDOWN(G24-G24*$D$3-V24,0),ROUNDUP(G24-G24*$D$3-V24,0)))</f>
        <v/>
      </c>
    </row>
    <row r="25">
      <c r="B25" s="18" t="n"/>
      <c r="C25" s="18" t="n"/>
      <c r="D25" s="18" t="n"/>
      <c r="E25" s="19" t="n"/>
      <c r="F25" s="19" t="n"/>
      <c r="G25" s="19">
        <f>IF(E25="","",E25-N(F25))</f>
        <v/>
      </c>
      <c r="H25" s="19" t="n"/>
      <c r="I25" s="19">
        <f>IF(G25="","",IF(G25&gt;=$C$9,IF(B25="G마켓",ROUNDDOWN(MIN(G25*$D$9,$E$9),0),ROUNDUP(MIN(G25*$D$9,$E$9),0)),0))</f>
        <v/>
      </c>
      <c r="J25" s="19">
        <f>IF(G25="","",IF(G25&gt;=$C$10,IF(B25="G마켓",ROUNDDOWN(MIN(G25*$D$10,$E$10),0),ROUNDUP(MIN(G25*$D$10,$E$10),0)),0))</f>
        <v/>
      </c>
      <c r="K25" s="19">
        <f>IF(G25="","",IF(G25&gt;=$C$11,IF(B25="G마켓",ROUNDDOWN(MIN(G25*$D$11,$E$11),0),ROUNDUP(MIN(G25*$D$11,$E$11),0)),0))</f>
        <v/>
      </c>
      <c r="L25" s="19">
        <f>IF(G25="","",IF(G25&gt;=$C$12,IF(B25="G마켓",ROUNDDOWN(MIN(G25*$D$12,$E$12),0),ROUNDUP(MIN(G25*$D$12,$E$12),0)),0))</f>
        <v/>
      </c>
      <c r="M25" s="19" t="n"/>
      <c r="N25" s="19">
        <f>IF(G25="","",MAX(I25,J25,K25,L25))</f>
        <v/>
      </c>
      <c r="O25" s="19">
        <f>IF(G25="","",G25-N25)</f>
        <v/>
      </c>
      <c r="P25" s="19" t="n"/>
      <c r="Q25" s="19">
        <f>IF(O25="","",IF(O25&gt;=$J$9,IF(B25="G마켓",ROUNDDOWN(MIN(O25*$K$9,$L$9),0),ROUNDUP(MIN(O25*$K$9,$L$9),0)),0))</f>
        <v/>
      </c>
      <c r="R25" s="19">
        <f>IF(O25="","",IF(O25&gt;=$J$10,IF(B25="G마켓",ROUNDDOWN(MIN(O25*$K$10,$L$10),0),ROUNDUP(MIN(O25*$K$10,$L$10),0)),0))</f>
        <v/>
      </c>
      <c r="S25" s="19">
        <f>IF(O25="","",IF(O25&gt;=$J$11,IF(B25="G마켓",ROUNDDOWN(MIN(O25*$K$11,$L$11),0),ROUNDUP(MIN(O25*$K$11,$L$11),0)),0))</f>
        <v/>
      </c>
      <c r="T25" s="19">
        <f>IF(O25="","",MAX(Q25,R25,S25))</f>
        <v/>
      </c>
      <c r="U25" s="19">
        <f>IF(O25="","",O25-T25)</f>
        <v/>
      </c>
      <c r="V25" s="19">
        <f>IF(O25="","",IF(B25="G마켓",ROUNDDOWN(MAX(Q25*$N$9,R25*$N$10,S25*$N$11),0),ROUNDUP(MAX(Q25*$N$9,R25*$N$10,S25*$N$11),0)))</f>
        <v/>
      </c>
      <c r="W25" s="19">
        <f>IF(G25="","",IF(B25="G마켓",ROUNDDOWN(G25-G25*$D$3-V25,0),ROUNDUP(G25-G25*$D$3-V25,0)))</f>
        <v/>
      </c>
    </row>
    <row r="26">
      <c r="B26" s="18" t="n"/>
      <c r="C26" s="18" t="n"/>
      <c r="D26" s="18" t="n"/>
      <c r="E26" s="19" t="n"/>
      <c r="F26" s="19" t="n"/>
      <c r="G26" s="19">
        <f>IF(E26="","",E26-N(F26))</f>
        <v/>
      </c>
      <c r="H26" s="19" t="n"/>
      <c r="I26" s="19">
        <f>IF(G26="","",IF(G26&gt;=$C$9,IF(B26="G마켓",ROUNDDOWN(MIN(G26*$D$9,$E$9),0),ROUNDUP(MIN(G26*$D$9,$E$9),0)),0))</f>
        <v/>
      </c>
      <c r="J26" s="19">
        <f>IF(G26="","",IF(G26&gt;=$C$10,IF(B26="G마켓",ROUNDDOWN(MIN(G26*$D$10,$E$10),0),ROUNDUP(MIN(G26*$D$10,$E$10),0)),0))</f>
        <v/>
      </c>
      <c r="K26" s="19">
        <f>IF(G26="","",IF(G26&gt;=$C$11,IF(B26="G마켓",ROUNDDOWN(MIN(G26*$D$11,$E$11),0),ROUNDUP(MIN(G26*$D$11,$E$11),0)),0))</f>
        <v/>
      </c>
      <c r="L26" s="19">
        <f>IF(G26="","",IF(G26&gt;=$C$12,IF(B26="G마켓",ROUNDDOWN(MIN(G26*$D$12,$E$12),0),ROUNDUP(MIN(G26*$D$12,$E$12),0)),0))</f>
        <v/>
      </c>
      <c r="M26" s="19" t="n"/>
      <c r="N26" s="19">
        <f>IF(G26="","",MAX(I26,J26,K26,L26))</f>
        <v/>
      </c>
      <c r="O26" s="19">
        <f>IF(G26="","",G26-N26)</f>
        <v/>
      </c>
      <c r="P26" s="19" t="n"/>
      <c r="Q26" s="19">
        <f>IF(O26="","",IF(O26&gt;=$J$9,IF(B26="G마켓",ROUNDDOWN(MIN(O26*$K$9,$L$9),0),ROUNDUP(MIN(O26*$K$9,$L$9),0)),0))</f>
        <v/>
      </c>
      <c r="R26" s="19">
        <f>IF(O26="","",IF(O26&gt;=$J$10,IF(B26="G마켓",ROUNDDOWN(MIN(O26*$K$10,$L$10),0),ROUNDUP(MIN(O26*$K$10,$L$10),0)),0))</f>
        <v/>
      </c>
      <c r="S26" s="19">
        <f>IF(O26="","",IF(O26&gt;=$J$11,IF(B26="G마켓",ROUNDDOWN(MIN(O26*$K$11,$L$11),0),ROUNDUP(MIN(O26*$K$11,$L$11),0)),0))</f>
        <v/>
      </c>
      <c r="T26" s="19">
        <f>IF(O26="","",MAX(Q26,R26,S26))</f>
        <v/>
      </c>
      <c r="U26" s="19">
        <f>IF(O26="","",O26-T26)</f>
        <v/>
      </c>
      <c r="V26" s="19">
        <f>IF(O26="","",IF(B26="G마켓",ROUNDDOWN(MAX(Q26*$N$9,R26*$N$10,S26*$N$11),0),ROUNDUP(MAX(Q26*$N$9,R26*$N$10,S26*$N$11),0)))</f>
        <v/>
      </c>
      <c r="W26" s="19">
        <f>IF(G26="","",IF(B26="G마켓",ROUNDDOWN(G26-G26*$D$3-V26,0),ROUNDUP(G26-G26*$D$3-V26,0)))</f>
        <v/>
      </c>
    </row>
    <row r="27">
      <c r="B27" s="18" t="n"/>
      <c r="C27" s="18" t="n"/>
      <c r="D27" s="18" t="n"/>
      <c r="E27" s="19" t="n"/>
      <c r="F27" s="19" t="n"/>
      <c r="G27" s="19">
        <f>IF(E27="","",E27-N(F27))</f>
        <v/>
      </c>
      <c r="H27" s="19" t="n"/>
      <c r="I27" s="19">
        <f>IF(G27="","",IF(G27&gt;=$C$9,IF(B27="G마켓",ROUNDDOWN(MIN(G27*$D$9,$E$9),0),ROUNDUP(MIN(G27*$D$9,$E$9),0)),0))</f>
        <v/>
      </c>
      <c r="J27" s="19">
        <f>IF(G27="","",IF(G27&gt;=$C$10,IF(B27="G마켓",ROUNDDOWN(MIN(G27*$D$10,$E$10),0),ROUNDUP(MIN(G27*$D$10,$E$10),0)),0))</f>
        <v/>
      </c>
      <c r="K27" s="19">
        <f>IF(G27="","",IF(G27&gt;=$C$11,IF(B27="G마켓",ROUNDDOWN(MIN(G27*$D$11,$E$11),0),ROUNDUP(MIN(G27*$D$11,$E$11),0)),0))</f>
        <v/>
      </c>
      <c r="L27" s="19">
        <f>IF(G27="","",IF(G27&gt;=$C$12,IF(B27="G마켓",ROUNDDOWN(MIN(G27*$D$12,$E$12),0),ROUNDUP(MIN(G27*$D$12,$E$12),0)),0))</f>
        <v/>
      </c>
      <c r="M27" s="19" t="n"/>
      <c r="N27" s="19">
        <f>IF(G27="","",MAX(I27,J27,K27,L27))</f>
        <v/>
      </c>
      <c r="O27" s="19">
        <f>IF(G27="","",G27-N27)</f>
        <v/>
      </c>
      <c r="P27" s="19" t="n"/>
      <c r="Q27" s="19">
        <f>IF(O27="","",IF(O27&gt;=$J$9,IF(B27="G마켓",ROUNDDOWN(MIN(O27*$K$9,$L$9),0),ROUNDUP(MIN(O27*$K$9,$L$9),0)),0))</f>
        <v/>
      </c>
      <c r="R27" s="19">
        <f>IF(O27="","",IF(O27&gt;=$J$10,IF(B27="G마켓",ROUNDDOWN(MIN(O27*$K$10,$L$10),0),ROUNDUP(MIN(O27*$K$10,$L$10),0)),0))</f>
        <v/>
      </c>
      <c r="S27" s="19">
        <f>IF(O27="","",IF(O27&gt;=$J$11,IF(B27="G마켓",ROUNDDOWN(MIN(O27*$K$11,$L$11),0),ROUNDUP(MIN(O27*$K$11,$L$11),0)),0))</f>
        <v/>
      </c>
      <c r="T27" s="19">
        <f>IF(O27="","",MAX(Q27,R27,S27))</f>
        <v/>
      </c>
      <c r="U27" s="19">
        <f>IF(O27="","",O27-T27)</f>
        <v/>
      </c>
      <c r="V27" s="19">
        <f>IF(O27="","",IF(B27="G마켓",ROUNDDOWN(MAX(Q27*$N$9,R27*$N$10,S27*$N$11),0),ROUNDUP(MAX(Q27*$N$9,R27*$N$10,S27*$N$11),0)))</f>
        <v/>
      </c>
      <c r="W27" s="19">
        <f>IF(G27="","",IF(B27="G마켓",ROUNDDOWN(G27-G27*$D$3-V27,0),ROUNDUP(G27-G27*$D$3-V27,0)))</f>
        <v/>
      </c>
    </row>
    <row r="28">
      <c r="B28" s="18" t="n"/>
      <c r="C28" s="18" t="n"/>
      <c r="D28" s="18" t="n"/>
      <c r="E28" s="19" t="n"/>
      <c r="F28" s="19" t="n"/>
      <c r="G28" s="19">
        <f>IF(E28="","",E28-N(F28))</f>
        <v/>
      </c>
      <c r="H28" s="19" t="n"/>
      <c r="I28" s="19">
        <f>IF(G28="","",IF(G28&gt;=$C$9,IF(B28="G마켓",ROUNDDOWN(MIN(G28*$D$9,$E$9),0),ROUNDUP(MIN(G28*$D$9,$E$9),0)),0))</f>
        <v/>
      </c>
      <c r="J28" s="19">
        <f>IF(G28="","",IF(G28&gt;=$C$10,IF(B28="G마켓",ROUNDDOWN(MIN(G28*$D$10,$E$10),0),ROUNDUP(MIN(G28*$D$10,$E$10),0)),0))</f>
        <v/>
      </c>
      <c r="K28" s="19">
        <f>IF(G28="","",IF(G28&gt;=$C$11,IF(B28="G마켓",ROUNDDOWN(MIN(G28*$D$11,$E$11),0),ROUNDUP(MIN(G28*$D$11,$E$11),0)),0))</f>
        <v/>
      </c>
      <c r="L28" s="19">
        <f>IF(G28="","",IF(G28&gt;=$C$12,IF(B28="G마켓",ROUNDDOWN(MIN(G28*$D$12,$E$12),0),ROUNDUP(MIN(G28*$D$12,$E$12),0)),0))</f>
        <v/>
      </c>
      <c r="M28" s="19" t="n"/>
      <c r="N28" s="19">
        <f>IF(G28="","",MAX(I28,J28,K28,L28))</f>
        <v/>
      </c>
      <c r="O28" s="19">
        <f>IF(G28="","",G28-N28)</f>
        <v/>
      </c>
      <c r="P28" s="19" t="n"/>
      <c r="Q28" s="19">
        <f>IF(O28="","",IF(O28&gt;=$J$9,IF(B28="G마켓",ROUNDDOWN(MIN(O28*$K$9,$L$9),0),ROUNDUP(MIN(O28*$K$9,$L$9),0)),0))</f>
        <v/>
      </c>
      <c r="R28" s="19">
        <f>IF(O28="","",IF(O28&gt;=$J$10,IF(B28="G마켓",ROUNDDOWN(MIN(O28*$K$10,$L$10),0),ROUNDUP(MIN(O28*$K$10,$L$10),0)),0))</f>
        <v/>
      </c>
      <c r="S28" s="19">
        <f>IF(O28="","",IF(O28&gt;=$J$11,IF(B28="G마켓",ROUNDDOWN(MIN(O28*$K$11,$L$11),0),ROUNDUP(MIN(O28*$K$11,$L$11),0)),0))</f>
        <v/>
      </c>
      <c r="T28" s="19">
        <f>IF(O28="","",MAX(Q28,R28,S28))</f>
        <v/>
      </c>
      <c r="U28" s="19">
        <f>IF(O28="","",O28-T28)</f>
        <v/>
      </c>
      <c r="V28" s="19">
        <f>IF(O28="","",IF(B28="G마켓",ROUNDDOWN(MAX(Q28*$N$9,R28*$N$10,S28*$N$11),0),ROUNDUP(MAX(Q28*$N$9,R28*$N$10,S28*$N$11),0)))</f>
        <v/>
      </c>
      <c r="W28" s="19">
        <f>IF(G28="","",IF(B28="G마켓",ROUNDDOWN(G28-G28*$D$3-V28,0),ROUNDUP(G28-G28*$D$3-V28,0)))</f>
        <v/>
      </c>
    </row>
    <row r="29">
      <c r="B29" s="18" t="n"/>
      <c r="C29" s="18" t="n"/>
      <c r="D29" s="18" t="n"/>
      <c r="E29" s="19" t="n"/>
      <c r="F29" s="19" t="n"/>
      <c r="G29" s="19">
        <f>IF(E29="","",E29-N(F29))</f>
        <v/>
      </c>
      <c r="H29" s="19" t="n"/>
      <c r="I29" s="19">
        <f>IF(G29="","",IF(G29&gt;=$C$9,IF(B29="G마켓",ROUNDDOWN(MIN(G29*$D$9,$E$9),0),ROUNDUP(MIN(G29*$D$9,$E$9),0)),0))</f>
        <v/>
      </c>
      <c r="J29" s="19">
        <f>IF(G29="","",IF(G29&gt;=$C$10,IF(B29="G마켓",ROUNDDOWN(MIN(G29*$D$10,$E$10),0),ROUNDUP(MIN(G29*$D$10,$E$10),0)),0))</f>
        <v/>
      </c>
      <c r="K29" s="19">
        <f>IF(G29="","",IF(G29&gt;=$C$11,IF(B29="G마켓",ROUNDDOWN(MIN(G29*$D$11,$E$11),0),ROUNDUP(MIN(G29*$D$11,$E$11),0)),0))</f>
        <v/>
      </c>
      <c r="L29" s="19">
        <f>IF(G29="","",IF(G29&gt;=$C$12,IF(B29="G마켓",ROUNDDOWN(MIN(G29*$D$12,$E$12),0),ROUNDUP(MIN(G29*$D$12,$E$12),0)),0))</f>
        <v/>
      </c>
      <c r="M29" s="19" t="n"/>
      <c r="N29" s="19">
        <f>IF(G29="","",MAX(I29,J29,K29,L29))</f>
        <v/>
      </c>
      <c r="O29" s="19">
        <f>IF(G29="","",G29-N29)</f>
        <v/>
      </c>
      <c r="P29" s="19" t="n"/>
      <c r="Q29" s="19">
        <f>IF(O29="","",IF(O29&gt;=$J$9,IF(B29="G마켓",ROUNDDOWN(MIN(O29*$K$9,$L$9),0),ROUNDUP(MIN(O29*$K$9,$L$9),0)),0))</f>
        <v/>
      </c>
      <c r="R29" s="19">
        <f>IF(O29="","",IF(O29&gt;=$J$10,IF(B29="G마켓",ROUNDDOWN(MIN(O29*$K$10,$L$10),0),ROUNDUP(MIN(O29*$K$10,$L$10),0)),0))</f>
        <v/>
      </c>
      <c r="S29" s="19">
        <f>IF(O29="","",IF(O29&gt;=$J$11,IF(B29="G마켓",ROUNDDOWN(MIN(O29*$K$11,$L$11),0),ROUNDUP(MIN(O29*$K$11,$L$11),0)),0))</f>
        <v/>
      </c>
      <c r="T29" s="19">
        <f>IF(O29="","",MAX(Q29,R29,S29))</f>
        <v/>
      </c>
      <c r="U29" s="19">
        <f>IF(O29="","",O29-T29)</f>
        <v/>
      </c>
      <c r="V29" s="19">
        <f>IF(O29="","",IF(B29="G마켓",ROUNDDOWN(MAX(Q29*$N$9,R29*$N$10,S29*$N$11),0),ROUNDUP(MAX(Q29*$N$9,R29*$N$10,S29*$N$11),0)))</f>
        <v/>
      </c>
      <c r="W29" s="19">
        <f>IF(G29="","",IF(B29="G마켓",ROUNDDOWN(G29-G29*$D$3-V29,0),ROUNDUP(G29-G29*$D$3-V29,0)))</f>
        <v/>
      </c>
    </row>
    <row r="30">
      <c r="B30" s="18" t="n"/>
      <c r="C30" s="18" t="n"/>
      <c r="D30" s="18" t="n"/>
      <c r="E30" s="19" t="n"/>
      <c r="F30" s="19" t="n"/>
      <c r="G30" s="19">
        <f>IF(E30="","",E30-N(F30))</f>
        <v/>
      </c>
      <c r="H30" s="19" t="n"/>
      <c r="I30" s="19">
        <f>IF(G30="","",IF(G30&gt;=$C$9,IF(B30="G마켓",ROUNDDOWN(MIN(G30*$D$9,$E$9),0),ROUNDUP(MIN(G30*$D$9,$E$9),0)),0))</f>
        <v/>
      </c>
      <c r="J30" s="19">
        <f>IF(G30="","",IF(G30&gt;=$C$10,IF(B30="G마켓",ROUNDDOWN(MIN(G30*$D$10,$E$10),0),ROUNDUP(MIN(G30*$D$10,$E$10),0)),0))</f>
        <v/>
      </c>
      <c r="K30" s="19">
        <f>IF(G30="","",IF(G30&gt;=$C$11,IF(B30="G마켓",ROUNDDOWN(MIN(G30*$D$11,$E$11),0),ROUNDUP(MIN(G30*$D$11,$E$11),0)),0))</f>
        <v/>
      </c>
      <c r="L30" s="19">
        <f>IF(G30="","",IF(G30&gt;=$C$12,IF(B30="G마켓",ROUNDDOWN(MIN(G30*$D$12,$E$12),0),ROUNDUP(MIN(G30*$D$12,$E$12),0)),0))</f>
        <v/>
      </c>
      <c r="M30" s="19" t="n"/>
      <c r="N30" s="19">
        <f>IF(G30="","",MAX(I30,J30,K30,L30))</f>
        <v/>
      </c>
      <c r="O30" s="19">
        <f>IF(G30="","",G30-N30)</f>
        <v/>
      </c>
      <c r="P30" s="19" t="n"/>
      <c r="Q30" s="19">
        <f>IF(O30="","",IF(O30&gt;=$J$9,IF(B30="G마켓",ROUNDDOWN(MIN(O30*$K$9,$L$9),0),ROUNDUP(MIN(O30*$K$9,$L$9),0)),0))</f>
        <v/>
      </c>
      <c r="R30" s="19">
        <f>IF(O30="","",IF(O30&gt;=$J$10,IF(B30="G마켓",ROUNDDOWN(MIN(O30*$K$10,$L$10),0),ROUNDUP(MIN(O30*$K$10,$L$10),0)),0))</f>
        <v/>
      </c>
      <c r="S30" s="19">
        <f>IF(O30="","",IF(O30&gt;=$J$11,IF(B30="G마켓",ROUNDDOWN(MIN(O30*$K$11,$L$11),0),ROUNDUP(MIN(O30*$K$11,$L$11),0)),0))</f>
        <v/>
      </c>
      <c r="T30" s="19">
        <f>IF(O30="","",MAX(Q30,R30,S30))</f>
        <v/>
      </c>
      <c r="U30" s="19">
        <f>IF(O30="","",O30-T30)</f>
        <v/>
      </c>
      <c r="V30" s="19">
        <f>IF(O30="","",IF(B30="G마켓",ROUNDDOWN(MAX(Q30*$N$9,R30*$N$10,S30*$N$11),0),ROUNDUP(MAX(Q30*$N$9,R30*$N$10,S30*$N$11),0)))</f>
        <v/>
      </c>
      <c r="W30" s="19">
        <f>IF(G30="","",IF(B30="G마켓",ROUNDDOWN(G30-G30*$D$3-V30,0),ROUNDUP(G30-G30*$D$3-V30,0)))</f>
        <v/>
      </c>
    </row>
    <row r="31">
      <c r="B31" s="18" t="n"/>
      <c r="C31" s="18" t="n"/>
      <c r="D31" s="18" t="n"/>
      <c r="E31" s="19" t="n"/>
      <c r="F31" s="19" t="n"/>
      <c r="G31" s="19">
        <f>IF(E31="","",E31-N(F31))</f>
        <v/>
      </c>
      <c r="H31" s="19" t="n"/>
      <c r="I31" s="19">
        <f>IF(G31="","",IF(G31&gt;=$C$9,IF(B31="G마켓",ROUNDDOWN(MIN(G31*$D$9,$E$9),0),ROUNDUP(MIN(G31*$D$9,$E$9),0)),0))</f>
        <v/>
      </c>
      <c r="J31" s="19">
        <f>IF(G31="","",IF(G31&gt;=$C$10,IF(B31="G마켓",ROUNDDOWN(MIN(G31*$D$10,$E$10),0),ROUNDUP(MIN(G31*$D$10,$E$10),0)),0))</f>
        <v/>
      </c>
      <c r="K31" s="19">
        <f>IF(G31="","",IF(G31&gt;=$C$11,IF(B31="G마켓",ROUNDDOWN(MIN(G31*$D$11,$E$11),0),ROUNDUP(MIN(G31*$D$11,$E$11),0)),0))</f>
        <v/>
      </c>
      <c r="L31" s="19">
        <f>IF(G31="","",IF(G31&gt;=$C$12,IF(B31="G마켓",ROUNDDOWN(MIN(G31*$D$12,$E$12),0),ROUNDUP(MIN(G31*$D$12,$E$12),0)),0))</f>
        <v/>
      </c>
      <c r="M31" s="19" t="n"/>
      <c r="N31" s="19">
        <f>IF(G31="","",MAX(I31,J31,K31,L31))</f>
        <v/>
      </c>
      <c r="O31" s="19">
        <f>IF(G31="","",G31-N31)</f>
        <v/>
      </c>
      <c r="P31" s="19" t="n"/>
      <c r="Q31" s="19">
        <f>IF(O31="","",IF(O31&gt;=$J$9,IF(B31="G마켓",ROUNDDOWN(MIN(O31*$K$9,$L$9),0),ROUNDUP(MIN(O31*$K$9,$L$9),0)),0))</f>
        <v/>
      </c>
      <c r="R31" s="19">
        <f>IF(O31="","",IF(O31&gt;=$J$10,IF(B31="G마켓",ROUNDDOWN(MIN(O31*$K$10,$L$10),0),ROUNDUP(MIN(O31*$K$10,$L$10),0)),0))</f>
        <v/>
      </c>
      <c r="S31" s="19">
        <f>IF(O31="","",IF(O31&gt;=$J$11,IF(B31="G마켓",ROUNDDOWN(MIN(O31*$K$11,$L$11),0),ROUNDUP(MIN(O31*$K$11,$L$11),0)),0))</f>
        <v/>
      </c>
      <c r="T31" s="19">
        <f>IF(O31="","",MAX(Q31,R31,S31))</f>
        <v/>
      </c>
      <c r="U31" s="19">
        <f>IF(O31="","",O31-T31)</f>
        <v/>
      </c>
      <c r="V31" s="19">
        <f>IF(O31="","",IF(B31="G마켓",ROUNDDOWN(MAX(Q31*$N$9,R31*$N$10,S31*$N$11),0),ROUNDUP(MAX(Q31*$N$9,R31*$N$10,S31*$N$11),0)))</f>
        <v/>
      </c>
      <c r="W31" s="19">
        <f>IF(G31="","",IF(B31="G마켓",ROUNDDOWN(G31-G31*$D$3-V31,0),ROUNDUP(G31-G31*$D$3-V31,0)))</f>
        <v/>
      </c>
    </row>
    <row r="32">
      <c r="B32" s="18" t="n"/>
      <c r="C32" s="18" t="n"/>
      <c r="D32" s="18" t="n"/>
      <c r="E32" s="19" t="n"/>
      <c r="F32" s="19" t="n"/>
      <c r="G32" s="19">
        <f>IF(E32="","",E32-N(F32))</f>
        <v/>
      </c>
      <c r="H32" s="19" t="n"/>
      <c r="I32" s="19">
        <f>IF(G32="","",IF(G32&gt;=$C$9,IF(B32="G마켓",ROUNDDOWN(MIN(G32*$D$9,$E$9),0),ROUNDUP(MIN(G32*$D$9,$E$9),0)),0))</f>
        <v/>
      </c>
      <c r="J32" s="19">
        <f>IF(G32="","",IF(G32&gt;=$C$10,IF(B32="G마켓",ROUNDDOWN(MIN(G32*$D$10,$E$10),0),ROUNDUP(MIN(G32*$D$10,$E$10),0)),0))</f>
        <v/>
      </c>
      <c r="K32" s="19">
        <f>IF(G32="","",IF(G32&gt;=$C$11,IF(B32="G마켓",ROUNDDOWN(MIN(G32*$D$11,$E$11),0),ROUNDUP(MIN(G32*$D$11,$E$11),0)),0))</f>
        <v/>
      </c>
      <c r="L32" s="19">
        <f>IF(G32="","",IF(G32&gt;=$C$12,IF(B32="G마켓",ROUNDDOWN(MIN(G32*$D$12,$E$12),0),ROUNDUP(MIN(G32*$D$12,$E$12),0)),0))</f>
        <v/>
      </c>
      <c r="M32" s="19" t="n"/>
      <c r="N32" s="19">
        <f>IF(G32="","",MAX(I32,J32,K32,L32))</f>
        <v/>
      </c>
      <c r="O32" s="19">
        <f>IF(G32="","",G32-N32)</f>
        <v/>
      </c>
      <c r="P32" s="19" t="n"/>
      <c r="Q32" s="19">
        <f>IF(O32="","",IF(O32&gt;=$J$9,IF(B32="G마켓",ROUNDDOWN(MIN(O32*$K$9,$L$9),0),ROUNDUP(MIN(O32*$K$9,$L$9),0)),0))</f>
        <v/>
      </c>
      <c r="R32" s="19">
        <f>IF(O32="","",IF(O32&gt;=$J$10,IF(B32="G마켓",ROUNDDOWN(MIN(O32*$K$10,$L$10),0),ROUNDUP(MIN(O32*$K$10,$L$10),0)),0))</f>
        <v/>
      </c>
      <c r="S32" s="19">
        <f>IF(O32="","",IF(O32&gt;=$J$11,IF(B32="G마켓",ROUNDDOWN(MIN(O32*$K$11,$L$11),0),ROUNDUP(MIN(O32*$K$11,$L$11),0)),0))</f>
        <v/>
      </c>
      <c r="T32" s="19">
        <f>IF(O32="","",MAX(Q32,R32,S32))</f>
        <v/>
      </c>
      <c r="U32" s="19">
        <f>IF(O32="","",O32-T32)</f>
        <v/>
      </c>
      <c r="V32" s="19">
        <f>IF(O32="","",IF(B32="G마켓",ROUNDDOWN(MAX(Q32*$N$9,R32*$N$10,S32*$N$11),0),ROUNDUP(MAX(Q32*$N$9,R32*$N$10,S32*$N$11),0)))</f>
        <v/>
      </c>
      <c r="W32" s="19">
        <f>IF(G32="","",IF(B32="G마켓",ROUNDDOWN(G32-G32*$D$3-V32,0),ROUNDUP(G32-G32*$D$3-V32,0)))</f>
        <v/>
      </c>
    </row>
    <row r="33">
      <c r="B33" s="18" t="n"/>
      <c r="C33" s="18" t="n"/>
      <c r="D33" s="18" t="n"/>
      <c r="E33" s="19" t="n"/>
      <c r="F33" s="19" t="n"/>
      <c r="G33" s="19">
        <f>IF(E33="","",E33-N(F33))</f>
        <v/>
      </c>
      <c r="H33" s="19" t="n"/>
      <c r="I33" s="19">
        <f>IF(G33="","",IF(G33&gt;=$C$9,IF(B33="G마켓",ROUNDDOWN(MIN(G33*$D$9,$E$9),0),ROUNDUP(MIN(G33*$D$9,$E$9),0)),0))</f>
        <v/>
      </c>
      <c r="J33" s="19">
        <f>IF(G33="","",IF(G33&gt;=$C$10,IF(B33="G마켓",ROUNDDOWN(MIN(G33*$D$10,$E$10),0),ROUNDUP(MIN(G33*$D$10,$E$10),0)),0))</f>
        <v/>
      </c>
      <c r="K33" s="19">
        <f>IF(G33="","",IF(G33&gt;=$C$11,IF(B33="G마켓",ROUNDDOWN(MIN(G33*$D$11,$E$11),0),ROUNDUP(MIN(G33*$D$11,$E$11),0)),0))</f>
        <v/>
      </c>
      <c r="L33" s="19">
        <f>IF(G33="","",IF(G33&gt;=$C$12,IF(B33="G마켓",ROUNDDOWN(MIN(G33*$D$12,$E$12),0),ROUNDUP(MIN(G33*$D$12,$E$12),0)),0))</f>
        <v/>
      </c>
      <c r="M33" s="19" t="n"/>
      <c r="N33" s="19">
        <f>IF(G33="","",MAX(I33,J33,K33,L33))</f>
        <v/>
      </c>
      <c r="O33" s="19">
        <f>IF(G33="","",G33-N33)</f>
        <v/>
      </c>
      <c r="P33" s="19" t="n"/>
      <c r="Q33" s="19">
        <f>IF(O33="","",IF(O33&gt;=$J$9,IF(B33="G마켓",ROUNDDOWN(MIN(O33*$K$9,$L$9),0),ROUNDUP(MIN(O33*$K$9,$L$9),0)),0))</f>
        <v/>
      </c>
      <c r="R33" s="19">
        <f>IF(O33="","",IF(O33&gt;=$J$10,IF(B33="G마켓",ROUNDDOWN(MIN(O33*$K$10,$L$10),0),ROUNDUP(MIN(O33*$K$10,$L$10),0)),0))</f>
        <v/>
      </c>
      <c r="S33" s="19">
        <f>IF(O33="","",IF(O33&gt;=$J$11,IF(B33="G마켓",ROUNDDOWN(MIN(O33*$K$11,$L$11),0),ROUNDUP(MIN(O33*$K$11,$L$11),0)),0))</f>
        <v/>
      </c>
      <c r="T33" s="19">
        <f>IF(O33="","",MAX(Q33,R33,S33))</f>
        <v/>
      </c>
      <c r="U33" s="19">
        <f>IF(O33="","",O33-T33)</f>
        <v/>
      </c>
      <c r="V33" s="19">
        <f>IF(O33="","",IF(B33="G마켓",ROUNDDOWN(MAX(Q33*$N$9,R33*$N$10,S33*$N$11),0),ROUNDUP(MAX(Q33*$N$9,R33*$N$10,S33*$N$11),0)))</f>
        <v/>
      </c>
      <c r="W33" s="19">
        <f>IF(G33="","",IF(B33="G마켓",ROUNDDOWN(G33-G33*$D$3-V33,0),ROUNDUP(G33-G33*$D$3-V33,0)))</f>
        <v/>
      </c>
    </row>
    <row r="34">
      <c r="B34" s="18" t="n"/>
      <c r="C34" s="18" t="n"/>
      <c r="D34" s="18" t="n"/>
      <c r="E34" s="19" t="n"/>
      <c r="F34" s="19" t="n"/>
      <c r="G34" s="19">
        <f>IF(E34="","",E34-N(F34))</f>
        <v/>
      </c>
      <c r="H34" s="19" t="n"/>
      <c r="I34" s="19">
        <f>IF(G34="","",IF(G34&gt;=$C$9,IF(B34="G마켓",ROUNDDOWN(MIN(G34*$D$9,$E$9),0),ROUNDUP(MIN(G34*$D$9,$E$9),0)),0))</f>
        <v/>
      </c>
      <c r="J34" s="19">
        <f>IF(G34="","",IF(G34&gt;=$C$10,IF(B34="G마켓",ROUNDDOWN(MIN(G34*$D$10,$E$10),0),ROUNDUP(MIN(G34*$D$10,$E$10),0)),0))</f>
        <v/>
      </c>
      <c r="K34" s="19">
        <f>IF(G34="","",IF(G34&gt;=$C$11,IF(B34="G마켓",ROUNDDOWN(MIN(G34*$D$11,$E$11),0),ROUNDUP(MIN(G34*$D$11,$E$11),0)),0))</f>
        <v/>
      </c>
      <c r="L34" s="19">
        <f>IF(G34="","",IF(G34&gt;=$C$12,IF(B34="G마켓",ROUNDDOWN(MIN(G34*$D$12,$E$12),0),ROUNDUP(MIN(G34*$D$12,$E$12),0)),0))</f>
        <v/>
      </c>
      <c r="M34" s="19" t="n"/>
      <c r="N34" s="19">
        <f>IF(G34="","",MAX(I34,J34,K34,L34))</f>
        <v/>
      </c>
      <c r="O34" s="19">
        <f>IF(G34="","",G34-N34)</f>
        <v/>
      </c>
      <c r="P34" s="19" t="n"/>
      <c r="Q34" s="19">
        <f>IF(O34="","",IF(O34&gt;=$J$9,IF(B34="G마켓",ROUNDDOWN(MIN(O34*$K$9,$L$9),0),ROUNDUP(MIN(O34*$K$9,$L$9),0)),0))</f>
        <v/>
      </c>
      <c r="R34" s="19">
        <f>IF(O34="","",IF(O34&gt;=$J$10,IF(B34="G마켓",ROUNDDOWN(MIN(O34*$K$10,$L$10),0),ROUNDUP(MIN(O34*$K$10,$L$10),0)),0))</f>
        <v/>
      </c>
      <c r="S34" s="19">
        <f>IF(O34="","",IF(O34&gt;=$J$11,IF(B34="G마켓",ROUNDDOWN(MIN(O34*$K$11,$L$11),0),ROUNDUP(MIN(O34*$K$11,$L$11),0)),0))</f>
        <v/>
      </c>
      <c r="T34" s="19">
        <f>IF(O34="","",MAX(Q34,R34,S34))</f>
        <v/>
      </c>
      <c r="U34" s="19">
        <f>IF(O34="","",O34-T34)</f>
        <v/>
      </c>
      <c r="V34" s="19">
        <f>IF(O34="","",IF(B34="G마켓",ROUNDDOWN(MAX(Q34*$N$9,R34*$N$10,S34*$N$11),0),ROUNDUP(MAX(Q34*$N$9,R34*$N$10,S34*$N$11),0)))</f>
        <v/>
      </c>
      <c r="W34" s="19">
        <f>IF(G34="","",IF(B34="G마켓",ROUNDDOWN(G34-G34*$D$3-V34,0),ROUNDUP(G34-G34*$D$3-V34,0)))</f>
        <v/>
      </c>
    </row>
    <row r="35">
      <c r="B35" s="18" t="n"/>
      <c r="C35" s="18" t="n"/>
      <c r="D35" s="18" t="n"/>
      <c r="E35" s="19" t="n"/>
      <c r="F35" s="19" t="n"/>
      <c r="G35" s="19">
        <f>IF(E35="","",E35-N(F35))</f>
        <v/>
      </c>
      <c r="H35" s="19" t="n"/>
      <c r="I35" s="19">
        <f>IF(G35="","",IF(G35&gt;=$C$9,IF(B35="G마켓",ROUNDDOWN(MIN(G35*$D$9,$E$9),0),ROUNDUP(MIN(G35*$D$9,$E$9),0)),0))</f>
        <v/>
      </c>
      <c r="J35" s="19">
        <f>IF(G35="","",IF(G35&gt;=$C$10,IF(B35="G마켓",ROUNDDOWN(MIN(G35*$D$10,$E$10),0),ROUNDUP(MIN(G35*$D$10,$E$10),0)),0))</f>
        <v/>
      </c>
      <c r="K35" s="19">
        <f>IF(G35="","",IF(G35&gt;=$C$11,IF(B35="G마켓",ROUNDDOWN(MIN(G35*$D$11,$E$11),0),ROUNDUP(MIN(G35*$D$11,$E$11),0)),0))</f>
        <v/>
      </c>
      <c r="L35" s="19">
        <f>IF(G35="","",IF(G35&gt;=$C$12,IF(B35="G마켓",ROUNDDOWN(MIN(G35*$D$12,$E$12),0),ROUNDUP(MIN(G35*$D$12,$E$12),0)),0))</f>
        <v/>
      </c>
      <c r="M35" s="19" t="n"/>
      <c r="N35" s="19">
        <f>IF(G35="","",MAX(I35,J35,K35,L35))</f>
        <v/>
      </c>
      <c r="O35" s="19">
        <f>IF(G35="","",G35-N35)</f>
        <v/>
      </c>
      <c r="P35" s="19" t="n"/>
      <c r="Q35" s="19">
        <f>IF(O35="","",IF(O35&gt;=$J$9,IF(B35="G마켓",ROUNDDOWN(MIN(O35*$K$9,$L$9),0),ROUNDUP(MIN(O35*$K$9,$L$9),0)),0))</f>
        <v/>
      </c>
      <c r="R35" s="19">
        <f>IF(O35="","",IF(O35&gt;=$J$10,IF(B35="G마켓",ROUNDDOWN(MIN(O35*$K$10,$L$10),0),ROUNDUP(MIN(O35*$K$10,$L$10),0)),0))</f>
        <v/>
      </c>
      <c r="S35" s="19">
        <f>IF(O35="","",IF(O35&gt;=$J$11,IF(B35="G마켓",ROUNDDOWN(MIN(O35*$K$11,$L$11),0),ROUNDUP(MIN(O35*$K$11,$L$11),0)),0))</f>
        <v/>
      </c>
      <c r="T35" s="19">
        <f>IF(O35="","",MAX(Q35,R35,S35))</f>
        <v/>
      </c>
      <c r="U35" s="19">
        <f>IF(O35="","",O35-T35)</f>
        <v/>
      </c>
      <c r="V35" s="19">
        <f>IF(O35="","",IF(B35="G마켓",ROUNDDOWN(MAX(Q35*$N$9,R35*$N$10,S35*$N$11),0),ROUNDUP(MAX(Q35*$N$9,R35*$N$10,S35*$N$11),0)))</f>
        <v/>
      </c>
      <c r="W35" s="19">
        <f>IF(G35="","",IF(B35="G마켓",ROUNDDOWN(G35-G35*$D$3-V35,0),ROUNDUP(G35-G35*$D$3-V35,0)))</f>
        <v/>
      </c>
    </row>
    <row r="36">
      <c r="B36" s="18" t="n"/>
      <c r="C36" s="18" t="n"/>
      <c r="D36" s="18" t="n"/>
      <c r="E36" s="19" t="n"/>
      <c r="F36" s="19" t="n"/>
      <c r="G36" s="19">
        <f>IF(E36="","",E36-N(F36))</f>
        <v/>
      </c>
      <c r="H36" s="19" t="n"/>
      <c r="I36" s="19">
        <f>IF(G36="","",IF(G36&gt;=$C$9,IF(B36="G마켓",ROUNDDOWN(MIN(G36*$D$9,$E$9),0),ROUNDUP(MIN(G36*$D$9,$E$9),0)),0))</f>
        <v/>
      </c>
      <c r="J36" s="19">
        <f>IF(G36="","",IF(G36&gt;=$C$10,IF(B36="G마켓",ROUNDDOWN(MIN(G36*$D$10,$E$10),0),ROUNDUP(MIN(G36*$D$10,$E$10),0)),0))</f>
        <v/>
      </c>
      <c r="K36" s="19">
        <f>IF(G36="","",IF(G36&gt;=$C$11,IF(B36="G마켓",ROUNDDOWN(MIN(G36*$D$11,$E$11),0),ROUNDUP(MIN(G36*$D$11,$E$11),0)),0))</f>
        <v/>
      </c>
      <c r="L36" s="19">
        <f>IF(G36="","",IF(G36&gt;=$C$12,IF(B36="G마켓",ROUNDDOWN(MIN(G36*$D$12,$E$12),0),ROUNDUP(MIN(G36*$D$12,$E$12),0)),0))</f>
        <v/>
      </c>
      <c r="M36" s="19" t="n"/>
      <c r="N36" s="19">
        <f>IF(G36="","",MAX(I36,J36,K36,L36))</f>
        <v/>
      </c>
      <c r="O36" s="19">
        <f>IF(G36="","",G36-N36)</f>
        <v/>
      </c>
      <c r="P36" s="19" t="n"/>
      <c r="Q36" s="19">
        <f>IF(O36="","",IF(O36&gt;=$J$9,IF(B36="G마켓",ROUNDDOWN(MIN(O36*$K$9,$L$9),0),ROUNDUP(MIN(O36*$K$9,$L$9),0)),0))</f>
        <v/>
      </c>
      <c r="R36" s="19">
        <f>IF(O36="","",IF(O36&gt;=$J$10,IF(B36="G마켓",ROUNDDOWN(MIN(O36*$K$10,$L$10),0),ROUNDUP(MIN(O36*$K$10,$L$10),0)),0))</f>
        <v/>
      </c>
      <c r="S36" s="19">
        <f>IF(O36="","",IF(O36&gt;=$J$11,IF(B36="G마켓",ROUNDDOWN(MIN(O36*$K$11,$L$11),0),ROUNDUP(MIN(O36*$K$11,$L$11),0)),0))</f>
        <v/>
      </c>
      <c r="T36" s="19">
        <f>IF(O36="","",MAX(Q36,R36,S36))</f>
        <v/>
      </c>
      <c r="U36" s="19">
        <f>IF(O36="","",O36-T36)</f>
        <v/>
      </c>
      <c r="V36" s="19">
        <f>IF(O36="","",IF(B36="G마켓",ROUNDDOWN(MAX(Q36*$N$9,R36*$N$10,S36*$N$11),0),ROUNDUP(MAX(Q36*$N$9,R36*$N$10,S36*$N$11),0)))</f>
        <v/>
      </c>
      <c r="W36" s="19">
        <f>IF(G36="","",IF(B36="G마켓",ROUNDDOWN(G36-G36*$D$3-V36,0),ROUNDUP(G36-G36*$D$3-V36,0)))</f>
        <v/>
      </c>
    </row>
    <row r="37">
      <c r="B37" s="18" t="n"/>
      <c r="C37" s="18" t="n"/>
      <c r="D37" s="18" t="n"/>
      <c r="E37" s="19" t="n"/>
      <c r="F37" s="19" t="n"/>
      <c r="G37" s="19">
        <f>IF(E37="","",E37-N(F37))</f>
        <v/>
      </c>
      <c r="H37" s="19" t="n"/>
      <c r="I37" s="19">
        <f>IF(G37="","",IF(G37&gt;=$C$9,IF(B37="G마켓",ROUNDDOWN(MIN(G37*$D$9,$E$9),0),ROUNDUP(MIN(G37*$D$9,$E$9),0)),0))</f>
        <v/>
      </c>
      <c r="J37" s="19">
        <f>IF(G37="","",IF(G37&gt;=$C$10,IF(B37="G마켓",ROUNDDOWN(MIN(G37*$D$10,$E$10),0),ROUNDUP(MIN(G37*$D$10,$E$10),0)),0))</f>
        <v/>
      </c>
      <c r="K37" s="19">
        <f>IF(G37="","",IF(G37&gt;=$C$11,IF(B37="G마켓",ROUNDDOWN(MIN(G37*$D$11,$E$11),0),ROUNDUP(MIN(G37*$D$11,$E$11),0)),0))</f>
        <v/>
      </c>
      <c r="L37" s="19">
        <f>IF(G37="","",IF(G37&gt;=$C$12,IF(B37="G마켓",ROUNDDOWN(MIN(G37*$D$12,$E$12),0),ROUNDUP(MIN(G37*$D$12,$E$12),0)),0))</f>
        <v/>
      </c>
      <c r="M37" s="19" t="n"/>
      <c r="N37" s="19">
        <f>IF(G37="","",MAX(I37,J37,K37,L37))</f>
        <v/>
      </c>
      <c r="O37" s="19">
        <f>IF(G37="","",G37-N37)</f>
        <v/>
      </c>
      <c r="P37" s="19" t="n"/>
      <c r="Q37" s="19">
        <f>IF(O37="","",IF(O37&gt;=$J$9,IF(B37="G마켓",ROUNDDOWN(MIN(O37*$K$9,$L$9),0),ROUNDUP(MIN(O37*$K$9,$L$9),0)),0))</f>
        <v/>
      </c>
      <c r="R37" s="19">
        <f>IF(O37="","",IF(O37&gt;=$J$10,IF(B37="G마켓",ROUNDDOWN(MIN(O37*$K$10,$L$10),0),ROUNDUP(MIN(O37*$K$10,$L$10),0)),0))</f>
        <v/>
      </c>
      <c r="S37" s="19">
        <f>IF(O37="","",IF(O37&gt;=$J$11,IF(B37="G마켓",ROUNDDOWN(MIN(O37*$K$11,$L$11),0),ROUNDUP(MIN(O37*$K$11,$L$11),0)),0))</f>
        <v/>
      </c>
      <c r="T37" s="19">
        <f>IF(O37="","",MAX(Q37,R37,S37))</f>
        <v/>
      </c>
      <c r="U37" s="19">
        <f>IF(O37="","",O37-T37)</f>
        <v/>
      </c>
      <c r="V37" s="19">
        <f>IF(O37="","",IF(B37="G마켓",ROUNDDOWN(MAX(Q37*$N$9,R37*$N$10,S37*$N$11),0),ROUNDUP(MAX(Q37*$N$9,R37*$N$10,S37*$N$11),0)))</f>
        <v/>
      </c>
      <c r="W37" s="19">
        <f>IF(G37="","",IF(B37="G마켓",ROUNDDOWN(G37-G37*$D$3-V37,0),ROUNDUP(G37-G37*$D$3-V37,0)))</f>
        <v/>
      </c>
    </row>
    <row r="38">
      <c r="B38" s="18" t="n"/>
      <c r="C38" s="18" t="n"/>
      <c r="D38" s="18" t="n"/>
      <c r="E38" s="19" t="n"/>
      <c r="F38" s="19" t="n"/>
      <c r="G38" s="19">
        <f>IF(E38="","",E38-N(F38))</f>
        <v/>
      </c>
      <c r="H38" s="19" t="n"/>
      <c r="I38" s="19">
        <f>IF(G38="","",IF(G38&gt;=$C$9,IF(B38="G마켓",ROUNDDOWN(MIN(G38*$D$9,$E$9),0),ROUNDUP(MIN(G38*$D$9,$E$9),0)),0))</f>
        <v/>
      </c>
      <c r="J38" s="19">
        <f>IF(G38="","",IF(G38&gt;=$C$10,IF(B38="G마켓",ROUNDDOWN(MIN(G38*$D$10,$E$10),0),ROUNDUP(MIN(G38*$D$10,$E$10),0)),0))</f>
        <v/>
      </c>
      <c r="K38" s="19">
        <f>IF(G38="","",IF(G38&gt;=$C$11,IF(B38="G마켓",ROUNDDOWN(MIN(G38*$D$11,$E$11),0),ROUNDUP(MIN(G38*$D$11,$E$11),0)),0))</f>
        <v/>
      </c>
      <c r="L38" s="19">
        <f>IF(G38="","",IF(G38&gt;=$C$12,IF(B38="G마켓",ROUNDDOWN(MIN(G38*$D$12,$E$12),0),ROUNDUP(MIN(G38*$D$12,$E$12),0)),0))</f>
        <v/>
      </c>
      <c r="M38" s="19" t="n"/>
      <c r="N38" s="19">
        <f>IF(G38="","",MAX(I38,J38,K38,L38))</f>
        <v/>
      </c>
      <c r="O38" s="19">
        <f>IF(G38="","",G38-N38)</f>
        <v/>
      </c>
      <c r="P38" s="19" t="n"/>
      <c r="Q38" s="19">
        <f>IF(O38="","",IF(O38&gt;=$J$9,IF(B38="G마켓",ROUNDDOWN(MIN(O38*$K$9,$L$9),0),ROUNDUP(MIN(O38*$K$9,$L$9),0)),0))</f>
        <v/>
      </c>
      <c r="R38" s="19">
        <f>IF(O38="","",IF(O38&gt;=$J$10,IF(B38="G마켓",ROUNDDOWN(MIN(O38*$K$10,$L$10),0),ROUNDUP(MIN(O38*$K$10,$L$10),0)),0))</f>
        <v/>
      </c>
      <c r="S38" s="19">
        <f>IF(O38="","",IF(O38&gt;=$J$11,IF(B38="G마켓",ROUNDDOWN(MIN(O38*$K$11,$L$11),0),ROUNDUP(MIN(O38*$K$11,$L$11),0)),0))</f>
        <v/>
      </c>
      <c r="T38" s="19">
        <f>IF(O38="","",MAX(Q38,R38,S38))</f>
        <v/>
      </c>
      <c r="U38" s="19">
        <f>IF(O38="","",O38-T38)</f>
        <v/>
      </c>
      <c r="V38" s="19">
        <f>IF(O38="","",IF(B38="G마켓",ROUNDDOWN(MAX(Q38*$N$9,R38*$N$10,S38*$N$11),0),ROUNDUP(MAX(Q38*$N$9,R38*$N$10,S38*$N$11),0)))</f>
        <v/>
      </c>
      <c r="W38" s="19">
        <f>IF(G38="","",IF(B38="G마켓",ROUNDDOWN(G38-G38*$D$3-V38,0),ROUNDUP(G38-G38*$D$3-V38,0)))</f>
        <v/>
      </c>
    </row>
    <row r="39">
      <c r="B39" s="18" t="n"/>
      <c r="C39" s="18" t="n"/>
      <c r="D39" s="18" t="n"/>
      <c r="E39" s="19" t="n"/>
      <c r="F39" s="19" t="n"/>
      <c r="G39" s="19">
        <f>IF(E39="","",E39-N(F39))</f>
        <v/>
      </c>
      <c r="H39" s="19" t="n"/>
      <c r="I39" s="19">
        <f>IF(G39="","",IF(G39&gt;=$C$9,IF(B39="G마켓",ROUNDDOWN(MIN(G39*$D$9,$E$9),0),ROUNDUP(MIN(G39*$D$9,$E$9),0)),0))</f>
        <v/>
      </c>
      <c r="J39" s="19">
        <f>IF(G39="","",IF(G39&gt;=$C$10,IF(B39="G마켓",ROUNDDOWN(MIN(G39*$D$10,$E$10),0),ROUNDUP(MIN(G39*$D$10,$E$10),0)),0))</f>
        <v/>
      </c>
      <c r="K39" s="19">
        <f>IF(G39="","",IF(G39&gt;=$C$11,IF(B39="G마켓",ROUNDDOWN(MIN(G39*$D$11,$E$11),0),ROUNDUP(MIN(G39*$D$11,$E$11),0)),0))</f>
        <v/>
      </c>
      <c r="L39" s="19">
        <f>IF(G39="","",IF(G39&gt;=$C$12,IF(B39="G마켓",ROUNDDOWN(MIN(G39*$D$12,$E$12),0),ROUNDUP(MIN(G39*$D$12,$E$12),0)),0))</f>
        <v/>
      </c>
      <c r="M39" s="19" t="n"/>
      <c r="N39" s="19">
        <f>IF(G39="","",MAX(I39,J39,K39,L39))</f>
        <v/>
      </c>
      <c r="O39" s="19">
        <f>IF(G39="","",G39-N39)</f>
        <v/>
      </c>
      <c r="P39" s="19" t="n"/>
      <c r="Q39" s="19">
        <f>IF(O39="","",IF(O39&gt;=$J$9,IF(B39="G마켓",ROUNDDOWN(MIN(O39*$K$9,$L$9),0),ROUNDUP(MIN(O39*$K$9,$L$9),0)),0))</f>
        <v/>
      </c>
      <c r="R39" s="19">
        <f>IF(O39="","",IF(O39&gt;=$J$10,IF(B39="G마켓",ROUNDDOWN(MIN(O39*$K$10,$L$10),0),ROUNDUP(MIN(O39*$K$10,$L$10),0)),0))</f>
        <v/>
      </c>
      <c r="S39" s="19">
        <f>IF(O39="","",IF(O39&gt;=$J$11,IF(B39="G마켓",ROUNDDOWN(MIN(O39*$K$11,$L$11),0),ROUNDUP(MIN(O39*$K$11,$L$11),0)),0))</f>
        <v/>
      </c>
      <c r="T39" s="19">
        <f>IF(O39="","",MAX(Q39,R39,S39))</f>
        <v/>
      </c>
      <c r="U39" s="19">
        <f>IF(O39="","",O39-T39)</f>
        <v/>
      </c>
      <c r="V39" s="19">
        <f>IF(O39="","",IF(B39="G마켓",ROUNDDOWN(MAX(Q39*$N$9,R39*$N$10,S39*$N$11),0),ROUNDUP(MAX(Q39*$N$9,R39*$N$10,S39*$N$11),0)))</f>
        <v/>
      </c>
      <c r="W39" s="19">
        <f>IF(G39="","",IF(B39="G마켓",ROUNDDOWN(G39-G39*$D$3-V39,0),ROUNDUP(G39-G39*$D$3-V39,0)))</f>
        <v/>
      </c>
    </row>
    <row r="40">
      <c r="B40" s="18" t="n"/>
      <c r="C40" s="18" t="n"/>
      <c r="D40" s="18" t="n"/>
      <c r="E40" s="19" t="n"/>
      <c r="F40" s="19" t="n"/>
      <c r="G40" s="19">
        <f>IF(E40="","",E40-N(F40))</f>
        <v/>
      </c>
      <c r="H40" s="19" t="n"/>
      <c r="I40" s="19">
        <f>IF(G40="","",IF(G40&gt;=$C$9,IF(B40="G마켓",ROUNDDOWN(MIN(G40*$D$9,$E$9),0),ROUNDUP(MIN(G40*$D$9,$E$9),0)),0))</f>
        <v/>
      </c>
      <c r="J40" s="19">
        <f>IF(G40="","",IF(G40&gt;=$C$10,IF(B40="G마켓",ROUNDDOWN(MIN(G40*$D$10,$E$10),0),ROUNDUP(MIN(G40*$D$10,$E$10),0)),0))</f>
        <v/>
      </c>
      <c r="K40" s="19">
        <f>IF(G40="","",IF(G40&gt;=$C$11,IF(B40="G마켓",ROUNDDOWN(MIN(G40*$D$11,$E$11),0),ROUNDUP(MIN(G40*$D$11,$E$11),0)),0))</f>
        <v/>
      </c>
      <c r="L40" s="19">
        <f>IF(G40="","",IF(G40&gt;=$C$12,IF(B40="G마켓",ROUNDDOWN(MIN(G40*$D$12,$E$12),0),ROUNDUP(MIN(G40*$D$12,$E$12),0)),0))</f>
        <v/>
      </c>
      <c r="M40" s="19" t="n"/>
      <c r="N40" s="19">
        <f>IF(G40="","",MAX(I40,J40,K40,L40))</f>
        <v/>
      </c>
      <c r="O40" s="19">
        <f>IF(G40="","",G40-N40)</f>
        <v/>
      </c>
      <c r="P40" s="19" t="n"/>
      <c r="Q40" s="19">
        <f>IF(O40="","",IF(O40&gt;=$J$9,IF(B40="G마켓",ROUNDDOWN(MIN(O40*$K$9,$L$9),0),ROUNDUP(MIN(O40*$K$9,$L$9),0)),0))</f>
        <v/>
      </c>
      <c r="R40" s="19">
        <f>IF(O40="","",IF(O40&gt;=$J$10,IF(B40="G마켓",ROUNDDOWN(MIN(O40*$K$10,$L$10),0),ROUNDUP(MIN(O40*$K$10,$L$10),0)),0))</f>
        <v/>
      </c>
      <c r="S40" s="19">
        <f>IF(O40="","",IF(O40&gt;=$J$11,IF(B40="G마켓",ROUNDDOWN(MIN(O40*$K$11,$L$11),0),ROUNDUP(MIN(O40*$K$11,$L$11),0)),0))</f>
        <v/>
      </c>
      <c r="T40" s="19">
        <f>IF(O40="","",MAX(Q40,R40,S40))</f>
        <v/>
      </c>
      <c r="U40" s="19">
        <f>IF(O40="","",O40-T40)</f>
        <v/>
      </c>
      <c r="V40" s="19">
        <f>IF(O40="","",IF(B40="G마켓",ROUNDDOWN(MAX(Q40*$N$9,R40*$N$10,S40*$N$11),0),ROUNDUP(MAX(Q40*$N$9,R40*$N$10,S40*$N$11),0)))</f>
        <v/>
      </c>
      <c r="W40" s="19">
        <f>IF(G40="","",IF(B40="G마켓",ROUNDDOWN(G40-G40*$D$3-V40,0),ROUNDUP(G40-G40*$D$3-V40,0)))</f>
        <v/>
      </c>
    </row>
    <row r="41">
      <c r="B41" s="18" t="n"/>
      <c r="C41" s="18" t="n"/>
      <c r="D41" s="18" t="n"/>
      <c r="E41" s="19" t="n"/>
      <c r="F41" s="19" t="n"/>
      <c r="G41" s="19">
        <f>IF(E41="","",E41-N(F41))</f>
        <v/>
      </c>
      <c r="H41" s="19" t="n"/>
      <c r="I41" s="19">
        <f>IF(G41="","",IF(G41&gt;=$C$9,IF(B41="G마켓",ROUNDDOWN(MIN(G41*$D$9,$E$9),0),ROUNDUP(MIN(G41*$D$9,$E$9),0)),0))</f>
        <v/>
      </c>
      <c r="J41" s="19">
        <f>IF(G41="","",IF(G41&gt;=$C$10,IF(B41="G마켓",ROUNDDOWN(MIN(G41*$D$10,$E$10),0),ROUNDUP(MIN(G41*$D$10,$E$10),0)),0))</f>
        <v/>
      </c>
      <c r="K41" s="19">
        <f>IF(G41="","",IF(G41&gt;=$C$11,IF(B41="G마켓",ROUNDDOWN(MIN(G41*$D$11,$E$11),0),ROUNDUP(MIN(G41*$D$11,$E$11),0)),0))</f>
        <v/>
      </c>
      <c r="L41" s="19">
        <f>IF(G41="","",IF(G41&gt;=$C$12,IF(B41="G마켓",ROUNDDOWN(MIN(G41*$D$12,$E$12),0),ROUNDUP(MIN(G41*$D$12,$E$12),0)),0))</f>
        <v/>
      </c>
      <c r="M41" s="19" t="n"/>
      <c r="N41" s="19">
        <f>IF(G41="","",MAX(I41,J41,K41,L41))</f>
        <v/>
      </c>
      <c r="O41" s="19">
        <f>IF(G41="","",G41-N41)</f>
        <v/>
      </c>
      <c r="P41" s="19" t="n"/>
      <c r="Q41" s="19">
        <f>IF(O41="","",IF(O41&gt;=$J$9,IF(B41="G마켓",ROUNDDOWN(MIN(O41*$K$9,$L$9),0),ROUNDUP(MIN(O41*$K$9,$L$9),0)),0))</f>
        <v/>
      </c>
      <c r="R41" s="19">
        <f>IF(O41="","",IF(O41&gt;=$J$10,IF(B41="G마켓",ROUNDDOWN(MIN(O41*$K$10,$L$10),0),ROUNDUP(MIN(O41*$K$10,$L$10),0)),0))</f>
        <v/>
      </c>
      <c r="S41" s="19">
        <f>IF(O41="","",IF(O41&gt;=$J$11,IF(B41="G마켓",ROUNDDOWN(MIN(O41*$K$11,$L$11),0),ROUNDUP(MIN(O41*$K$11,$L$11),0)),0))</f>
        <v/>
      </c>
      <c r="T41" s="19">
        <f>IF(O41="","",MAX(Q41,R41,S41))</f>
        <v/>
      </c>
      <c r="U41" s="19">
        <f>IF(O41="","",O41-T41)</f>
        <v/>
      </c>
      <c r="V41" s="19">
        <f>IF(O41="","",IF(B41="G마켓",ROUNDDOWN(MAX(Q41*$N$9,R41*$N$10,S41*$N$11),0),ROUNDUP(MAX(Q41*$N$9,R41*$N$10,S41*$N$11),0)))</f>
        <v/>
      </c>
      <c r="W41" s="19">
        <f>IF(G41="","",IF(B41="G마켓",ROUNDDOWN(G41-G41*$D$3-V41,0),ROUNDUP(G41-G41*$D$3-V41,0)))</f>
        <v/>
      </c>
    </row>
    <row r="42">
      <c r="B42" s="18" t="n"/>
      <c r="C42" s="18" t="n"/>
      <c r="D42" s="18" t="n"/>
      <c r="E42" s="19" t="n"/>
      <c r="F42" s="19" t="n"/>
      <c r="G42" s="19">
        <f>IF(E42="","",E42-N(F42))</f>
        <v/>
      </c>
      <c r="H42" s="19" t="n"/>
      <c r="I42" s="19">
        <f>IF(G42="","",IF(G42&gt;=$C$9,IF(B42="G마켓",ROUNDDOWN(MIN(G42*$D$9,$E$9),0),ROUNDUP(MIN(G42*$D$9,$E$9),0)),0))</f>
        <v/>
      </c>
      <c r="J42" s="19">
        <f>IF(G42="","",IF(G42&gt;=$C$10,IF(B42="G마켓",ROUNDDOWN(MIN(G42*$D$10,$E$10),0),ROUNDUP(MIN(G42*$D$10,$E$10),0)),0))</f>
        <v/>
      </c>
      <c r="K42" s="19">
        <f>IF(G42="","",IF(G42&gt;=$C$11,IF(B42="G마켓",ROUNDDOWN(MIN(G42*$D$11,$E$11),0),ROUNDUP(MIN(G42*$D$11,$E$11),0)),0))</f>
        <v/>
      </c>
      <c r="L42" s="19">
        <f>IF(G42="","",IF(G42&gt;=$C$12,IF(B42="G마켓",ROUNDDOWN(MIN(G42*$D$12,$E$12),0),ROUNDUP(MIN(G42*$D$12,$E$12),0)),0))</f>
        <v/>
      </c>
      <c r="M42" s="19" t="n"/>
      <c r="N42" s="19">
        <f>IF(G42="","",MAX(I42,J42,K42,L42))</f>
        <v/>
      </c>
      <c r="O42" s="19">
        <f>IF(G42="","",G42-N42)</f>
        <v/>
      </c>
      <c r="P42" s="19" t="n"/>
      <c r="Q42" s="19">
        <f>IF(O42="","",IF(O42&gt;=$J$9,IF(B42="G마켓",ROUNDDOWN(MIN(O42*$K$9,$L$9),0),ROUNDUP(MIN(O42*$K$9,$L$9),0)),0))</f>
        <v/>
      </c>
      <c r="R42" s="19">
        <f>IF(O42="","",IF(O42&gt;=$J$10,IF(B42="G마켓",ROUNDDOWN(MIN(O42*$K$10,$L$10),0),ROUNDUP(MIN(O42*$K$10,$L$10),0)),0))</f>
        <v/>
      </c>
      <c r="S42" s="19">
        <f>IF(O42="","",IF(O42&gt;=$J$11,IF(B42="G마켓",ROUNDDOWN(MIN(O42*$K$11,$L$11),0),ROUNDUP(MIN(O42*$K$11,$L$11),0)),0))</f>
        <v/>
      </c>
      <c r="T42" s="19">
        <f>IF(O42="","",MAX(Q42,R42,S42))</f>
        <v/>
      </c>
      <c r="U42" s="19">
        <f>IF(O42="","",O42-T42)</f>
        <v/>
      </c>
      <c r="V42" s="19">
        <f>IF(O42="","",IF(B42="G마켓",ROUNDDOWN(MAX(Q42*$N$9,R42*$N$10,S42*$N$11),0),ROUNDUP(MAX(Q42*$N$9,R42*$N$10,S42*$N$11),0)))</f>
        <v/>
      </c>
      <c r="W42" s="19">
        <f>IF(G42="","",IF(B42="G마켓",ROUNDDOWN(G42-G42*$D$3-V42,0),ROUNDUP(G42-G42*$D$3-V42,0)))</f>
        <v/>
      </c>
    </row>
    <row r="43">
      <c r="B43" s="18" t="n"/>
      <c r="C43" s="18" t="n"/>
      <c r="D43" s="18" t="n"/>
      <c r="E43" s="19" t="n"/>
      <c r="F43" s="19" t="n"/>
      <c r="G43" s="19">
        <f>IF(E43="","",E43-N(F43))</f>
        <v/>
      </c>
      <c r="H43" s="19" t="n"/>
      <c r="I43" s="19">
        <f>IF(G43="","",IF(G43&gt;=$C$9,IF(B43="G마켓",ROUNDDOWN(MIN(G43*$D$9,$E$9),0),ROUNDUP(MIN(G43*$D$9,$E$9),0)),0))</f>
        <v/>
      </c>
      <c r="J43" s="19">
        <f>IF(G43="","",IF(G43&gt;=$C$10,IF(B43="G마켓",ROUNDDOWN(MIN(G43*$D$10,$E$10),0),ROUNDUP(MIN(G43*$D$10,$E$10),0)),0))</f>
        <v/>
      </c>
      <c r="K43" s="19">
        <f>IF(G43="","",IF(G43&gt;=$C$11,IF(B43="G마켓",ROUNDDOWN(MIN(G43*$D$11,$E$11),0),ROUNDUP(MIN(G43*$D$11,$E$11),0)),0))</f>
        <v/>
      </c>
      <c r="L43" s="19">
        <f>IF(G43="","",IF(G43&gt;=$C$12,IF(B43="G마켓",ROUNDDOWN(MIN(G43*$D$12,$E$12),0),ROUNDUP(MIN(G43*$D$12,$E$12),0)),0))</f>
        <v/>
      </c>
      <c r="M43" s="19" t="n"/>
      <c r="N43" s="19">
        <f>IF(G43="","",MAX(I43,J43,K43,L43))</f>
        <v/>
      </c>
      <c r="O43" s="19">
        <f>IF(G43="","",G43-N43)</f>
        <v/>
      </c>
      <c r="P43" s="19" t="n"/>
      <c r="Q43" s="19">
        <f>IF(O43="","",IF(O43&gt;=$J$9,IF(B43="G마켓",ROUNDDOWN(MIN(O43*$K$9,$L$9),0),ROUNDUP(MIN(O43*$K$9,$L$9),0)),0))</f>
        <v/>
      </c>
      <c r="R43" s="19">
        <f>IF(O43="","",IF(O43&gt;=$J$10,IF(B43="G마켓",ROUNDDOWN(MIN(O43*$K$10,$L$10),0),ROUNDUP(MIN(O43*$K$10,$L$10),0)),0))</f>
        <v/>
      </c>
      <c r="S43" s="19">
        <f>IF(O43="","",IF(O43&gt;=$J$11,IF(B43="G마켓",ROUNDDOWN(MIN(O43*$K$11,$L$11),0),ROUNDUP(MIN(O43*$K$11,$L$11),0)),0))</f>
        <v/>
      </c>
      <c r="T43" s="19">
        <f>IF(O43="","",MAX(Q43,R43,S43))</f>
        <v/>
      </c>
      <c r="U43" s="19">
        <f>IF(O43="","",O43-T43)</f>
        <v/>
      </c>
      <c r="V43" s="19">
        <f>IF(O43="","",IF(B43="G마켓",ROUNDDOWN(MAX(Q43*$N$9,R43*$N$10,S43*$N$11),0),ROUNDUP(MAX(Q43*$N$9,R43*$N$10,S43*$N$11),0)))</f>
        <v/>
      </c>
      <c r="W43" s="19">
        <f>IF(G43="","",IF(B43="G마켓",ROUNDDOWN(G43-G43*$D$3-V43,0),ROUNDUP(G43-G43*$D$3-V43,0)))</f>
        <v/>
      </c>
    </row>
    <row r="44">
      <c r="B44" s="18" t="n"/>
      <c r="C44" s="18" t="n"/>
      <c r="D44" s="18" t="n"/>
      <c r="E44" s="19" t="n"/>
      <c r="F44" s="19" t="n"/>
      <c r="G44" s="19">
        <f>IF(E44="","",E44-N(F44))</f>
        <v/>
      </c>
      <c r="H44" s="19" t="n"/>
      <c r="I44" s="19">
        <f>IF(G44="","",IF(G44&gt;=$C$9,IF(B44="G마켓",ROUNDDOWN(MIN(G44*$D$9,$E$9),0),ROUNDUP(MIN(G44*$D$9,$E$9),0)),0))</f>
        <v/>
      </c>
      <c r="J44" s="19">
        <f>IF(G44="","",IF(G44&gt;=$C$10,IF(B44="G마켓",ROUNDDOWN(MIN(G44*$D$10,$E$10),0),ROUNDUP(MIN(G44*$D$10,$E$10),0)),0))</f>
        <v/>
      </c>
      <c r="K44" s="19">
        <f>IF(G44="","",IF(G44&gt;=$C$11,IF(B44="G마켓",ROUNDDOWN(MIN(G44*$D$11,$E$11),0),ROUNDUP(MIN(G44*$D$11,$E$11),0)),0))</f>
        <v/>
      </c>
      <c r="L44" s="19">
        <f>IF(G44="","",IF(G44&gt;=$C$12,IF(B44="G마켓",ROUNDDOWN(MIN(G44*$D$12,$E$12),0),ROUNDUP(MIN(G44*$D$12,$E$12),0)),0))</f>
        <v/>
      </c>
      <c r="M44" s="19" t="n"/>
      <c r="N44" s="19">
        <f>IF(G44="","",MAX(I44,J44,K44,L44))</f>
        <v/>
      </c>
      <c r="O44" s="19">
        <f>IF(G44="","",G44-N44)</f>
        <v/>
      </c>
      <c r="P44" s="19" t="n"/>
      <c r="Q44" s="19">
        <f>IF(O44="","",IF(O44&gt;=$J$9,IF(B44="G마켓",ROUNDDOWN(MIN(O44*$K$9,$L$9),0),ROUNDUP(MIN(O44*$K$9,$L$9),0)),0))</f>
        <v/>
      </c>
      <c r="R44" s="19">
        <f>IF(O44="","",IF(O44&gt;=$J$10,IF(B44="G마켓",ROUNDDOWN(MIN(O44*$K$10,$L$10),0),ROUNDUP(MIN(O44*$K$10,$L$10),0)),0))</f>
        <v/>
      </c>
      <c r="S44" s="19">
        <f>IF(O44="","",IF(O44&gt;=$J$11,IF(B44="G마켓",ROUNDDOWN(MIN(O44*$K$11,$L$11),0),ROUNDUP(MIN(O44*$K$11,$L$11),0)),0))</f>
        <v/>
      </c>
      <c r="T44" s="19">
        <f>IF(O44="","",MAX(Q44,R44,S44))</f>
        <v/>
      </c>
      <c r="U44" s="19">
        <f>IF(O44="","",O44-T44)</f>
        <v/>
      </c>
      <c r="V44" s="19">
        <f>IF(O44="","",IF(B44="G마켓",ROUNDDOWN(MAX(Q44*$N$9,R44*$N$10,S44*$N$11),0),ROUNDUP(MAX(Q44*$N$9,R44*$N$10,S44*$N$11),0)))</f>
        <v/>
      </c>
      <c r="W44" s="19">
        <f>IF(G44="","",IF(B44="G마켓",ROUNDDOWN(G44-G44*$D$3-V44,0),ROUNDUP(G44-G44*$D$3-V44,0)))</f>
        <v/>
      </c>
    </row>
    <row r="45">
      <c r="B45" s="18" t="n"/>
      <c r="C45" s="18" t="n"/>
      <c r="D45" s="18" t="n"/>
      <c r="E45" s="19" t="n"/>
      <c r="F45" s="19" t="n"/>
      <c r="G45" s="19">
        <f>IF(E45="","",E45-N(F45))</f>
        <v/>
      </c>
      <c r="H45" s="19" t="n"/>
      <c r="I45" s="19">
        <f>IF(G45="","",IF(G45&gt;=$C$9,IF(B45="G마켓",ROUNDDOWN(MIN(G45*$D$9,$E$9),0),ROUNDUP(MIN(G45*$D$9,$E$9),0)),0))</f>
        <v/>
      </c>
      <c r="J45" s="19">
        <f>IF(G45="","",IF(G45&gt;=$C$10,IF(B45="G마켓",ROUNDDOWN(MIN(G45*$D$10,$E$10),0),ROUNDUP(MIN(G45*$D$10,$E$10),0)),0))</f>
        <v/>
      </c>
      <c r="K45" s="19">
        <f>IF(G45="","",IF(G45&gt;=$C$11,IF(B45="G마켓",ROUNDDOWN(MIN(G45*$D$11,$E$11),0),ROUNDUP(MIN(G45*$D$11,$E$11),0)),0))</f>
        <v/>
      </c>
      <c r="L45" s="19">
        <f>IF(G45="","",IF(G45&gt;=$C$12,IF(B45="G마켓",ROUNDDOWN(MIN(G45*$D$12,$E$12),0),ROUNDUP(MIN(G45*$D$12,$E$12),0)),0))</f>
        <v/>
      </c>
      <c r="M45" s="19" t="n"/>
      <c r="N45" s="19">
        <f>IF(G45="","",MAX(I45,J45,K45,L45))</f>
        <v/>
      </c>
      <c r="O45" s="19">
        <f>IF(G45="","",G45-N45)</f>
        <v/>
      </c>
      <c r="P45" s="19" t="n"/>
      <c r="Q45" s="19">
        <f>IF(O45="","",IF(O45&gt;=$J$9,IF(B45="G마켓",ROUNDDOWN(MIN(O45*$K$9,$L$9),0),ROUNDUP(MIN(O45*$K$9,$L$9),0)),0))</f>
        <v/>
      </c>
      <c r="R45" s="19">
        <f>IF(O45="","",IF(O45&gt;=$J$10,IF(B45="G마켓",ROUNDDOWN(MIN(O45*$K$10,$L$10),0),ROUNDUP(MIN(O45*$K$10,$L$10),0)),0))</f>
        <v/>
      </c>
      <c r="S45" s="19">
        <f>IF(O45="","",IF(O45&gt;=$J$11,IF(B45="G마켓",ROUNDDOWN(MIN(O45*$K$11,$L$11),0),ROUNDUP(MIN(O45*$K$11,$L$11),0)),0))</f>
        <v/>
      </c>
      <c r="T45" s="19">
        <f>IF(O45="","",MAX(Q45,R45,S45))</f>
        <v/>
      </c>
      <c r="U45" s="19">
        <f>IF(O45="","",O45-T45)</f>
        <v/>
      </c>
      <c r="V45" s="19">
        <f>IF(O45="","",IF(B45="G마켓",ROUNDDOWN(MAX(Q45*$N$9,R45*$N$10,S45*$N$11),0),ROUNDUP(MAX(Q45*$N$9,R45*$N$10,S45*$N$11),0)))</f>
        <v/>
      </c>
      <c r="W45" s="19">
        <f>IF(G45="","",IF(B45="G마켓",ROUNDDOWN(G45-G45*$D$3-V45,0),ROUNDUP(G45-G45*$D$3-V45,0)))</f>
        <v/>
      </c>
    </row>
    <row r="46">
      <c r="B46" s="18" t="n"/>
      <c r="C46" s="18" t="n"/>
      <c r="D46" s="18" t="n"/>
      <c r="E46" s="19" t="n"/>
      <c r="F46" s="19" t="n"/>
      <c r="G46" s="19">
        <f>IF(E46="","",E46-N(F46))</f>
        <v/>
      </c>
      <c r="H46" s="19" t="n"/>
      <c r="I46" s="19">
        <f>IF(G46="","",IF(G46&gt;=$C$9,IF(B46="G마켓",ROUNDDOWN(MIN(G46*$D$9,$E$9),0),ROUNDUP(MIN(G46*$D$9,$E$9),0)),0))</f>
        <v/>
      </c>
      <c r="J46" s="19">
        <f>IF(G46="","",IF(G46&gt;=$C$10,IF(B46="G마켓",ROUNDDOWN(MIN(G46*$D$10,$E$10),0),ROUNDUP(MIN(G46*$D$10,$E$10),0)),0))</f>
        <v/>
      </c>
      <c r="K46" s="19">
        <f>IF(G46="","",IF(G46&gt;=$C$11,IF(B46="G마켓",ROUNDDOWN(MIN(G46*$D$11,$E$11),0),ROUNDUP(MIN(G46*$D$11,$E$11),0)),0))</f>
        <v/>
      </c>
      <c r="L46" s="19">
        <f>IF(G46="","",IF(G46&gt;=$C$12,IF(B46="G마켓",ROUNDDOWN(MIN(G46*$D$12,$E$12),0),ROUNDUP(MIN(G46*$D$12,$E$12),0)),0))</f>
        <v/>
      </c>
      <c r="M46" s="19" t="n"/>
      <c r="N46" s="19">
        <f>IF(G46="","",MAX(I46,J46,K46,L46))</f>
        <v/>
      </c>
      <c r="O46" s="19">
        <f>IF(G46="","",G46-N46)</f>
        <v/>
      </c>
      <c r="P46" s="19" t="n"/>
      <c r="Q46" s="19">
        <f>IF(O46="","",IF(O46&gt;=$J$9,IF(B46="G마켓",ROUNDDOWN(MIN(O46*$K$9,$L$9),0),ROUNDUP(MIN(O46*$K$9,$L$9),0)),0))</f>
        <v/>
      </c>
      <c r="R46" s="19">
        <f>IF(O46="","",IF(O46&gt;=$J$10,IF(B46="G마켓",ROUNDDOWN(MIN(O46*$K$10,$L$10),0),ROUNDUP(MIN(O46*$K$10,$L$10),0)),0))</f>
        <v/>
      </c>
      <c r="S46" s="19">
        <f>IF(O46="","",IF(O46&gt;=$J$11,IF(B46="G마켓",ROUNDDOWN(MIN(O46*$K$11,$L$11),0),ROUNDUP(MIN(O46*$K$11,$L$11),0)),0))</f>
        <v/>
      </c>
      <c r="T46" s="19">
        <f>IF(O46="","",MAX(Q46,R46,S46))</f>
        <v/>
      </c>
      <c r="U46" s="19">
        <f>IF(O46="","",O46-T46)</f>
        <v/>
      </c>
      <c r="V46" s="19">
        <f>IF(O46="","",IF(B46="G마켓",ROUNDDOWN(MAX(Q46*$N$9,R46*$N$10,S46*$N$11),0),ROUNDUP(MAX(Q46*$N$9,R46*$N$10,S46*$N$11),0)))</f>
        <v/>
      </c>
      <c r="W46" s="19">
        <f>IF(G46="","",IF(B46="G마켓",ROUNDDOWN(G46-G46*$D$3-V46,0),ROUNDUP(G46-G46*$D$3-V46,0)))</f>
        <v/>
      </c>
    </row>
    <row r="47">
      <c r="B47" s="18" t="n"/>
      <c r="C47" s="18" t="n"/>
      <c r="D47" s="18" t="n"/>
      <c r="E47" s="19" t="n"/>
      <c r="F47" s="19" t="n"/>
      <c r="G47" s="19">
        <f>IF(E47="","",E47-N(F47))</f>
        <v/>
      </c>
      <c r="H47" s="19" t="n"/>
      <c r="I47" s="19">
        <f>IF(G47="","",IF(G47&gt;=$C$9,IF(B47="G마켓",ROUNDDOWN(MIN(G47*$D$9,$E$9),0),ROUNDUP(MIN(G47*$D$9,$E$9),0)),0))</f>
        <v/>
      </c>
      <c r="J47" s="19">
        <f>IF(G47="","",IF(G47&gt;=$C$10,IF(B47="G마켓",ROUNDDOWN(MIN(G47*$D$10,$E$10),0),ROUNDUP(MIN(G47*$D$10,$E$10),0)),0))</f>
        <v/>
      </c>
      <c r="K47" s="19">
        <f>IF(G47="","",IF(G47&gt;=$C$11,IF(B47="G마켓",ROUNDDOWN(MIN(G47*$D$11,$E$11),0),ROUNDUP(MIN(G47*$D$11,$E$11),0)),0))</f>
        <v/>
      </c>
      <c r="L47" s="19">
        <f>IF(G47="","",IF(G47&gt;=$C$12,IF(B47="G마켓",ROUNDDOWN(MIN(G47*$D$12,$E$12),0),ROUNDUP(MIN(G47*$D$12,$E$12),0)),0))</f>
        <v/>
      </c>
      <c r="M47" s="19" t="n"/>
      <c r="N47" s="19">
        <f>IF(G47="","",MAX(I47,J47,K47,L47))</f>
        <v/>
      </c>
      <c r="O47" s="19">
        <f>IF(G47="","",G47-N47)</f>
        <v/>
      </c>
      <c r="P47" s="19" t="n"/>
      <c r="Q47" s="19">
        <f>IF(O47="","",IF(O47&gt;=$J$9,IF(B47="G마켓",ROUNDDOWN(MIN(O47*$K$9,$L$9),0),ROUNDUP(MIN(O47*$K$9,$L$9),0)),0))</f>
        <v/>
      </c>
      <c r="R47" s="19">
        <f>IF(O47="","",IF(O47&gt;=$J$10,IF(B47="G마켓",ROUNDDOWN(MIN(O47*$K$10,$L$10),0),ROUNDUP(MIN(O47*$K$10,$L$10),0)),0))</f>
        <v/>
      </c>
      <c r="S47" s="19">
        <f>IF(O47="","",IF(O47&gt;=$J$11,IF(B47="G마켓",ROUNDDOWN(MIN(O47*$K$11,$L$11),0),ROUNDUP(MIN(O47*$K$11,$L$11),0)),0))</f>
        <v/>
      </c>
      <c r="T47" s="19">
        <f>IF(O47="","",MAX(Q47,R47,S47))</f>
        <v/>
      </c>
      <c r="U47" s="19">
        <f>IF(O47="","",O47-T47)</f>
        <v/>
      </c>
      <c r="V47" s="19">
        <f>IF(O47="","",IF(B47="G마켓",ROUNDDOWN(MAX(Q47*$N$9,R47*$N$10,S47*$N$11),0),ROUNDUP(MAX(Q47*$N$9,R47*$N$10,S47*$N$11),0)))</f>
        <v/>
      </c>
      <c r="W47" s="19">
        <f>IF(G47="","",IF(B47="G마켓",ROUNDDOWN(G47-G47*$D$3-V47,0),ROUNDUP(G47-G47*$D$3-V47,0)))</f>
        <v/>
      </c>
    </row>
    <row r="48">
      <c r="B48" s="18" t="n"/>
      <c r="C48" s="18" t="n"/>
      <c r="D48" s="18" t="n"/>
      <c r="E48" s="19" t="n"/>
      <c r="F48" s="19" t="n"/>
      <c r="G48" s="19">
        <f>IF(E48="","",E48-N(F48))</f>
        <v/>
      </c>
      <c r="H48" s="19" t="n"/>
      <c r="I48" s="19">
        <f>IF(G48="","",IF(G48&gt;=$C$9,IF(B48="G마켓",ROUNDDOWN(MIN(G48*$D$9,$E$9),0),ROUNDUP(MIN(G48*$D$9,$E$9),0)),0))</f>
        <v/>
      </c>
      <c r="J48" s="19">
        <f>IF(G48="","",IF(G48&gt;=$C$10,IF(B48="G마켓",ROUNDDOWN(MIN(G48*$D$10,$E$10),0),ROUNDUP(MIN(G48*$D$10,$E$10),0)),0))</f>
        <v/>
      </c>
      <c r="K48" s="19">
        <f>IF(G48="","",IF(G48&gt;=$C$11,IF(B48="G마켓",ROUNDDOWN(MIN(G48*$D$11,$E$11),0),ROUNDUP(MIN(G48*$D$11,$E$11),0)),0))</f>
        <v/>
      </c>
      <c r="L48" s="19">
        <f>IF(G48="","",IF(G48&gt;=$C$12,IF(B48="G마켓",ROUNDDOWN(MIN(G48*$D$12,$E$12),0),ROUNDUP(MIN(G48*$D$12,$E$12),0)),0))</f>
        <v/>
      </c>
      <c r="M48" s="19" t="n"/>
      <c r="N48" s="19">
        <f>IF(G48="","",MAX(I48,J48,K48,L48))</f>
        <v/>
      </c>
      <c r="O48" s="19">
        <f>IF(G48="","",G48-N48)</f>
        <v/>
      </c>
      <c r="P48" s="19" t="n"/>
      <c r="Q48" s="19">
        <f>IF(O48="","",IF(O48&gt;=$J$9,IF(B48="G마켓",ROUNDDOWN(MIN(O48*$K$9,$L$9),0),ROUNDUP(MIN(O48*$K$9,$L$9),0)),0))</f>
        <v/>
      </c>
      <c r="R48" s="19">
        <f>IF(O48="","",IF(O48&gt;=$J$10,IF(B48="G마켓",ROUNDDOWN(MIN(O48*$K$10,$L$10),0),ROUNDUP(MIN(O48*$K$10,$L$10),0)),0))</f>
        <v/>
      </c>
      <c r="S48" s="19">
        <f>IF(O48="","",IF(O48&gt;=$J$11,IF(B48="G마켓",ROUNDDOWN(MIN(O48*$K$11,$L$11),0),ROUNDUP(MIN(O48*$K$11,$L$11),0)),0))</f>
        <v/>
      </c>
      <c r="T48" s="19">
        <f>IF(O48="","",MAX(Q48,R48,S48))</f>
        <v/>
      </c>
      <c r="U48" s="19">
        <f>IF(O48="","",O48-T48)</f>
        <v/>
      </c>
      <c r="V48" s="19">
        <f>IF(O48="","",IF(B48="G마켓",ROUNDDOWN(MAX(Q48*$N$9,R48*$N$10,S48*$N$11),0),ROUNDUP(MAX(Q48*$N$9,R48*$N$10,S48*$N$11),0)))</f>
        <v/>
      </c>
      <c r="W48" s="19">
        <f>IF(G48="","",IF(B48="G마켓",ROUNDDOWN(G48-G48*$D$3-V48,0),ROUNDUP(G48-G48*$D$3-V48,0)))</f>
        <v/>
      </c>
    </row>
    <row r="49">
      <c r="B49" s="18" t="n"/>
      <c r="C49" s="18" t="n"/>
      <c r="D49" s="18" t="n"/>
      <c r="E49" s="19" t="n"/>
      <c r="F49" s="19" t="n"/>
      <c r="G49" s="19">
        <f>IF(E49="","",E49-N(F49))</f>
        <v/>
      </c>
      <c r="H49" s="19" t="n"/>
      <c r="I49" s="19">
        <f>IF(G49="","",IF(G49&gt;=$C$9,IF(B49="G마켓",ROUNDDOWN(MIN(G49*$D$9,$E$9),0),ROUNDUP(MIN(G49*$D$9,$E$9),0)),0))</f>
        <v/>
      </c>
      <c r="J49" s="19">
        <f>IF(G49="","",IF(G49&gt;=$C$10,IF(B49="G마켓",ROUNDDOWN(MIN(G49*$D$10,$E$10),0),ROUNDUP(MIN(G49*$D$10,$E$10),0)),0))</f>
        <v/>
      </c>
      <c r="K49" s="19">
        <f>IF(G49="","",IF(G49&gt;=$C$11,IF(B49="G마켓",ROUNDDOWN(MIN(G49*$D$11,$E$11),0),ROUNDUP(MIN(G49*$D$11,$E$11),0)),0))</f>
        <v/>
      </c>
      <c r="L49" s="19">
        <f>IF(G49="","",IF(G49&gt;=$C$12,IF(B49="G마켓",ROUNDDOWN(MIN(G49*$D$12,$E$12),0),ROUNDUP(MIN(G49*$D$12,$E$12),0)),0))</f>
        <v/>
      </c>
      <c r="M49" s="19" t="n"/>
      <c r="N49" s="19">
        <f>IF(G49="","",MAX(I49,J49,K49,L49))</f>
        <v/>
      </c>
      <c r="O49" s="19">
        <f>IF(G49="","",G49-N49)</f>
        <v/>
      </c>
      <c r="P49" s="19" t="n"/>
      <c r="Q49" s="19">
        <f>IF(O49="","",IF(O49&gt;=$J$9,IF(B49="G마켓",ROUNDDOWN(MIN(O49*$K$9,$L$9),0),ROUNDUP(MIN(O49*$K$9,$L$9),0)),0))</f>
        <v/>
      </c>
      <c r="R49" s="19">
        <f>IF(O49="","",IF(O49&gt;=$J$10,IF(B49="G마켓",ROUNDDOWN(MIN(O49*$K$10,$L$10),0),ROUNDUP(MIN(O49*$K$10,$L$10),0)),0))</f>
        <v/>
      </c>
      <c r="S49" s="19">
        <f>IF(O49="","",IF(O49&gt;=$J$11,IF(B49="G마켓",ROUNDDOWN(MIN(O49*$K$11,$L$11),0),ROUNDUP(MIN(O49*$K$11,$L$11),0)),0))</f>
        <v/>
      </c>
      <c r="T49" s="19">
        <f>IF(O49="","",MAX(Q49,R49,S49))</f>
        <v/>
      </c>
      <c r="U49" s="19">
        <f>IF(O49="","",O49-T49)</f>
        <v/>
      </c>
      <c r="V49" s="19">
        <f>IF(O49="","",IF(B49="G마켓",ROUNDDOWN(MAX(Q49*$N$9,R49*$N$10,S49*$N$11),0),ROUNDUP(MAX(Q49*$N$9,R49*$N$10,S49*$N$11),0)))</f>
        <v/>
      </c>
      <c r="W49" s="19">
        <f>IF(G49="","",IF(B49="G마켓",ROUNDDOWN(G49-G49*$D$3-V49,0),ROUNDUP(G49-G49*$D$3-V49,0)))</f>
        <v/>
      </c>
    </row>
    <row r="50">
      <c r="B50" s="18" t="n"/>
      <c r="C50" s="18" t="n"/>
      <c r="D50" s="18" t="n"/>
      <c r="E50" s="19" t="n"/>
      <c r="F50" s="19" t="n"/>
      <c r="G50" s="19">
        <f>IF(E50="","",E50-N(F50))</f>
        <v/>
      </c>
      <c r="H50" s="19" t="n"/>
      <c r="I50" s="19">
        <f>IF(G50="","",IF(G50&gt;=$C$9,IF(B50="G마켓",ROUNDDOWN(MIN(G50*$D$9,$E$9),0),ROUNDUP(MIN(G50*$D$9,$E$9),0)),0))</f>
        <v/>
      </c>
      <c r="J50" s="19">
        <f>IF(G50="","",IF(G50&gt;=$C$10,IF(B50="G마켓",ROUNDDOWN(MIN(G50*$D$10,$E$10),0),ROUNDUP(MIN(G50*$D$10,$E$10),0)),0))</f>
        <v/>
      </c>
      <c r="K50" s="19">
        <f>IF(G50="","",IF(G50&gt;=$C$11,IF(B50="G마켓",ROUNDDOWN(MIN(G50*$D$11,$E$11),0),ROUNDUP(MIN(G50*$D$11,$E$11),0)),0))</f>
        <v/>
      </c>
      <c r="L50" s="19">
        <f>IF(G50="","",IF(G50&gt;=$C$12,IF(B50="G마켓",ROUNDDOWN(MIN(G50*$D$12,$E$12),0),ROUNDUP(MIN(G50*$D$12,$E$12),0)),0))</f>
        <v/>
      </c>
      <c r="M50" s="19" t="n"/>
      <c r="N50" s="19">
        <f>IF(G50="","",MAX(I50,J50,K50,L50))</f>
        <v/>
      </c>
      <c r="O50" s="19">
        <f>IF(G50="","",G50-N50)</f>
        <v/>
      </c>
      <c r="P50" s="19" t="n"/>
      <c r="Q50" s="19">
        <f>IF(O50="","",IF(O50&gt;=$J$9,IF(B50="G마켓",ROUNDDOWN(MIN(O50*$K$9,$L$9),0),ROUNDUP(MIN(O50*$K$9,$L$9),0)),0))</f>
        <v/>
      </c>
      <c r="R50" s="19">
        <f>IF(O50="","",IF(O50&gt;=$J$10,IF(B50="G마켓",ROUNDDOWN(MIN(O50*$K$10,$L$10),0),ROUNDUP(MIN(O50*$K$10,$L$10),0)),0))</f>
        <v/>
      </c>
      <c r="S50" s="19">
        <f>IF(O50="","",IF(O50&gt;=$J$11,IF(B50="G마켓",ROUNDDOWN(MIN(O50*$K$11,$L$11),0),ROUNDUP(MIN(O50*$K$11,$L$11),0)),0))</f>
        <v/>
      </c>
      <c r="T50" s="19">
        <f>IF(O50="","",MAX(Q50,R50,S50))</f>
        <v/>
      </c>
      <c r="U50" s="19">
        <f>IF(O50="","",O50-T50)</f>
        <v/>
      </c>
      <c r="V50" s="19">
        <f>IF(O50="","",IF(B50="G마켓",ROUNDDOWN(MAX(Q50*$N$9,R50*$N$10,S50*$N$11),0),ROUNDUP(MAX(Q50*$N$9,R50*$N$10,S50*$N$11),0)))</f>
        <v/>
      </c>
      <c r="W50" s="19">
        <f>IF(G50="","",IF(B50="G마켓",ROUNDDOWN(G50-G50*$D$3-V50,0),ROUNDUP(G50-G50*$D$3-V50,0)))</f>
        <v/>
      </c>
    </row>
    <row r="51">
      <c r="B51" s="18" t="n"/>
      <c r="C51" s="18" t="n"/>
      <c r="D51" s="18" t="n"/>
      <c r="E51" s="19" t="n"/>
      <c r="F51" s="19" t="n"/>
      <c r="G51" s="19">
        <f>IF(E51="","",E51-N(F51))</f>
        <v/>
      </c>
      <c r="H51" s="19" t="n"/>
      <c r="I51" s="19">
        <f>IF(G51="","",IF(G51&gt;=$C$9,IF(B51="G마켓",ROUNDDOWN(MIN(G51*$D$9,$E$9),0),ROUNDUP(MIN(G51*$D$9,$E$9),0)),0))</f>
        <v/>
      </c>
      <c r="J51" s="19">
        <f>IF(G51="","",IF(G51&gt;=$C$10,IF(B51="G마켓",ROUNDDOWN(MIN(G51*$D$10,$E$10),0),ROUNDUP(MIN(G51*$D$10,$E$10),0)),0))</f>
        <v/>
      </c>
      <c r="K51" s="19">
        <f>IF(G51="","",IF(G51&gt;=$C$11,IF(B51="G마켓",ROUNDDOWN(MIN(G51*$D$11,$E$11),0),ROUNDUP(MIN(G51*$D$11,$E$11),0)),0))</f>
        <v/>
      </c>
      <c r="L51" s="19">
        <f>IF(G51="","",IF(G51&gt;=$C$12,IF(B51="G마켓",ROUNDDOWN(MIN(G51*$D$12,$E$12),0),ROUNDUP(MIN(G51*$D$12,$E$12),0)),0))</f>
        <v/>
      </c>
      <c r="M51" s="19" t="n"/>
      <c r="N51" s="19">
        <f>IF(G51="","",MAX(I51,J51,K51,L51))</f>
        <v/>
      </c>
      <c r="O51" s="19">
        <f>IF(G51="","",G51-N51)</f>
        <v/>
      </c>
      <c r="P51" s="19" t="n"/>
      <c r="Q51" s="19">
        <f>IF(O51="","",IF(O51&gt;=$J$9,IF(B51="G마켓",ROUNDDOWN(MIN(O51*$K$9,$L$9),0),ROUNDUP(MIN(O51*$K$9,$L$9),0)),0))</f>
        <v/>
      </c>
      <c r="R51" s="19">
        <f>IF(O51="","",IF(O51&gt;=$J$10,IF(B51="G마켓",ROUNDDOWN(MIN(O51*$K$10,$L$10),0),ROUNDUP(MIN(O51*$K$10,$L$10),0)),0))</f>
        <v/>
      </c>
      <c r="S51" s="19">
        <f>IF(O51="","",IF(O51&gt;=$J$11,IF(B51="G마켓",ROUNDDOWN(MIN(O51*$K$11,$L$11),0),ROUNDUP(MIN(O51*$K$11,$L$11),0)),0))</f>
        <v/>
      </c>
      <c r="T51" s="19">
        <f>IF(O51="","",MAX(Q51,R51,S51))</f>
        <v/>
      </c>
      <c r="U51" s="19">
        <f>IF(O51="","",O51-T51)</f>
        <v/>
      </c>
      <c r="V51" s="19">
        <f>IF(O51="","",IF(B51="G마켓",ROUNDDOWN(MAX(Q51*$N$9,R51*$N$10,S51*$N$11),0),ROUNDUP(MAX(Q51*$N$9,R51*$N$10,S51*$N$11),0)))</f>
        <v/>
      </c>
      <c r="W51" s="19">
        <f>IF(G51="","",IF(B51="G마켓",ROUNDDOWN(G51-G51*$D$3-V51,0),ROUNDUP(G51-G51*$D$3-V51,0)))</f>
        <v/>
      </c>
    </row>
    <row r="52">
      <c r="B52" s="18" t="n"/>
      <c r="C52" s="18" t="n"/>
      <c r="D52" s="18" t="n"/>
      <c r="E52" s="19" t="n"/>
      <c r="F52" s="19" t="n"/>
      <c r="G52" s="19">
        <f>IF(E52="","",E52-N(F52))</f>
        <v/>
      </c>
      <c r="H52" s="19" t="n"/>
      <c r="I52" s="19">
        <f>IF(G52="","",IF(G52&gt;=$C$9,IF(B52="G마켓",ROUNDDOWN(MIN(G52*$D$9,$E$9),0),ROUNDUP(MIN(G52*$D$9,$E$9),0)),0))</f>
        <v/>
      </c>
      <c r="J52" s="19">
        <f>IF(G52="","",IF(G52&gt;=$C$10,IF(B52="G마켓",ROUNDDOWN(MIN(G52*$D$10,$E$10),0),ROUNDUP(MIN(G52*$D$10,$E$10),0)),0))</f>
        <v/>
      </c>
      <c r="K52" s="19">
        <f>IF(G52="","",IF(G52&gt;=$C$11,IF(B52="G마켓",ROUNDDOWN(MIN(G52*$D$11,$E$11),0),ROUNDUP(MIN(G52*$D$11,$E$11),0)),0))</f>
        <v/>
      </c>
      <c r="L52" s="19">
        <f>IF(G52="","",IF(G52&gt;=$C$12,IF(B52="G마켓",ROUNDDOWN(MIN(G52*$D$12,$E$12),0),ROUNDUP(MIN(G52*$D$12,$E$12),0)),0))</f>
        <v/>
      </c>
      <c r="M52" s="19" t="n"/>
      <c r="N52" s="19">
        <f>IF(G52="","",MAX(I52,J52,K52,L52))</f>
        <v/>
      </c>
      <c r="O52" s="19">
        <f>IF(G52="","",G52-N52)</f>
        <v/>
      </c>
      <c r="P52" s="19" t="n"/>
      <c r="Q52" s="19">
        <f>IF(O52="","",IF(O52&gt;=$J$9,IF(B52="G마켓",ROUNDDOWN(MIN(O52*$K$9,$L$9),0),ROUNDUP(MIN(O52*$K$9,$L$9),0)),0))</f>
        <v/>
      </c>
      <c r="R52" s="19">
        <f>IF(O52="","",IF(O52&gt;=$J$10,IF(B52="G마켓",ROUNDDOWN(MIN(O52*$K$10,$L$10),0),ROUNDUP(MIN(O52*$K$10,$L$10),0)),0))</f>
        <v/>
      </c>
      <c r="S52" s="19">
        <f>IF(O52="","",IF(O52&gt;=$J$11,IF(B52="G마켓",ROUNDDOWN(MIN(O52*$K$11,$L$11),0),ROUNDUP(MIN(O52*$K$11,$L$11),0)),0))</f>
        <v/>
      </c>
      <c r="T52" s="19">
        <f>IF(O52="","",MAX(Q52,R52,S52))</f>
        <v/>
      </c>
      <c r="U52" s="19">
        <f>IF(O52="","",O52-T52)</f>
        <v/>
      </c>
      <c r="V52" s="19">
        <f>IF(O52="","",IF(B52="G마켓",ROUNDDOWN(MAX(Q52*$N$9,R52*$N$10,S52*$N$11),0),ROUNDUP(MAX(Q52*$N$9,R52*$N$10,S52*$N$11),0)))</f>
        <v/>
      </c>
      <c r="W52" s="19">
        <f>IF(G52="","",IF(B52="G마켓",ROUNDDOWN(G52-G52*$D$3-V52,0),ROUNDUP(G52-G52*$D$3-V52,0)))</f>
        <v/>
      </c>
    </row>
    <row r="53">
      <c r="B53" s="18" t="n"/>
      <c r="C53" s="18" t="n"/>
      <c r="D53" s="18" t="n"/>
      <c r="E53" s="19" t="n"/>
      <c r="F53" s="19" t="n"/>
      <c r="G53" s="19">
        <f>IF(E53="","",E53-N(F53))</f>
        <v/>
      </c>
      <c r="H53" s="19" t="n"/>
      <c r="I53" s="19">
        <f>IF(G53="","",IF(G53&gt;=$C$9,IF(B53="G마켓",ROUNDDOWN(MIN(G53*$D$9,$E$9),0),ROUNDUP(MIN(G53*$D$9,$E$9),0)),0))</f>
        <v/>
      </c>
      <c r="J53" s="19">
        <f>IF(G53="","",IF(G53&gt;=$C$10,IF(B53="G마켓",ROUNDDOWN(MIN(G53*$D$10,$E$10),0),ROUNDUP(MIN(G53*$D$10,$E$10),0)),0))</f>
        <v/>
      </c>
      <c r="K53" s="19">
        <f>IF(G53="","",IF(G53&gt;=$C$11,IF(B53="G마켓",ROUNDDOWN(MIN(G53*$D$11,$E$11),0),ROUNDUP(MIN(G53*$D$11,$E$11),0)),0))</f>
        <v/>
      </c>
      <c r="L53" s="19">
        <f>IF(G53="","",IF(G53&gt;=$C$12,IF(B53="G마켓",ROUNDDOWN(MIN(G53*$D$12,$E$12),0),ROUNDUP(MIN(G53*$D$12,$E$12),0)),0))</f>
        <v/>
      </c>
      <c r="M53" s="19" t="n"/>
      <c r="N53" s="19">
        <f>IF(G53="","",MAX(I53,J53,K53,L53))</f>
        <v/>
      </c>
      <c r="O53" s="19">
        <f>IF(G53="","",G53-N53)</f>
        <v/>
      </c>
      <c r="P53" s="19" t="n"/>
      <c r="Q53" s="19">
        <f>IF(O53="","",IF(O53&gt;=$J$9,IF(B53="G마켓",ROUNDDOWN(MIN(O53*$K$9,$L$9),0),ROUNDUP(MIN(O53*$K$9,$L$9),0)),0))</f>
        <v/>
      </c>
      <c r="R53" s="19">
        <f>IF(O53="","",IF(O53&gt;=$J$10,IF(B53="G마켓",ROUNDDOWN(MIN(O53*$K$10,$L$10),0),ROUNDUP(MIN(O53*$K$10,$L$10),0)),0))</f>
        <v/>
      </c>
      <c r="S53" s="19">
        <f>IF(O53="","",IF(O53&gt;=$J$11,IF(B53="G마켓",ROUNDDOWN(MIN(O53*$K$11,$L$11),0),ROUNDUP(MIN(O53*$K$11,$L$11),0)),0))</f>
        <v/>
      </c>
      <c r="T53" s="19">
        <f>IF(O53="","",MAX(Q53,R53,S53))</f>
        <v/>
      </c>
      <c r="U53" s="19">
        <f>IF(O53="","",O53-T53)</f>
        <v/>
      </c>
      <c r="V53" s="19">
        <f>IF(O53="","",IF(B53="G마켓",ROUNDDOWN(MAX(Q53*$N$9,R53*$N$10,S53*$N$11),0),ROUNDUP(MAX(Q53*$N$9,R53*$N$10,S53*$N$11),0)))</f>
        <v/>
      </c>
      <c r="W53" s="19">
        <f>IF(G53="","",IF(B53="G마켓",ROUNDDOWN(G53-G53*$D$3-V53,0),ROUNDUP(G53-G53*$D$3-V53,0)))</f>
        <v/>
      </c>
    </row>
    <row r="54">
      <c r="B54" s="18" t="n"/>
      <c r="C54" s="18" t="n"/>
      <c r="D54" s="18" t="n"/>
      <c r="E54" s="19" t="n"/>
      <c r="F54" s="19" t="n"/>
      <c r="G54" s="19">
        <f>IF(E54="","",E54-N(F54))</f>
        <v/>
      </c>
      <c r="H54" s="19" t="n"/>
      <c r="I54" s="19">
        <f>IF(G54="","",IF(G54&gt;=$C$9,IF(B54="G마켓",ROUNDDOWN(MIN(G54*$D$9,$E$9),0),ROUNDUP(MIN(G54*$D$9,$E$9),0)),0))</f>
        <v/>
      </c>
      <c r="J54" s="19">
        <f>IF(G54="","",IF(G54&gt;=$C$10,IF(B54="G마켓",ROUNDDOWN(MIN(G54*$D$10,$E$10),0),ROUNDUP(MIN(G54*$D$10,$E$10),0)),0))</f>
        <v/>
      </c>
      <c r="K54" s="19">
        <f>IF(G54="","",IF(G54&gt;=$C$11,IF(B54="G마켓",ROUNDDOWN(MIN(G54*$D$11,$E$11),0),ROUNDUP(MIN(G54*$D$11,$E$11),0)),0))</f>
        <v/>
      </c>
      <c r="L54" s="19">
        <f>IF(G54="","",IF(G54&gt;=$C$12,IF(B54="G마켓",ROUNDDOWN(MIN(G54*$D$12,$E$12),0),ROUNDUP(MIN(G54*$D$12,$E$12),0)),0))</f>
        <v/>
      </c>
      <c r="M54" s="19" t="n"/>
      <c r="N54" s="19">
        <f>IF(G54="","",MAX(I54,J54,K54,L54))</f>
        <v/>
      </c>
      <c r="O54" s="19">
        <f>IF(G54="","",G54-N54)</f>
        <v/>
      </c>
      <c r="P54" s="19" t="n"/>
      <c r="Q54" s="19">
        <f>IF(O54="","",IF(O54&gt;=$J$9,IF(B54="G마켓",ROUNDDOWN(MIN(O54*$K$9,$L$9),0),ROUNDUP(MIN(O54*$K$9,$L$9),0)),0))</f>
        <v/>
      </c>
      <c r="R54" s="19">
        <f>IF(O54="","",IF(O54&gt;=$J$10,IF(B54="G마켓",ROUNDDOWN(MIN(O54*$K$10,$L$10),0),ROUNDUP(MIN(O54*$K$10,$L$10),0)),0))</f>
        <v/>
      </c>
      <c r="S54" s="19">
        <f>IF(O54="","",IF(O54&gt;=$J$11,IF(B54="G마켓",ROUNDDOWN(MIN(O54*$K$11,$L$11),0),ROUNDUP(MIN(O54*$K$11,$L$11),0)),0))</f>
        <v/>
      </c>
      <c r="T54" s="19">
        <f>IF(O54="","",MAX(Q54,R54,S54))</f>
        <v/>
      </c>
      <c r="U54" s="19">
        <f>IF(O54="","",O54-T54)</f>
        <v/>
      </c>
      <c r="V54" s="19">
        <f>IF(O54="","",IF(B54="G마켓",ROUNDDOWN(MAX(Q54*$N$9,R54*$N$10,S54*$N$11),0),ROUNDUP(MAX(Q54*$N$9,R54*$N$10,S54*$N$11),0)))</f>
        <v/>
      </c>
      <c r="W54" s="19">
        <f>IF(G54="","",IF(B54="G마켓",ROUNDDOWN(G54-G54*$D$3-V54,0),ROUNDUP(G54-G54*$D$3-V54,0)))</f>
        <v/>
      </c>
    </row>
    <row r="55">
      <c r="B55" s="18" t="n"/>
      <c r="C55" s="18" t="n"/>
      <c r="D55" s="18" t="n"/>
      <c r="E55" s="19" t="n"/>
      <c r="F55" s="19" t="n"/>
      <c r="G55" s="19">
        <f>IF(E55="","",E55-N(F55))</f>
        <v/>
      </c>
      <c r="H55" s="19" t="n"/>
      <c r="I55" s="19">
        <f>IF(G55="","",IF(G55&gt;=$C$9,IF(B55="G마켓",ROUNDDOWN(MIN(G55*$D$9,$E$9),0),ROUNDUP(MIN(G55*$D$9,$E$9),0)),0))</f>
        <v/>
      </c>
      <c r="J55" s="19">
        <f>IF(G55="","",IF(G55&gt;=$C$10,IF(B55="G마켓",ROUNDDOWN(MIN(G55*$D$10,$E$10),0),ROUNDUP(MIN(G55*$D$10,$E$10),0)),0))</f>
        <v/>
      </c>
      <c r="K55" s="19">
        <f>IF(G55="","",IF(G55&gt;=$C$11,IF(B55="G마켓",ROUNDDOWN(MIN(G55*$D$11,$E$11),0),ROUNDUP(MIN(G55*$D$11,$E$11),0)),0))</f>
        <v/>
      </c>
      <c r="L55" s="19">
        <f>IF(G55="","",IF(G55&gt;=$C$12,IF(B55="G마켓",ROUNDDOWN(MIN(G55*$D$12,$E$12),0),ROUNDUP(MIN(G55*$D$12,$E$12),0)),0))</f>
        <v/>
      </c>
      <c r="M55" s="19" t="n"/>
      <c r="N55" s="19">
        <f>IF(G55="","",MAX(I55,J55,K55,L55))</f>
        <v/>
      </c>
      <c r="O55" s="19">
        <f>IF(G55="","",G55-N55)</f>
        <v/>
      </c>
      <c r="P55" s="19" t="n"/>
      <c r="Q55" s="19">
        <f>IF(O55="","",IF(O55&gt;=$J$9,IF(B55="G마켓",ROUNDDOWN(MIN(O55*$K$9,$L$9),0),ROUNDUP(MIN(O55*$K$9,$L$9),0)),0))</f>
        <v/>
      </c>
      <c r="R55" s="19">
        <f>IF(O55="","",IF(O55&gt;=$J$10,IF(B55="G마켓",ROUNDDOWN(MIN(O55*$K$10,$L$10),0),ROUNDUP(MIN(O55*$K$10,$L$10),0)),0))</f>
        <v/>
      </c>
      <c r="S55" s="19">
        <f>IF(O55="","",IF(O55&gt;=$J$11,IF(B55="G마켓",ROUNDDOWN(MIN(O55*$K$11,$L$11),0),ROUNDUP(MIN(O55*$K$11,$L$11),0)),0))</f>
        <v/>
      </c>
      <c r="T55" s="19">
        <f>IF(O55="","",MAX(Q55,R55,S55))</f>
        <v/>
      </c>
      <c r="U55" s="19">
        <f>IF(O55="","",O55-T55)</f>
        <v/>
      </c>
      <c r="V55" s="19">
        <f>IF(O55="","",IF(B55="G마켓",ROUNDDOWN(MAX(Q55*$N$9,R55*$N$10,S55*$N$11),0),ROUNDUP(MAX(Q55*$N$9,R55*$N$10,S55*$N$11),0)))</f>
        <v/>
      </c>
      <c r="W55" s="19">
        <f>IF(G55="","",IF(B55="G마켓",ROUNDDOWN(G55-G55*$D$3-V55,0),ROUNDUP(G55-G55*$D$3-V55,0)))</f>
        <v/>
      </c>
    </row>
    <row r="56">
      <c r="B56" s="18" t="n"/>
      <c r="C56" s="18" t="n"/>
      <c r="D56" s="18" t="n"/>
      <c r="E56" s="19" t="n"/>
      <c r="F56" s="19" t="n"/>
      <c r="G56" s="19">
        <f>IF(E56="","",E56-N(F56))</f>
        <v/>
      </c>
      <c r="H56" s="19" t="n"/>
      <c r="I56" s="19">
        <f>IF(G56="","",IF(G56&gt;=$C$9,IF(B56="G마켓",ROUNDDOWN(MIN(G56*$D$9,$E$9),0),ROUNDUP(MIN(G56*$D$9,$E$9),0)),0))</f>
        <v/>
      </c>
      <c r="J56" s="19">
        <f>IF(G56="","",IF(G56&gt;=$C$10,IF(B56="G마켓",ROUNDDOWN(MIN(G56*$D$10,$E$10),0),ROUNDUP(MIN(G56*$D$10,$E$10),0)),0))</f>
        <v/>
      </c>
      <c r="K56" s="19">
        <f>IF(G56="","",IF(G56&gt;=$C$11,IF(B56="G마켓",ROUNDDOWN(MIN(G56*$D$11,$E$11),0),ROUNDUP(MIN(G56*$D$11,$E$11),0)),0))</f>
        <v/>
      </c>
      <c r="L56" s="19">
        <f>IF(G56="","",IF(G56&gt;=$C$12,IF(B56="G마켓",ROUNDDOWN(MIN(G56*$D$12,$E$12),0),ROUNDUP(MIN(G56*$D$12,$E$12),0)),0))</f>
        <v/>
      </c>
      <c r="M56" s="19" t="n"/>
      <c r="N56" s="19">
        <f>IF(G56="","",MAX(I56,J56,K56,L56))</f>
        <v/>
      </c>
      <c r="O56" s="19">
        <f>IF(G56="","",G56-N56)</f>
        <v/>
      </c>
      <c r="P56" s="19" t="n"/>
      <c r="Q56" s="19">
        <f>IF(O56="","",IF(O56&gt;=$J$9,IF(B56="G마켓",ROUNDDOWN(MIN(O56*$K$9,$L$9),0),ROUNDUP(MIN(O56*$K$9,$L$9),0)),0))</f>
        <v/>
      </c>
      <c r="R56" s="19">
        <f>IF(O56="","",IF(O56&gt;=$J$10,IF(B56="G마켓",ROUNDDOWN(MIN(O56*$K$10,$L$10),0),ROUNDUP(MIN(O56*$K$10,$L$10),0)),0))</f>
        <v/>
      </c>
      <c r="S56" s="19">
        <f>IF(O56="","",IF(O56&gt;=$J$11,IF(B56="G마켓",ROUNDDOWN(MIN(O56*$K$11,$L$11),0),ROUNDUP(MIN(O56*$K$11,$L$11),0)),0))</f>
        <v/>
      </c>
      <c r="T56" s="19">
        <f>IF(O56="","",MAX(Q56,R56,S56))</f>
        <v/>
      </c>
      <c r="U56" s="19">
        <f>IF(O56="","",O56-T56)</f>
        <v/>
      </c>
      <c r="V56" s="19">
        <f>IF(O56="","",IF(B56="G마켓",ROUNDDOWN(MAX(Q56*$N$9,R56*$N$10,S56*$N$11),0),ROUNDUP(MAX(Q56*$N$9,R56*$N$10,S56*$N$11),0)))</f>
        <v/>
      </c>
      <c r="W56" s="19">
        <f>IF(G56="","",IF(B56="G마켓",ROUNDDOWN(G56-G56*$D$3-V56,0),ROUNDUP(G56-G56*$D$3-V56,0)))</f>
        <v/>
      </c>
    </row>
    <row r="57">
      <c r="B57" s="18" t="n"/>
      <c r="C57" s="18" t="n"/>
      <c r="D57" s="18" t="n"/>
      <c r="E57" s="19" t="n"/>
      <c r="F57" s="19" t="n"/>
      <c r="G57" s="19">
        <f>IF(E57="","",E57-N(F57))</f>
        <v/>
      </c>
      <c r="H57" s="19" t="n"/>
      <c r="I57" s="19">
        <f>IF(G57="","",IF(G57&gt;=$C$9,IF(B57="G마켓",ROUNDDOWN(MIN(G57*$D$9,$E$9),0),ROUNDUP(MIN(G57*$D$9,$E$9),0)),0))</f>
        <v/>
      </c>
      <c r="J57" s="19">
        <f>IF(G57="","",IF(G57&gt;=$C$10,IF(B57="G마켓",ROUNDDOWN(MIN(G57*$D$10,$E$10),0),ROUNDUP(MIN(G57*$D$10,$E$10),0)),0))</f>
        <v/>
      </c>
      <c r="K57" s="19">
        <f>IF(G57="","",IF(G57&gt;=$C$11,IF(B57="G마켓",ROUNDDOWN(MIN(G57*$D$11,$E$11),0),ROUNDUP(MIN(G57*$D$11,$E$11),0)),0))</f>
        <v/>
      </c>
      <c r="L57" s="19">
        <f>IF(G57="","",IF(G57&gt;=$C$12,IF(B57="G마켓",ROUNDDOWN(MIN(G57*$D$12,$E$12),0),ROUNDUP(MIN(G57*$D$12,$E$12),0)),0))</f>
        <v/>
      </c>
      <c r="M57" s="19" t="n"/>
      <c r="N57" s="19">
        <f>IF(G57="","",MAX(I57,J57,K57,L57))</f>
        <v/>
      </c>
      <c r="O57" s="19">
        <f>IF(G57="","",G57-N57)</f>
        <v/>
      </c>
      <c r="P57" s="19" t="n"/>
      <c r="Q57" s="19">
        <f>IF(O57="","",IF(O57&gt;=$J$9,IF(B57="G마켓",ROUNDDOWN(MIN(O57*$K$9,$L$9),0),ROUNDUP(MIN(O57*$K$9,$L$9),0)),0))</f>
        <v/>
      </c>
      <c r="R57" s="19">
        <f>IF(O57="","",IF(O57&gt;=$J$10,IF(B57="G마켓",ROUNDDOWN(MIN(O57*$K$10,$L$10),0),ROUNDUP(MIN(O57*$K$10,$L$10),0)),0))</f>
        <v/>
      </c>
      <c r="S57" s="19">
        <f>IF(O57="","",IF(O57&gt;=$J$11,IF(B57="G마켓",ROUNDDOWN(MIN(O57*$K$11,$L$11),0),ROUNDUP(MIN(O57*$K$11,$L$11),0)),0))</f>
        <v/>
      </c>
      <c r="T57" s="19">
        <f>IF(O57="","",MAX(Q57,R57,S57))</f>
        <v/>
      </c>
      <c r="U57" s="19">
        <f>IF(O57="","",O57-T57)</f>
        <v/>
      </c>
      <c r="V57" s="19">
        <f>IF(O57="","",IF(B57="G마켓",ROUNDDOWN(MAX(Q57*$N$9,R57*$N$10,S57*$N$11),0),ROUNDUP(MAX(Q57*$N$9,R57*$N$10,S57*$N$11),0)))</f>
        <v/>
      </c>
      <c r="W57" s="19">
        <f>IF(G57="","",IF(B57="G마켓",ROUNDDOWN(G57-G57*$D$3-V57,0),ROUNDUP(G57-G57*$D$3-V57,0)))</f>
        <v/>
      </c>
    </row>
    <row r="58">
      <c r="B58" s="18" t="n"/>
      <c r="C58" s="18" t="n"/>
      <c r="D58" s="18" t="n"/>
      <c r="E58" s="19" t="n"/>
      <c r="F58" s="19" t="n"/>
      <c r="G58" s="19">
        <f>IF(E58="","",E58-N(F58))</f>
        <v/>
      </c>
      <c r="H58" s="19" t="n"/>
      <c r="I58" s="19">
        <f>IF(G58="","",IF(G58&gt;=$C$9,IF(B58="G마켓",ROUNDDOWN(MIN(G58*$D$9,$E$9),0),ROUNDUP(MIN(G58*$D$9,$E$9),0)),0))</f>
        <v/>
      </c>
      <c r="J58" s="19">
        <f>IF(G58="","",IF(G58&gt;=$C$10,IF(B58="G마켓",ROUNDDOWN(MIN(G58*$D$10,$E$10),0),ROUNDUP(MIN(G58*$D$10,$E$10),0)),0))</f>
        <v/>
      </c>
      <c r="K58" s="19">
        <f>IF(G58="","",IF(G58&gt;=$C$11,IF(B58="G마켓",ROUNDDOWN(MIN(G58*$D$11,$E$11),0),ROUNDUP(MIN(G58*$D$11,$E$11),0)),0))</f>
        <v/>
      </c>
      <c r="L58" s="19">
        <f>IF(G58="","",IF(G58&gt;=$C$12,IF(B58="G마켓",ROUNDDOWN(MIN(G58*$D$12,$E$12),0),ROUNDUP(MIN(G58*$D$12,$E$12),0)),0))</f>
        <v/>
      </c>
      <c r="M58" s="19" t="n"/>
      <c r="N58" s="19">
        <f>IF(G58="","",MAX(I58,J58,K58,L58))</f>
        <v/>
      </c>
      <c r="O58" s="19">
        <f>IF(G58="","",G58-N58)</f>
        <v/>
      </c>
      <c r="P58" s="19" t="n"/>
      <c r="Q58" s="19">
        <f>IF(O58="","",IF(O58&gt;=$J$9,IF(B58="G마켓",ROUNDDOWN(MIN(O58*$K$9,$L$9),0),ROUNDUP(MIN(O58*$K$9,$L$9),0)),0))</f>
        <v/>
      </c>
      <c r="R58" s="19">
        <f>IF(O58="","",IF(O58&gt;=$J$10,IF(B58="G마켓",ROUNDDOWN(MIN(O58*$K$10,$L$10),0),ROUNDUP(MIN(O58*$K$10,$L$10),0)),0))</f>
        <v/>
      </c>
      <c r="S58" s="19">
        <f>IF(O58="","",IF(O58&gt;=$J$11,IF(B58="G마켓",ROUNDDOWN(MIN(O58*$K$11,$L$11),0),ROUNDUP(MIN(O58*$K$11,$L$11),0)),0))</f>
        <v/>
      </c>
      <c r="T58" s="19">
        <f>IF(O58="","",MAX(Q58,R58,S58))</f>
        <v/>
      </c>
      <c r="U58" s="19">
        <f>IF(O58="","",O58-T58)</f>
        <v/>
      </c>
      <c r="V58" s="19">
        <f>IF(O58="","",IF(B58="G마켓",ROUNDDOWN(MAX(Q58*$N$9,R58*$N$10,S58*$N$11),0),ROUNDUP(MAX(Q58*$N$9,R58*$N$10,S58*$N$11),0)))</f>
        <v/>
      </c>
      <c r="W58" s="19">
        <f>IF(G58="","",IF(B58="G마켓",ROUNDDOWN(G58-G58*$D$3-V58,0),ROUNDUP(G58-G58*$D$3-V58,0)))</f>
        <v/>
      </c>
    </row>
    <row r="59">
      <c r="B59" s="18" t="n"/>
      <c r="C59" s="18" t="n"/>
      <c r="D59" s="18" t="n"/>
      <c r="E59" s="19" t="n"/>
      <c r="F59" s="19" t="n"/>
      <c r="G59" s="19">
        <f>IF(E59="","",E59-N(F59))</f>
        <v/>
      </c>
      <c r="H59" s="19" t="n"/>
      <c r="I59" s="19">
        <f>IF(G59="","",IF(G59&gt;=$C$9,IF(B59="G마켓",ROUNDDOWN(MIN(G59*$D$9,$E$9),0),ROUNDUP(MIN(G59*$D$9,$E$9),0)),0))</f>
        <v/>
      </c>
      <c r="J59" s="19">
        <f>IF(G59="","",IF(G59&gt;=$C$10,IF(B59="G마켓",ROUNDDOWN(MIN(G59*$D$10,$E$10),0),ROUNDUP(MIN(G59*$D$10,$E$10),0)),0))</f>
        <v/>
      </c>
      <c r="K59" s="19">
        <f>IF(G59="","",IF(G59&gt;=$C$11,IF(B59="G마켓",ROUNDDOWN(MIN(G59*$D$11,$E$11),0),ROUNDUP(MIN(G59*$D$11,$E$11),0)),0))</f>
        <v/>
      </c>
      <c r="L59" s="19">
        <f>IF(G59="","",IF(G59&gt;=$C$12,IF(B59="G마켓",ROUNDDOWN(MIN(G59*$D$12,$E$12),0),ROUNDUP(MIN(G59*$D$12,$E$12),0)),0))</f>
        <v/>
      </c>
      <c r="M59" s="19" t="n"/>
      <c r="N59" s="19">
        <f>IF(G59="","",MAX(I59,J59,K59,L59))</f>
        <v/>
      </c>
      <c r="O59" s="19">
        <f>IF(G59="","",G59-N59)</f>
        <v/>
      </c>
      <c r="P59" s="19" t="n"/>
      <c r="Q59" s="19">
        <f>IF(O59="","",IF(O59&gt;=$J$9,IF(B59="G마켓",ROUNDDOWN(MIN(O59*$K$9,$L$9),0),ROUNDUP(MIN(O59*$K$9,$L$9),0)),0))</f>
        <v/>
      </c>
      <c r="R59" s="19">
        <f>IF(O59="","",IF(O59&gt;=$J$10,IF(B59="G마켓",ROUNDDOWN(MIN(O59*$K$10,$L$10),0),ROUNDUP(MIN(O59*$K$10,$L$10),0)),0))</f>
        <v/>
      </c>
      <c r="S59" s="19">
        <f>IF(O59="","",IF(O59&gt;=$J$11,IF(B59="G마켓",ROUNDDOWN(MIN(O59*$K$11,$L$11),0),ROUNDUP(MIN(O59*$K$11,$L$11),0)),0))</f>
        <v/>
      </c>
      <c r="T59" s="19">
        <f>IF(O59="","",MAX(Q59,R59,S59))</f>
        <v/>
      </c>
      <c r="U59" s="19">
        <f>IF(O59="","",O59-T59)</f>
        <v/>
      </c>
      <c r="V59" s="19">
        <f>IF(O59="","",IF(B59="G마켓",ROUNDDOWN(MAX(Q59*$N$9,R59*$N$10,S59*$N$11),0),ROUNDUP(MAX(Q59*$N$9,R59*$N$10,S59*$N$11),0)))</f>
        <v/>
      </c>
      <c r="W59" s="19">
        <f>IF(G59="","",IF(B59="G마켓",ROUNDDOWN(G59-G59*$D$3-V59,0),ROUNDUP(G59-G59*$D$3-V59,0)))</f>
        <v/>
      </c>
    </row>
    <row r="60">
      <c r="B60" s="18" t="n"/>
      <c r="C60" s="18" t="n"/>
      <c r="D60" s="18" t="n"/>
      <c r="E60" s="19" t="n"/>
      <c r="F60" s="19" t="n"/>
      <c r="G60" s="19">
        <f>IF(E60="","",E60-N(F60))</f>
        <v/>
      </c>
      <c r="H60" s="19" t="n"/>
      <c r="I60" s="19">
        <f>IF(G60="","",IF(G60&gt;=$C$9,IF(B60="G마켓",ROUNDDOWN(MIN(G60*$D$9,$E$9),0),ROUNDUP(MIN(G60*$D$9,$E$9),0)),0))</f>
        <v/>
      </c>
      <c r="J60" s="19">
        <f>IF(G60="","",IF(G60&gt;=$C$10,IF(B60="G마켓",ROUNDDOWN(MIN(G60*$D$10,$E$10),0),ROUNDUP(MIN(G60*$D$10,$E$10),0)),0))</f>
        <v/>
      </c>
      <c r="K60" s="19">
        <f>IF(G60="","",IF(G60&gt;=$C$11,IF(B60="G마켓",ROUNDDOWN(MIN(G60*$D$11,$E$11),0),ROUNDUP(MIN(G60*$D$11,$E$11),0)),0))</f>
        <v/>
      </c>
      <c r="L60" s="19">
        <f>IF(G60="","",IF(G60&gt;=$C$12,IF(B60="G마켓",ROUNDDOWN(MIN(G60*$D$12,$E$12),0),ROUNDUP(MIN(G60*$D$12,$E$12),0)),0))</f>
        <v/>
      </c>
      <c r="M60" s="19" t="n"/>
      <c r="N60" s="19">
        <f>IF(G60="","",MAX(I60,J60,K60,L60))</f>
        <v/>
      </c>
      <c r="O60" s="19">
        <f>IF(G60="","",G60-N60)</f>
        <v/>
      </c>
      <c r="P60" s="19" t="n"/>
      <c r="Q60" s="19">
        <f>IF(O60="","",IF(O60&gt;=$J$9,IF(B60="G마켓",ROUNDDOWN(MIN(O60*$K$9,$L$9),0),ROUNDUP(MIN(O60*$K$9,$L$9),0)),0))</f>
        <v/>
      </c>
      <c r="R60" s="19">
        <f>IF(O60="","",IF(O60&gt;=$J$10,IF(B60="G마켓",ROUNDDOWN(MIN(O60*$K$10,$L$10),0),ROUNDUP(MIN(O60*$K$10,$L$10),0)),0))</f>
        <v/>
      </c>
      <c r="S60" s="19">
        <f>IF(O60="","",IF(O60&gt;=$J$11,IF(B60="G마켓",ROUNDDOWN(MIN(O60*$K$11,$L$11),0),ROUNDUP(MIN(O60*$K$11,$L$11),0)),0))</f>
        <v/>
      </c>
      <c r="T60" s="19">
        <f>IF(O60="","",MAX(Q60,R60,S60))</f>
        <v/>
      </c>
      <c r="U60" s="19">
        <f>IF(O60="","",O60-T60)</f>
        <v/>
      </c>
      <c r="V60" s="19">
        <f>IF(O60="","",IF(B60="G마켓",ROUNDDOWN(MAX(Q60*$N$9,R60*$N$10,S60*$N$11),0),ROUNDUP(MAX(Q60*$N$9,R60*$N$10,S60*$N$11),0)))</f>
        <v/>
      </c>
      <c r="W60" s="19">
        <f>IF(G60="","",IF(B60="G마켓",ROUNDDOWN(G60-G60*$D$3-V60,0),ROUNDUP(G60-G60*$D$3-V60,0)))</f>
        <v/>
      </c>
    </row>
    <row r="61">
      <c r="B61" s="18" t="n"/>
      <c r="C61" s="18" t="n"/>
      <c r="D61" s="18" t="n"/>
      <c r="E61" s="19" t="n"/>
      <c r="F61" s="19" t="n"/>
      <c r="G61" s="19">
        <f>IF(E61="","",E61-N(F61))</f>
        <v/>
      </c>
      <c r="H61" s="19" t="n"/>
      <c r="I61" s="19">
        <f>IF(G61="","",IF(G61&gt;=$C$9,IF(B61="G마켓",ROUNDDOWN(MIN(G61*$D$9,$E$9),0),ROUNDUP(MIN(G61*$D$9,$E$9),0)),0))</f>
        <v/>
      </c>
      <c r="J61" s="19">
        <f>IF(G61="","",IF(G61&gt;=$C$10,IF(B61="G마켓",ROUNDDOWN(MIN(G61*$D$10,$E$10),0),ROUNDUP(MIN(G61*$D$10,$E$10),0)),0))</f>
        <v/>
      </c>
      <c r="K61" s="19">
        <f>IF(G61="","",IF(G61&gt;=$C$11,IF(B61="G마켓",ROUNDDOWN(MIN(G61*$D$11,$E$11),0),ROUNDUP(MIN(G61*$D$11,$E$11),0)),0))</f>
        <v/>
      </c>
      <c r="L61" s="19">
        <f>IF(G61="","",IF(G61&gt;=$C$12,IF(B61="G마켓",ROUNDDOWN(MIN(G61*$D$12,$E$12),0),ROUNDUP(MIN(G61*$D$12,$E$12),0)),0))</f>
        <v/>
      </c>
      <c r="M61" s="19" t="n"/>
      <c r="N61" s="19">
        <f>IF(G61="","",MAX(I61,J61,K61,L61))</f>
        <v/>
      </c>
      <c r="O61" s="19">
        <f>IF(G61="","",G61-N61)</f>
        <v/>
      </c>
      <c r="P61" s="19" t="n"/>
      <c r="Q61" s="19">
        <f>IF(O61="","",IF(O61&gt;=$J$9,IF(B61="G마켓",ROUNDDOWN(MIN(O61*$K$9,$L$9),0),ROUNDUP(MIN(O61*$K$9,$L$9),0)),0))</f>
        <v/>
      </c>
      <c r="R61" s="19">
        <f>IF(O61="","",IF(O61&gt;=$J$10,IF(B61="G마켓",ROUNDDOWN(MIN(O61*$K$10,$L$10),0),ROUNDUP(MIN(O61*$K$10,$L$10),0)),0))</f>
        <v/>
      </c>
      <c r="S61" s="19">
        <f>IF(O61="","",IF(O61&gt;=$J$11,IF(B61="G마켓",ROUNDDOWN(MIN(O61*$K$11,$L$11),0),ROUNDUP(MIN(O61*$K$11,$L$11),0)),0))</f>
        <v/>
      </c>
      <c r="T61" s="19">
        <f>IF(O61="","",MAX(Q61,R61,S61))</f>
        <v/>
      </c>
      <c r="U61" s="19">
        <f>IF(O61="","",O61-T61)</f>
        <v/>
      </c>
      <c r="V61" s="19">
        <f>IF(O61="","",IF(B61="G마켓",ROUNDDOWN(MAX(Q61*$N$9,R61*$N$10,S61*$N$11),0),ROUNDUP(MAX(Q61*$N$9,R61*$N$10,S61*$N$11),0)))</f>
        <v/>
      </c>
      <c r="W61" s="19">
        <f>IF(G61="","",IF(B61="G마켓",ROUNDDOWN(G61-G61*$D$3-V61,0),ROUNDUP(G61-G61*$D$3-V61,0)))</f>
        <v/>
      </c>
    </row>
    <row r="62">
      <c r="B62" s="18" t="n"/>
      <c r="C62" s="18" t="n"/>
      <c r="D62" s="18" t="n"/>
      <c r="E62" s="19" t="n"/>
      <c r="F62" s="19" t="n"/>
      <c r="G62" s="19">
        <f>IF(E62="","",E62-N(F62))</f>
        <v/>
      </c>
      <c r="H62" s="19" t="n"/>
      <c r="I62" s="19">
        <f>IF(G62="","",IF(G62&gt;=$C$9,IF(B62="G마켓",ROUNDDOWN(MIN(G62*$D$9,$E$9),0),ROUNDUP(MIN(G62*$D$9,$E$9),0)),0))</f>
        <v/>
      </c>
      <c r="J62" s="19">
        <f>IF(G62="","",IF(G62&gt;=$C$10,IF(B62="G마켓",ROUNDDOWN(MIN(G62*$D$10,$E$10),0),ROUNDUP(MIN(G62*$D$10,$E$10),0)),0))</f>
        <v/>
      </c>
      <c r="K62" s="19">
        <f>IF(G62="","",IF(G62&gt;=$C$11,IF(B62="G마켓",ROUNDDOWN(MIN(G62*$D$11,$E$11),0),ROUNDUP(MIN(G62*$D$11,$E$11),0)),0))</f>
        <v/>
      </c>
      <c r="L62" s="19">
        <f>IF(G62="","",IF(G62&gt;=$C$12,IF(B62="G마켓",ROUNDDOWN(MIN(G62*$D$12,$E$12),0),ROUNDUP(MIN(G62*$D$12,$E$12),0)),0))</f>
        <v/>
      </c>
      <c r="M62" s="19" t="n"/>
      <c r="N62" s="19">
        <f>IF(G62="","",MAX(I62,J62,K62,L62))</f>
        <v/>
      </c>
      <c r="O62" s="19">
        <f>IF(G62="","",G62-N62)</f>
        <v/>
      </c>
      <c r="P62" s="19" t="n"/>
      <c r="Q62" s="19">
        <f>IF(O62="","",IF(O62&gt;=$J$9,IF(B62="G마켓",ROUNDDOWN(MIN(O62*$K$9,$L$9),0),ROUNDUP(MIN(O62*$K$9,$L$9),0)),0))</f>
        <v/>
      </c>
      <c r="R62" s="19">
        <f>IF(O62="","",IF(O62&gt;=$J$10,IF(B62="G마켓",ROUNDDOWN(MIN(O62*$K$10,$L$10),0),ROUNDUP(MIN(O62*$K$10,$L$10),0)),0))</f>
        <v/>
      </c>
      <c r="S62" s="19">
        <f>IF(O62="","",IF(O62&gt;=$J$11,IF(B62="G마켓",ROUNDDOWN(MIN(O62*$K$11,$L$11),0),ROUNDUP(MIN(O62*$K$11,$L$11),0)),0))</f>
        <v/>
      </c>
      <c r="T62" s="19">
        <f>IF(O62="","",MAX(Q62,R62,S62))</f>
        <v/>
      </c>
      <c r="U62" s="19">
        <f>IF(O62="","",O62-T62)</f>
        <v/>
      </c>
      <c r="V62" s="19">
        <f>IF(O62="","",IF(B62="G마켓",ROUNDDOWN(MAX(Q62*$N$9,R62*$N$10,S62*$N$11),0),ROUNDUP(MAX(Q62*$N$9,R62*$N$10,S62*$N$11),0)))</f>
        <v/>
      </c>
      <c r="W62" s="19">
        <f>IF(G62="","",IF(B62="G마켓",ROUNDDOWN(G62-G62*$D$3-V62,0),ROUNDUP(G62-G62*$D$3-V62,0)))</f>
        <v/>
      </c>
    </row>
    <row r="63">
      <c r="B63" s="18" t="n"/>
      <c r="C63" s="18" t="n"/>
      <c r="D63" s="18" t="n"/>
      <c r="E63" s="19" t="n"/>
      <c r="F63" s="19" t="n"/>
      <c r="G63" s="19">
        <f>IF(E63="","",E63-N(F63))</f>
        <v/>
      </c>
      <c r="H63" s="19" t="n"/>
      <c r="I63" s="19">
        <f>IF(G63="","",IF(G63&gt;=$C$9,IF(B63="G마켓",ROUNDDOWN(MIN(G63*$D$9,$E$9),0),ROUNDUP(MIN(G63*$D$9,$E$9),0)),0))</f>
        <v/>
      </c>
      <c r="J63" s="19">
        <f>IF(G63="","",IF(G63&gt;=$C$10,IF(B63="G마켓",ROUNDDOWN(MIN(G63*$D$10,$E$10),0),ROUNDUP(MIN(G63*$D$10,$E$10),0)),0))</f>
        <v/>
      </c>
      <c r="K63" s="19">
        <f>IF(G63="","",IF(G63&gt;=$C$11,IF(B63="G마켓",ROUNDDOWN(MIN(G63*$D$11,$E$11),0),ROUNDUP(MIN(G63*$D$11,$E$11),0)),0))</f>
        <v/>
      </c>
      <c r="L63" s="19">
        <f>IF(G63="","",IF(G63&gt;=$C$12,IF(B63="G마켓",ROUNDDOWN(MIN(G63*$D$12,$E$12),0),ROUNDUP(MIN(G63*$D$12,$E$12),0)),0))</f>
        <v/>
      </c>
      <c r="M63" s="19" t="n"/>
      <c r="N63" s="19">
        <f>IF(G63="","",MAX(I63,J63,K63,L63))</f>
        <v/>
      </c>
      <c r="O63" s="19">
        <f>IF(G63="","",G63-N63)</f>
        <v/>
      </c>
      <c r="P63" s="19" t="n"/>
      <c r="Q63" s="19">
        <f>IF(O63="","",IF(O63&gt;=$J$9,IF(B63="G마켓",ROUNDDOWN(MIN(O63*$K$9,$L$9),0),ROUNDUP(MIN(O63*$K$9,$L$9),0)),0))</f>
        <v/>
      </c>
      <c r="R63" s="19">
        <f>IF(O63="","",IF(O63&gt;=$J$10,IF(B63="G마켓",ROUNDDOWN(MIN(O63*$K$10,$L$10),0),ROUNDUP(MIN(O63*$K$10,$L$10),0)),0))</f>
        <v/>
      </c>
      <c r="S63" s="19">
        <f>IF(O63="","",IF(O63&gt;=$J$11,IF(B63="G마켓",ROUNDDOWN(MIN(O63*$K$11,$L$11),0),ROUNDUP(MIN(O63*$K$11,$L$11),0)),0))</f>
        <v/>
      </c>
      <c r="T63" s="19">
        <f>IF(O63="","",MAX(Q63,R63,S63))</f>
        <v/>
      </c>
      <c r="U63" s="19">
        <f>IF(O63="","",O63-T63)</f>
        <v/>
      </c>
      <c r="V63" s="19">
        <f>IF(O63="","",IF(B63="G마켓",ROUNDDOWN(MAX(Q63*$N$9,R63*$N$10,S63*$N$11),0),ROUNDUP(MAX(Q63*$N$9,R63*$N$10,S63*$N$11),0)))</f>
        <v/>
      </c>
      <c r="W63" s="19">
        <f>IF(G63="","",IF(B63="G마켓",ROUNDDOWN(G63-G63*$D$3-V63,0),ROUNDUP(G63-G63*$D$3-V63,0)))</f>
        <v/>
      </c>
    </row>
    <row r="64">
      <c r="B64" s="18" t="n"/>
      <c r="C64" s="18" t="n"/>
      <c r="D64" s="18" t="n"/>
      <c r="E64" s="19" t="n"/>
      <c r="F64" s="19" t="n"/>
      <c r="G64" s="19">
        <f>IF(E64="","",E64-N(F64))</f>
        <v/>
      </c>
      <c r="H64" s="19" t="n"/>
      <c r="I64" s="19">
        <f>IF(G64="","",IF(G64&gt;=$C$9,IF(B64="G마켓",ROUNDDOWN(MIN(G64*$D$9,$E$9),0),ROUNDUP(MIN(G64*$D$9,$E$9),0)),0))</f>
        <v/>
      </c>
      <c r="J64" s="19">
        <f>IF(G64="","",IF(G64&gt;=$C$10,IF(B64="G마켓",ROUNDDOWN(MIN(G64*$D$10,$E$10),0),ROUNDUP(MIN(G64*$D$10,$E$10),0)),0))</f>
        <v/>
      </c>
      <c r="K64" s="19">
        <f>IF(G64="","",IF(G64&gt;=$C$11,IF(B64="G마켓",ROUNDDOWN(MIN(G64*$D$11,$E$11),0),ROUNDUP(MIN(G64*$D$11,$E$11),0)),0))</f>
        <v/>
      </c>
      <c r="L64" s="19">
        <f>IF(G64="","",IF(G64&gt;=$C$12,IF(B64="G마켓",ROUNDDOWN(MIN(G64*$D$12,$E$12),0),ROUNDUP(MIN(G64*$D$12,$E$12),0)),0))</f>
        <v/>
      </c>
      <c r="M64" s="19" t="n"/>
      <c r="N64" s="19">
        <f>IF(G64="","",MAX(I64,J64,K64,L64))</f>
        <v/>
      </c>
      <c r="O64" s="19">
        <f>IF(G64="","",G64-N64)</f>
        <v/>
      </c>
      <c r="P64" s="19" t="n"/>
      <c r="Q64" s="19">
        <f>IF(O64="","",IF(O64&gt;=$J$9,IF(B64="G마켓",ROUNDDOWN(MIN(O64*$K$9,$L$9),0),ROUNDUP(MIN(O64*$K$9,$L$9),0)),0))</f>
        <v/>
      </c>
      <c r="R64" s="19">
        <f>IF(O64="","",IF(O64&gt;=$J$10,IF(B64="G마켓",ROUNDDOWN(MIN(O64*$K$10,$L$10),0),ROUNDUP(MIN(O64*$K$10,$L$10),0)),0))</f>
        <v/>
      </c>
      <c r="S64" s="19">
        <f>IF(O64="","",IF(O64&gt;=$J$11,IF(B64="G마켓",ROUNDDOWN(MIN(O64*$K$11,$L$11),0),ROUNDUP(MIN(O64*$K$11,$L$11),0)),0))</f>
        <v/>
      </c>
      <c r="T64" s="19">
        <f>IF(O64="","",MAX(Q64,R64,S64))</f>
        <v/>
      </c>
      <c r="U64" s="19">
        <f>IF(O64="","",O64-T64)</f>
        <v/>
      </c>
      <c r="V64" s="19">
        <f>IF(O64="","",IF(B64="G마켓",ROUNDDOWN(MAX(Q64*$N$9,R64*$N$10,S64*$N$11),0),ROUNDUP(MAX(Q64*$N$9,R64*$N$10,S64*$N$11),0)))</f>
        <v/>
      </c>
      <c r="W64" s="19">
        <f>IF(G64="","",IF(B64="G마켓",ROUNDDOWN(G64-G64*$D$3-V64,0),ROUNDUP(G64-G64*$D$3-V64,0)))</f>
        <v/>
      </c>
    </row>
    <row r="65">
      <c r="B65" s="18" t="n"/>
      <c r="C65" s="18" t="n"/>
      <c r="D65" s="18" t="n"/>
      <c r="E65" s="19" t="n"/>
      <c r="F65" s="19" t="n"/>
      <c r="G65" s="19">
        <f>IF(E65="","",E65-N(F65))</f>
        <v/>
      </c>
      <c r="H65" s="19" t="n"/>
      <c r="I65" s="19">
        <f>IF(G65="","",IF(G65&gt;=$C$9,IF(B65="G마켓",ROUNDDOWN(MIN(G65*$D$9,$E$9),0),ROUNDUP(MIN(G65*$D$9,$E$9),0)),0))</f>
        <v/>
      </c>
      <c r="J65" s="19">
        <f>IF(G65="","",IF(G65&gt;=$C$10,IF(B65="G마켓",ROUNDDOWN(MIN(G65*$D$10,$E$10),0),ROUNDUP(MIN(G65*$D$10,$E$10),0)),0))</f>
        <v/>
      </c>
      <c r="K65" s="19">
        <f>IF(G65="","",IF(G65&gt;=$C$11,IF(B65="G마켓",ROUNDDOWN(MIN(G65*$D$11,$E$11),0),ROUNDUP(MIN(G65*$D$11,$E$11),0)),0))</f>
        <v/>
      </c>
      <c r="L65" s="19">
        <f>IF(G65="","",IF(G65&gt;=$C$12,IF(B65="G마켓",ROUNDDOWN(MIN(G65*$D$12,$E$12),0),ROUNDUP(MIN(G65*$D$12,$E$12),0)),0))</f>
        <v/>
      </c>
      <c r="M65" s="19" t="n"/>
      <c r="N65" s="19">
        <f>IF(G65="","",MAX(I65,J65,K65,L65))</f>
        <v/>
      </c>
      <c r="O65" s="19">
        <f>IF(G65="","",G65-N65)</f>
        <v/>
      </c>
      <c r="P65" s="19" t="n"/>
      <c r="Q65" s="19">
        <f>IF(O65="","",IF(O65&gt;=$J$9,IF(B65="G마켓",ROUNDDOWN(MIN(O65*$K$9,$L$9),0),ROUNDUP(MIN(O65*$K$9,$L$9),0)),0))</f>
        <v/>
      </c>
      <c r="R65" s="19">
        <f>IF(O65="","",IF(O65&gt;=$J$10,IF(B65="G마켓",ROUNDDOWN(MIN(O65*$K$10,$L$10),0),ROUNDUP(MIN(O65*$K$10,$L$10),0)),0))</f>
        <v/>
      </c>
      <c r="S65" s="19">
        <f>IF(O65="","",IF(O65&gt;=$J$11,IF(B65="G마켓",ROUNDDOWN(MIN(O65*$K$11,$L$11),0),ROUNDUP(MIN(O65*$K$11,$L$11),0)),0))</f>
        <v/>
      </c>
      <c r="T65" s="19">
        <f>IF(O65="","",MAX(Q65,R65,S65))</f>
        <v/>
      </c>
      <c r="U65" s="19">
        <f>IF(O65="","",O65-T65)</f>
        <v/>
      </c>
      <c r="V65" s="19">
        <f>IF(O65="","",IF(B65="G마켓",ROUNDDOWN(MAX(Q65*$N$9,R65*$N$10,S65*$N$11),0),ROUNDUP(MAX(Q65*$N$9,R65*$N$10,S65*$N$11),0)))</f>
        <v/>
      </c>
      <c r="W65" s="19">
        <f>IF(G65="","",IF(B65="G마켓",ROUNDDOWN(G65-G65*$D$3-V65,0),ROUNDUP(G65-G65*$D$3-V65,0)))</f>
        <v/>
      </c>
    </row>
    <row r="66">
      <c r="B66" s="18" t="n"/>
      <c r="C66" s="18" t="n"/>
      <c r="D66" s="18" t="n"/>
      <c r="E66" s="19" t="n"/>
      <c r="F66" s="19" t="n"/>
      <c r="G66" s="19">
        <f>IF(E66="","",E66-N(F66))</f>
        <v/>
      </c>
      <c r="H66" s="19" t="n"/>
      <c r="I66" s="19">
        <f>IF(G66="","",IF(G66&gt;=$C$9,IF(B66="G마켓",ROUNDDOWN(MIN(G66*$D$9,$E$9),0),ROUNDUP(MIN(G66*$D$9,$E$9),0)),0))</f>
        <v/>
      </c>
      <c r="J66" s="19">
        <f>IF(G66="","",IF(G66&gt;=$C$10,IF(B66="G마켓",ROUNDDOWN(MIN(G66*$D$10,$E$10),0),ROUNDUP(MIN(G66*$D$10,$E$10),0)),0))</f>
        <v/>
      </c>
      <c r="K66" s="19">
        <f>IF(G66="","",IF(G66&gt;=$C$11,IF(B66="G마켓",ROUNDDOWN(MIN(G66*$D$11,$E$11),0),ROUNDUP(MIN(G66*$D$11,$E$11),0)),0))</f>
        <v/>
      </c>
      <c r="L66" s="19">
        <f>IF(G66="","",IF(G66&gt;=$C$12,IF(B66="G마켓",ROUNDDOWN(MIN(G66*$D$12,$E$12),0),ROUNDUP(MIN(G66*$D$12,$E$12),0)),0))</f>
        <v/>
      </c>
      <c r="M66" s="19" t="n"/>
      <c r="N66" s="19">
        <f>IF(G66="","",MAX(I66,J66,K66,L66))</f>
        <v/>
      </c>
      <c r="O66" s="19">
        <f>IF(G66="","",G66-N66)</f>
        <v/>
      </c>
      <c r="P66" s="19" t="n"/>
      <c r="Q66" s="19">
        <f>IF(O66="","",IF(O66&gt;=$J$9,IF(B66="G마켓",ROUNDDOWN(MIN(O66*$K$9,$L$9),0),ROUNDUP(MIN(O66*$K$9,$L$9),0)),0))</f>
        <v/>
      </c>
      <c r="R66" s="19">
        <f>IF(O66="","",IF(O66&gt;=$J$10,IF(B66="G마켓",ROUNDDOWN(MIN(O66*$K$10,$L$10),0),ROUNDUP(MIN(O66*$K$10,$L$10),0)),0))</f>
        <v/>
      </c>
      <c r="S66" s="19">
        <f>IF(O66="","",IF(O66&gt;=$J$11,IF(B66="G마켓",ROUNDDOWN(MIN(O66*$K$11,$L$11),0),ROUNDUP(MIN(O66*$K$11,$L$11),0)),0))</f>
        <v/>
      </c>
      <c r="T66" s="19">
        <f>IF(O66="","",MAX(Q66,R66,S66))</f>
        <v/>
      </c>
      <c r="U66" s="19">
        <f>IF(O66="","",O66-T66)</f>
        <v/>
      </c>
      <c r="V66" s="19">
        <f>IF(O66="","",IF(B66="G마켓",ROUNDDOWN(MAX(Q66*$N$9,R66*$N$10,S66*$N$11),0),ROUNDUP(MAX(Q66*$N$9,R66*$N$10,S66*$N$11),0)))</f>
        <v/>
      </c>
      <c r="W66" s="19">
        <f>IF(G66="","",IF(B66="G마켓",ROUNDDOWN(G66-G66*$D$3-V66,0),ROUNDUP(G66-G66*$D$3-V66,0)))</f>
        <v/>
      </c>
    </row>
    <row r="67">
      <c r="B67" s="18" t="n"/>
      <c r="C67" s="18" t="n"/>
      <c r="D67" s="18" t="n"/>
      <c r="E67" s="19" t="n"/>
      <c r="F67" s="19" t="n"/>
      <c r="G67" s="19">
        <f>IF(E67="","",E67-N(F67))</f>
        <v/>
      </c>
      <c r="H67" s="19" t="n"/>
      <c r="I67" s="19">
        <f>IF(G67="","",IF(G67&gt;=$C$9,IF(B67="G마켓",ROUNDDOWN(MIN(G67*$D$9,$E$9),0),ROUNDUP(MIN(G67*$D$9,$E$9),0)),0))</f>
        <v/>
      </c>
      <c r="J67" s="19">
        <f>IF(G67="","",IF(G67&gt;=$C$10,IF(B67="G마켓",ROUNDDOWN(MIN(G67*$D$10,$E$10),0),ROUNDUP(MIN(G67*$D$10,$E$10),0)),0))</f>
        <v/>
      </c>
      <c r="K67" s="19">
        <f>IF(G67="","",IF(G67&gt;=$C$11,IF(B67="G마켓",ROUNDDOWN(MIN(G67*$D$11,$E$11),0),ROUNDUP(MIN(G67*$D$11,$E$11),0)),0))</f>
        <v/>
      </c>
      <c r="L67" s="19">
        <f>IF(G67="","",IF(G67&gt;=$C$12,IF(B67="G마켓",ROUNDDOWN(MIN(G67*$D$12,$E$12),0),ROUNDUP(MIN(G67*$D$12,$E$12),0)),0))</f>
        <v/>
      </c>
      <c r="M67" s="19" t="n"/>
      <c r="N67" s="19">
        <f>IF(G67="","",MAX(I67,J67,K67,L67))</f>
        <v/>
      </c>
      <c r="O67" s="19">
        <f>IF(G67="","",G67-N67)</f>
        <v/>
      </c>
      <c r="P67" s="19" t="n"/>
      <c r="Q67" s="19">
        <f>IF(O67="","",IF(O67&gt;=$J$9,IF(B67="G마켓",ROUNDDOWN(MIN(O67*$K$9,$L$9),0),ROUNDUP(MIN(O67*$K$9,$L$9),0)),0))</f>
        <v/>
      </c>
      <c r="R67" s="19">
        <f>IF(O67="","",IF(O67&gt;=$J$10,IF(B67="G마켓",ROUNDDOWN(MIN(O67*$K$10,$L$10),0),ROUNDUP(MIN(O67*$K$10,$L$10),0)),0))</f>
        <v/>
      </c>
      <c r="S67" s="19">
        <f>IF(O67="","",IF(O67&gt;=$J$11,IF(B67="G마켓",ROUNDDOWN(MIN(O67*$K$11,$L$11),0),ROUNDUP(MIN(O67*$K$11,$L$11),0)),0))</f>
        <v/>
      </c>
      <c r="T67" s="19">
        <f>IF(O67="","",MAX(Q67,R67,S67))</f>
        <v/>
      </c>
      <c r="U67" s="19">
        <f>IF(O67="","",O67-T67)</f>
        <v/>
      </c>
      <c r="V67" s="19">
        <f>IF(O67="","",IF(B67="G마켓",ROUNDDOWN(MAX(Q67*$N$9,R67*$N$10,S67*$N$11),0),ROUNDUP(MAX(Q67*$N$9,R67*$N$10,S67*$N$11),0)))</f>
        <v/>
      </c>
      <c r="W67" s="19">
        <f>IF(G67="","",IF(B67="G마켓",ROUNDDOWN(G67-G67*$D$3-V67,0),ROUNDUP(G67-G67*$D$3-V67,0)))</f>
        <v/>
      </c>
    </row>
    <row r="68">
      <c r="B68" s="18" t="n"/>
      <c r="C68" s="18" t="n"/>
      <c r="D68" s="18" t="n"/>
      <c r="E68" s="19" t="n"/>
      <c r="F68" s="19" t="n"/>
      <c r="G68" s="19">
        <f>IF(E68="","",E68-N(F68))</f>
        <v/>
      </c>
      <c r="H68" s="19" t="n"/>
      <c r="I68" s="19">
        <f>IF(G68="","",IF(G68&gt;=$C$9,IF(B68="G마켓",ROUNDDOWN(MIN(G68*$D$9,$E$9),0),ROUNDUP(MIN(G68*$D$9,$E$9),0)),0))</f>
        <v/>
      </c>
      <c r="J68" s="19">
        <f>IF(G68="","",IF(G68&gt;=$C$10,IF(B68="G마켓",ROUNDDOWN(MIN(G68*$D$10,$E$10),0),ROUNDUP(MIN(G68*$D$10,$E$10),0)),0))</f>
        <v/>
      </c>
      <c r="K68" s="19">
        <f>IF(G68="","",IF(G68&gt;=$C$11,IF(B68="G마켓",ROUNDDOWN(MIN(G68*$D$11,$E$11),0),ROUNDUP(MIN(G68*$D$11,$E$11),0)),0))</f>
        <v/>
      </c>
      <c r="L68" s="19">
        <f>IF(G68="","",IF(G68&gt;=$C$12,IF(B68="G마켓",ROUNDDOWN(MIN(G68*$D$12,$E$12),0),ROUNDUP(MIN(G68*$D$12,$E$12),0)),0))</f>
        <v/>
      </c>
      <c r="M68" s="19" t="n"/>
      <c r="N68" s="19">
        <f>IF(G68="","",MAX(I68,J68,K68,L68))</f>
        <v/>
      </c>
      <c r="O68" s="19">
        <f>IF(G68="","",G68-N68)</f>
        <v/>
      </c>
      <c r="P68" s="19" t="n"/>
      <c r="Q68" s="19">
        <f>IF(O68="","",IF(O68&gt;=$J$9,IF(B68="G마켓",ROUNDDOWN(MIN(O68*$K$9,$L$9),0),ROUNDUP(MIN(O68*$K$9,$L$9),0)),0))</f>
        <v/>
      </c>
      <c r="R68" s="19">
        <f>IF(O68="","",IF(O68&gt;=$J$10,IF(B68="G마켓",ROUNDDOWN(MIN(O68*$K$10,$L$10),0),ROUNDUP(MIN(O68*$K$10,$L$10),0)),0))</f>
        <v/>
      </c>
      <c r="S68" s="19">
        <f>IF(O68="","",IF(O68&gt;=$J$11,IF(B68="G마켓",ROUNDDOWN(MIN(O68*$K$11,$L$11),0),ROUNDUP(MIN(O68*$K$11,$L$11),0)),0))</f>
        <v/>
      </c>
      <c r="T68" s="19">
        <f>IF(O68="","",MAX(Q68,R68,S68))</f>
        <v/>
      </c>
      <c r="U68" s="19">
        <f>IF(O68="","",O68-T68)</f>
        <v/>
      </c>
      <c r="V68" s="19">
        <f>IF(O68="","",IF(B68="G마켓",ROUNDDOWN(MAX(Q68*$N$9,R68*$N$10,S68*$N$11),0),ROUNDUP(MAX(Q68*$N$9,R68*$N$10,S68*$N$11),0)))</f>
        <v/>
      </c>
      <c r="W68" s="19">
        <f>IF(G68="","",IF(B68="G마켓",ROUNDDOWN(G68-G68*$D$3-V68,0),ROUNDUP(G68-G68*$D$3-V68,0)))</f>
        <v/>
      </c>
    </row>
    <row r="69">
      <c r="B69" s="18" t="n"/>
      <c r="C69" s="18" t="n"/>
      <c r="D69" s="18" t="n"/>
      <c r="E69" s="19" t="n"/>
      <c r="F69" s="19" t="n"/>
      <c r="G69" s="19">
        <f>IF(E69="","",E69-N(F69))</f>
        <v/>
      </c>
      <c r="H69" s="19" t="n"/>
      <c r="I69" s="19">
        <f>IF(G69="","",IF(G69&gt;=$C$9,IF(B69="G마켓",ROUNDDOWN(MIN(G69*$D$9,$E$9),0),ROUNDUP(MIN(G69*$D$9,$E$9),0)),0))</f>
        <v/>
      </c>
      <c r="J69" s="19">
        <f>IF(G69="","",IF(G69&gt;=$C$10,IF(B69="G마켓",ROUNDDOWN(MIN(G69*$D$10,$E$10),0),ROUNDUP(MIN(G69*$D$10,$E$10),0)),0))</f>
        <v/>
      </c>
      <c r="K69" s="19">
        <f>IF(G69="","",IF(G69&gt;=$C$11,IF(B69="G마켓",ROUNDDOWN(MIN(G69*$D$11,$E$11),0),ROUNDUP(MIN(G69*$D$11,$E$11),0)),0))</f>
        <v/>
      </c>
      <c r="L69" s="19">
        <f>IF(G69="","",IF(G69&gt;=$C$12,IF(B69="G마켓",ROUNDDOWN(MIN(G69*$D$12,$E$12),0),ROUNDUP(MIN(G69*$D$12,$E$12),0)),0))</f>
        <v/>
      </c>
      <c r="M69" s="19" t="n"/>
      <c r="N69" s="19">
        <f>IF(G69="","",MAX(I69,J69,K69,L69))</f>
        <v/>
      </c>
      <c r="O69" s="19">
        <f>IF(G69="","",G69-N69)</f>
        <v/>
      </c>
      <c r="P69" s="19" t="n"/>
      <c r="Q69" s="19">
        <f>IF(O69="","",IF(O69&gt;=$J$9,IF(B69="G마켓",ROUNDDOWN(MIN(O69*$K$9,$L$9),0),ROUNDUP(MIN(O69*$K$9,$L$9),0)),0))</f>
        <v/>
      </c>
      <c r="R69" s="19">
        <f>IF(O69="","",IF(O69&gt;=$J$10,IF(B69="G마켓",ROUNDDOWN(MIN(O69*$K$10,$L$10),0),ROUNDUP(MIN(O69*$K$10,$L$10),0)),0))</f>
        <v/>
      </c>
      <c r="S69" s="19">
        <f>IF(O69="","",IF(O69&gt;=$J$11,IF(B69="G마켓",ROUNDDOWN(MIN(O69*$K$11,$L$11),0),ROUNDUP(MIN(O69*$K$11,$L$11),0)),0))</f>
        <v/>
      </c>
      <c r="T69" s="19">
        <f>IF(O69="","",MAX(Q69,R69,S69))</f>
        <v/>
      </c>
      <c r="U69" s="19">
        <f>IF(O69="","",O69-T69)</f>
        <v/>
      </c>
      <c r="V69" s="19">
        <f>IF(O69="","",IF(B69="G마켓",ROUNDDOWN(MAX(Q69*$N$9,R69*$N$10,S69*$N$11),0),ROUNDUP(MAX(Q69*$N$9,R69*$N$10,S69*$N$11),0)))</f>
        <v/>
      </c>
      <c r="W69" s="19">
        <f>IF(G69="","",IF(B69="G마켓",ROUNDDOWN(G69-G69*$D$3-V69,0),ROUNDUP(G69-G69*$D$3-V69,0)))</f>
        <v/>
      </c>
    </row>
    <row r="70">
      <c r="B70" s="18" t="n"/>
      <c r="C70" s="18" t="n"/>
      <c r="D70" s="18" t="n"/>
      <c r="E70" s="19" t="n"/>
      <c r="F70" s="19" t="n"/>
      <c r="G70" s="19">
        <f>IF(E70="","",E70-N(F70))</f>
        <v/>
      </c>
      <c r="H70" s="19" t="n"/>
      <c r="I70" s="19">
        <f>IF(G70="","",IF(G70&gt;=$C$9,IF(B70="G마켓",ROUNDDOWN(MIN(G70*$D$9,$E$9),0),ROUNDUP(MIN(G70*$D$9,$E$9),0)),0))</f>
        <v/>
      </c>
      <c r="J70" s="19">
        <f>IF(G70="","",IF(G70&gt;=$C$10,IF(B70="G마켓",ROUNDDOWN(MIN(G70*$D$10,$E$10),0),ROUNDUP(MIN(G70*$D$10,$E$10),0)),0))</f>
        <v/>
      </c>
      <c r="K70" s="19">
        <f>IF(G70="","",IF(G70&gt;=$C$11,IF(B70="G마켓",ROUNDDOWN(MIN(G70*$D$11,$E$11),0),ROUNDUP(MIN(G70*$D$11,$E$11),0)),0))</f>
        <v/>
      </c>
      <c r="L70" s="19">
        <f>IF(G70="","",IF(G70&gt;=$C$12,IF(B70="G마켓",ROUNDDOWN(MIN(G70*$D$12,$E$12),0),ROUNDUP(MIN(G70*$D$12,$E$12),0)),0))</f>
        <v/>
      </c>
      <c r="M70" s="19" t="n"/>
      <c r="N70" s="19">
        <f>IF(G70="","",MAX(I70,J70,K70,L70))</f>
        <v/>
      </c>
      <c r="O70" s="19">
        <f>IF(G70="","",G70-N70)</f>
        <v/>
      </c>
      <c r="P70" s="19" t="n"/>
      <c r="Q70" s="19">
        <f>IF(O70="","",IF(O70&gt;=$J$9,IF(B70="G마켓",ROUNDDOWN(MIN(O70*$K$9,$L$9),0),ROUNDUP(MIN(O70*$K$9,$L$9),0)),0))</f>
        <v/>
      </c>
      <c r="R70" s="19">
        <f>IF(O70="","",IF(O70&gt;=$J$10,IF(B70="G마켓",ROUNDDOWN(MIN(O70*$K$10,$L$10),0),ROUNDUP(MIN(O70*$K$10,$L$10),0)),0))</f>
        <v/>
      </c>
      <c r="S70" s="19">
        <f>IF(O70="","",IF(O70&gt;=$J$11,IF(B70="G마켓",ROUNDDOWN(MIN(O70*$K$11,$L$11),0),ROUNDUP(MIN(O70*$K$11,$L$11),0)),0))</f>
        <v/>
      </c>
      <c r="T70" s="19">
        <f>IF(O70="","",MAX(Q70,R70,S70))</f>
        <v/>
      </c>
      <c r="U70" s="19">
        <f>IF(O70="","",O70-T70)</f>
        <v/>
      </c>
      <c r="V70" s="19">
        <f>IF(O70="","",IF(B70="G마켓",ROUNDDOWN(MAX(Q70*$N$9,R70*$N$10,S70*$N$11),0),ROUNDUP(MAX(Q70*$N$9,R70*$N$10,S70*$N$11),0)))</f>
        <v/>
      </c>
      <c r="W70" s="19">
        <f>IF(G70="","",IF(B70="G마켓",ROUNDDOWN(G70-G70*$D$3-V70,0),ROUNDUP(G70-G70*$D$3-V70,0)))</f>
        <v/>
      </c>
    </row>
    <row r="71">
      <c r="B71" s="18" t="n"/>
      <c r="C71" s="18" t="n"/>
      <c r="D71" s="18" t="n"/>
      <c r="E71" s="19" t="n"/>
      <c r="F71" s="19" t="n"/>
      <c r="G71" s="19">
        <f>IF(E71="","",E71-N(F71))</f>
        <v/>
      </c>
      <c r="H71" s="19" t="n"/>
      <c r="I71" s="19">
        <f>IF(G71="","",IF(G71&gt;=$C$9,IF(B71="G마켓",ROUNDDOWN(MIN(G71*$D$9,$E$9),0),ROUNDUP(MIN(G71*$D$9,$E$9),0)),0))</f>
        <v/>
      </c>
      <c r="J71" s="19">
        <f>IF(G71="","",IF(G71&gt;=$C$10,IF(B71="G마켓",ROUNDDOWN(MIN(G71*$D$10,$E$10),0),ROUNDUP(MIN(G71*$D$10,$E$10),0)),0))</f>
        <v/>
      </c>
      <c r="K71" s="19">
        <f>IF(G71="","",IF(G71&gt;=$C$11,IF(B71="G마켓",ROUNDDOWN(MIN(G71*$D$11,$E$11),0),ROUNDUP(MIN(G71*$D$11,$E$11),0)),0))</f>
        <v/>
      </c>
      <c r="L71" s="19">
        <f>IF(G71="","",IF(G71&gt;=$C$12,IF(B71="G마켓",ROUNDDOWN(MIN(G71*$D$12,$E$12),0),ROUNDUP(MIN(G71*$D$12,$E$12),0)),0))</f>
        <v/>
      </c>
      <c r="M71" s="19" t="n"/>
      <c r="N71" s="19">
        <f>IF(G71="","",MAX(I71,J71,K71,L71))</f>
        <v/>
      </c>
      <c r="O71" s="19">
        <f>IF(G71="","",G71-N71)</f>
        <v/>
      </c>
      <c r="P71" s="19" t="n"/>
      <c r="Q71" s="19">
        <f>IF(O71="","",IF(O71&gt;=$J$9,IF(B71="G마켓",ROUNDDOWN(MIN(O71*$K$9,$L$9),0),ROUNDUP(MIN(O71*$K$9,$L$9),0)),0))</f>
        <v/>
      </c>
      <c r="R71" s="19">
        <f>IF(O71="","",IF(O71&gt;=$J$10,IF(B71="G마켓",ROUNDDOWN(MIN(O71*$K$10,$L$10),0),ROUNDUP(MIN(O71*$K$10,$L$10),0)),0))</f>
        <v/>
      </c>
      <c r="S71" s="19">
        <f>IF(O71="","",IF(O71&gt;=$J$11,IF(B71="G마켓",ROUNDDOWN(MIN(O71*$K$11,$L$11),0),ROUNDUP(MIN(O71*$K$11,$L$11),0)),0))</f>
        <v/>
      </c>
      <c r="T71" s="19">
        <f>IF(O71="","",MAX(Q71,R71,S71))</f>
        <v/>
      </c>
      <c r="U71" s="19">
        <f>IF(O71="","",O71-T71)</f>
        <v/>
      </c>
      <c r="V71" s="19">
        <f>IF(O71="","",IF(B71="G마켓",ROUNDDOWN(MAX(Q71*$N$9,R71*$N$10,S71*$N$11),0),ROUNDUP(MAX(Q71*$N$9,R71*$N$10,S71*$N$11),0)))</f>
        <v/>
      </c>
      <c r="W71" s="19">
        <f>IF(G71="","",IF(B71="G마켓",ROUNDDOWN(G71-G71*$D$3-V71,0),ROUNDUP(G71-G71*$D$3-V71,0)))</f>
        <v/>
      </c>
    </row>
    <row r="72">
      <c r="B72" s="18" t="n"/>
      <c r="C72" s="18" t="n"/>
      <c r="D72" s="18" t="n"/>
      <c r="E72" s="19" t="n"/>
      <c r="F72" s="19" t="n"/>
      <c r="G72" s="19">
        <f>IF(E72="","",E72-N(F72))</f>
        <v/>
      </c>
      <c r="H72" s="19" t="n"/>
      <c r="I72" s="19">
        <f>IF(G72="","",IF(G72&gt;=$C$9,IF(B72="G마켓",ROUNDDOWN(MIN(G72*$D$9,$E$9),0),ROUNDUP(MIN(G72*$D$9,$E$9),0)),0))</f>
        <v/>
      </c>
      <c r="J72" s="19">
        <f>IF(G72="","",IF(G72&gt;=$C$10,IF(B72="G마켓",ROUNDDOWN(MIN(G72*$D$10,$E$10),0),ROUNDUP(MIN(G72*$D$10,$E$10),0)),0))</f>
        <v/>
      </c>
      <c r="K72" s="19">
        <f>IF(G72="","",IF(G72&gt;=$C$11,IF(B72="G마켓",ROUNDDOWN(MIN(G72*$D$11,$E$11),0),ROUNDUP(MIN(G72*$D$11,$E$11),0)),0))</f>
        <v/>
      </c>
      <c r="L72" s="19">
        <f>IF(G72="","",IF(G72&gt;=$C$12,IF(B72="G마켓",ROUNDDOWN(MIN(G72*$D$12,$E$12),0),ROUNDUP(MIN(G72*$D$12,$E$12),0)),0))</f>
        <v/>
      </c>
      <c r="M72" s="19" t="n"/>
      <c r="N72" s="19">
        <f>IF(G72="","",MAX(I72,J72,K72,L72))</f>
        <v/>
      </c>
      <c r="O72" s="19">
        <f>IF(G72="","",G72-N72)</f>
        <v/>
      </c>
      <c r="P72" s="19" t="n"/>
      <c r="Q72" s="19">
        <f>IF(O72="","",IF(O72&gt;=$J$9,IF(B72="G마켓",ROUNDDOWN(MIN(O72*$K$9,$L$9),0),ROUNDUP(MIN(O72*$K$9,$L$9),0)),0))</f>
        <v/>
      </c>
      <c r="R72" s="19">
        <f>IF(O72="","",IF(O72&gt;=$J$10,IF(B72="G마켓",ROUNDDOWN(MIN(O72*$K$10,$L$10),0),ROUNDUP(MIN(O72*$K$10,$L$10),0)),0))</f>
        <v/>
      </c>
      <c r="S72" s="19">
        <f>IF(O72="","",IF(O72&gt;=$J$11,IF(B72="G마켓",ROUNDDOWN(MIN(O72*$K$11,$L$11),0),ROUNDUP(MIN(O72*$K$11,$L$11),0)),0))</f>
        <v/>
      </c>
      <c r="T72" s="19">
        <f>IF(O72="","",MAX(Q72,R72,S72))</f>
        <v/>
      </c>
      <c r="U72" s="19">
        <f>IF(O72="","",O72-T72)</f>
        <v/>
      </c>
      <c r="V72" s="19">
        <f>IF(O72="","",IF(B72="G마켓",ROUNDDOWN(MAX(Q72*$N$9,R72*$N$10,S72*$N$11),0),ROUNDUP(MAX(Q72*$N$9,R72*$N$10,S72*$N$11),0)))</f>
        <v/>
      </c>
      <c r="W72" s="19">
        <f>IF(G72="","",IF(B72="G마켓",ROUNDDOWN(G72-G72*$D$3-V72,0),ROUNDUP(G72-G72*$D$3-V72,0)))</f>
        <v/>
      </c>
    </row>
    <row r="73">
      <c r="B73" s="18" t="n"/>
      <c r="C73" s="18" t="n"/>
      <c r="D73" s="18" t="n"/>
      <c r="E73" s="19" t="n"/>
      <c r="F73" s="19" t="n"/>
      <c r="G73" s="19">
        <f>IF(E73="","",E73-N(F73))</f>
        <v/>
      </c>
      <c r="H73" s="19" t="n"/>
      <c r="I73" s="19">
        <f>IF(G73="","",IF(G73&gt;=$C$9,IF(B73="G마켓",ROUNDDOWN(MIN(G73*$D$9,$E$9),0),ROUNDUP(MIN(G73*$D$9,$E$9),0)),0))</f>
        <v/>
      </c>
      <c r="J73" s="19">
        <f>IF(G73="","",IF(G73&gt;=$C$10,IF(B73="G마켓",ROUNDDOWN(MIN(G73*$D$10,$E$10),0),ROUNDUP(MIN(G73*$D$10,$E$10),0)),0))</f>
        <v/>
      </c>
      <c r="K73" s="19">
        <f>IF(G73="","",IF(G73&gt;=$C$11,IF(B73="G마켓",ROUNDDOWN(MIN(G73*$D$11,$E$11),0),ROUNDUP(MIN(G73*$D$11,$E$11),0)),0))</f>
        <v/>
      </c>
      <c r="L73" s="19">
        <f>IF(G73="","",IF(G73&gt;=$C$12,IF(B73="G마켓",ROUNDDOWN(MIN(G73*$D$12,$E$12),0),ROUNDUP(MIN(G73*$D$12,$E$12),0)),0))</f>
        <v/>
      </c>
      <c r="M73" s="19" t="n"/>
      <c r="N73" s="19">
        <f>IF(G73="","",MAX(I73,J73,K73,L73))</f>
        <v/>
      </c>
      <c r="O73" s="19">
        <f>IF(G73="","",G73-N73)</f>
        <v/>
      </c>
      <c r="P73" s="19" t="n"/>
      <c r="Q73" s="19">
        <f>IF(O73="","",IF(O73&gt;=$J$9,IF(B73="G마켓",ROUNDDOWN(MIN(O73*$K$9,$L$9),0),ROUNDUP(MIN(O73*$K$9,$L$9),0)),0))</f>
        <v/>
      </c>
      <c r="R73" s="19">
        <f>IF(O73="","",IF(O73&gt;=$J$10,IF(B73="G마켓",ROUNDDOWN(MIN(O73*$K$10,$L$10),0),ROUNDUP(MIN(O73*$K$10,$L$10),0)),0))</f>
        <v/>
      </c>
      <c r="S73" s="19">
        <f>IF(O73="","",IF(O73&gt;=$J$11,IF(B73="G마켓",ROUNDDOWN(MIN(O73*$K$11,$L$11),0),ROUNDUP(MIN(O73*$K$11,$L$11),0)),0))</f>
        <v/>
      </c>
      <c r="T73" s="19">
        <f>IF(O73="","",MAX(Q73,R73,S73))</f>
        <v/>
      </c>
      <c r="U73" s="19">
        <f>IF(O73="","",O73-T73)</f>
        <v/>
      </c>
      <c r="V73" s="19">
        <f>IF(O73="","",IF(B73="G마켓",ROUNDDOWN(MAX(Q73*$N$9,R73*$N$10,S73*$N$11),0),ROUNDUP(MAX(Q73*$N$9,R73*$N$10,S73*$N$11),0)))</f>
        <v/>
      </c>
      <c r="W73" s="19">
        <f>IF(G73="","",IF(B73="G마켓",ROUNDDOWN(G73-G73*$D$3-V73,0),ROUNDUP(G73-G73*$D$3-V73,0)))</f>
        <v/>
      </c>
    </row>
    <row r="74">
      <c r="B74" s="18" t="n"/>
      <c r="C74" s="18" t="n"/>
      <c r="D74" s="18" t="n"/>
      <c r="E74" s="19" t="n"/>
      <c r="F74" s="19" t="n"/>
      <c r="G74" s="19">
        <f>IF(E74="","",E74-N(F74))</f>
        <v/>
      </c>
      <c r="H74" s="19" t="n"/>
      <c r="I74" s="19">
        <f>IF(G74="","",IF(G74&gt;=$C$9,IF(B74="G마켓",ROUNDDOWN(MIN(G74*$D$9,$E$9),0),ROUNDUP(MIN(G74*$D$9,$E$9),0)),0))</f>
        <v/>
      </c>
      <c r="J74" s="19">
        <f>IF(G74="","",IF(G74&gt;=$C$10,IF(B74="G마켓",ROUNDDOWN(MIN(G74*$D$10,$E$10),0),ROUNDUP(MIN(G74*$D$10,$E$10),0)),0))</f>
        <v/>
      </c>
      <c r="K74" s="19">
        <f>IF(G74="","",IF(G74&gt;=$C$11,IF(B74="G마켓",ROUNDDOWN(MIN(G74*$D$11,$E$11),0),ROUNDUP(MIN(G74*$D$11,$E$11),0)),0))</f>
        <v/>
      </c>
      <c r="L74" s="19">
        <f>IF(G74="","",IF(G74&gt;=$C$12,IF(B74="G마켓",ROUNDDOWN(MIN(G74*$D$12,$E$12),0),ROUNDUP(MIN(G74*$D$12,$E$12),0)),0))</f>
        <v/>
      </c>
      <c r="M74" s="19" t="n"/>
      <c r="N74" s="19">
        <f>IF(G74="","",MAX(I74,J74,K74,L74))</f>
        <v/>
      </c>
      <c r="O74" s="19">
        <f>IF(G74="","",G74-N74)</f>
        <v/>
      </c>
      <c r="P74" s="19" t="n"/>
      <c r="Q74" s="19">
        <f>IF(O74="","",IF(O74&gt;=$J$9,IF(B74="G마켓",ROUNDDOWN(MIN(O74*$K$9,$L$9),0),ROUNDUP(MIN(O74*$K$9,$L$9),0)),0))</f>
        <v/>
      </c>
      <c r="R74" s="19">
        <f>IF(O74="","",IF(O74&gt;=$J$10,IF(B74="G마켓",ROUNDDOWN(MIN(O74*$K$10,$L$10),0),ROUNDUP(MIN(O74*$K$10,$L$10),0)),0))</f>
        <v/>
      </c>
      <c r="S74" s="19">
        <f>IF(O74="","",IF(O74&gt;=$J$11,IF(B74="G마켓",ROUNDDOWN(MIN(O74*$K$11,$L$11),0),ROUNDUP(MIN(O74*$K$11,$L$11),0)),0))</f>
        <v/>
      </c>
      <c r="T74" s="19">
        <f>IF(O74="","",MAX(Q74,R74,S74))</f>
        <v/>
      </c>
      <c r="U74" s="19">
        <f>IF(O74="","",O74-T74)</f>
        <v/>
      </c>
      <c r="V74" s="19">
        <f>IF(O74="","",IF(B74="G마켓",ROUNDDOWN(MAX(Q74*$N$9,R74*$N$10,S74*$N$11),0),ROUNDUP(MAX(Q74*$N$9,R74*$N$10,S74*$N$11),0)))</f>
        <v/>
      </c>
      <c r="W74" s="19">
        <f>IF(G74="","",IF(B74="G마켓",ROUNDDOWN(G74-G74*$D$3-V74,0),ROUNDUP(G74-G74*$D$3-V74,0)))</f>
        <v/>
      </c>
    </row>
    <row r="75">
      <c r="B75" s="18" t="n"/>
      <c r="C75" s="18" t="n"/>
      <c r="D75" s="18" t="n"/>
      <c r="E75" s="19" t="n"/>
      <c r="F75" s="19" t="n"/>
      <c r="G75" s="19">
        <f>IF(E75="","",E75-N(F75))</f>
        <v/>
      </c>
      <c r="H75" s="19" t="n"/>
      <c r="I75" s="19">
        <f>IF(G75="","",IF(G75&gt;=$C$9,IF(B75="G마켓",ROUNDDOWN(MIN(G75*$D$9,$E$9),0),ROUNDUP(MIN(G75*$D$9,$E$9),0)),0))</f>
        <v/>
      </c>
      <c r="J75" s="19">
        <f>IF(G75="","",IF(G75&gt;=$C$10,IF(B75="G마켓",ROUNDDOWN(MIN(G75*$D$10,$E$10),0),ROUNDUP(MIN(G75*$D$10,$E$10),0)),0))</f>
        <v/>
      </c>
      <c r="K75" s="19">
        <f>IF(G75="","",IF(G75&gt;=$C$11,IF(B75="G마켓",ROUNDDOWN(MIN(G75*$D$11,$E$11),0),ROUNDUP(MIN(G75*$D$11,$E$11),0)),0))</f>
        <v/>
      </c>
      <c r="L75" s="19">
        <f>IF(G75="","",IF(G75&gt;=$C$12,IF(B75="G마켓",ROUNDDOWN(MIN(G75*$D$12,$E$12),0),ROUNDUP(MIN(G75*$D$12,$E$12),0)),0))</f>
        <v/>
      </c>
      <c r="M75" s="19" t="n"/>
      <c r="N75" s="19">
        <f>IF(G75="","",MAX(I75,J75,K75,L75))</f>
        <v/>
      </c>
      <c r="O75" s="19">
        <f>IF(G75="","",G75-N75)</f>
        <v/>
      </c>
      <c r="P75" s="19" t="n"/>
      <c r="Q75" s="19">
        <f>IF(O75="","",IF(O75&gt;=$J$9,IF(B75="G마켓",ROUNDDOWN(MIN(O75*$K$9,$L$9),0),ROUNDUP(MIN(O75*$K$9,$L$9),0)),0))</f>
        <v/>
      </c>
      <c r="R75" s="19">
        <f>IF(O75="","",IF(O75&gt;=$J$10,IF(B75="G마켓",ROUNDDOWN(MIN(O75*$K$10,$L$10),0),ROUNDUP(MIN(O75*$K$10,$L$10),0)),0))</f>
        <v/>
      </c>
      <c r="S75" s="19">
        <f>IF(O75="","",IF(O75&gt;=$J$11,IF(B75="G마켓",ROUNDDOWN(MIN(O75*$K$11,$L$11),0),ROUNDUP(MIN(O75*$K$11,$L$11),0)),0))</f>
        <v/>
      </c>
      <c r="T75" s="19">
        <f>IF(O75="","",MAX(Q75,R75,S75))</f>
        <v/>
      </c>
      <c r="U75" s="19">
        <f>IF(O75="","",O75-T75)</f>
        <v/>
      </c>
      <c r="V75" s="19">
        <f>IF(O75="","",IF(B75="G마켓",ROUNDDOWN(MAX(Q75*$N$9,R75*$N$10,S75*$N$11),0),ROUNDUP(MAX(Q75*$N$9,R75*$N$10,S75*$N$11),0)))</f>
        <v/>
      </c>
      <c r="W75" s="19">
        <f>IF(G75="","",IF(B75="G마켓",ROUNDDOWN(G75-G75*$D$3-V75,0),ROUNDUP(G75-G75*$D$3-V75,0)))</f>
        <v/>
      </c>
    </row>
    <row r="76">
      <c r="B76" s="18" t="n"/>
      <c r="C76" s="18" t="n"/>
      <c r="D76" s="18" t="n"/>
      <c r="E76" s="19" t="n"/>
      <c r="F76" s="19" t="n"/>
      <c r="G76" s="19">
        <f>IF(E76="","",E76-N(F76))</f>
        <v/>
      </c>
      <c r="H76" s="19" t="n"/>
      <c r="I76" s="19">
        <f>IF(G76="","",IF(G76&gt;=$C$9,IF(B76="G마켓",ROUNDDOWN(MIN(G76*$D$9,$E$9),0),ROUNDUP(MIN(G76*$D$9,$E$9),0)),0))</f>
        <v/>
      </c>
      <c r="J76" s="19">
        <f>IF(G76="","",IF(G76&gt;=$C$10,IF(B76="G마켓",ROUNDDOWN(MIN(G76*$D$10,$E$10),0),ROUNDUP(MIN(G76*$D$10,$E$10),0)),0))</f>
        <v/>
      </c>
      <c r="K76" s="19">
        <f>IF(G76="","",IF(G76&gt;=$C$11,IF(B76="G마켓",ROUNDDOWN(MIN(G76*$D$11,$E$11),0),ROUNDUP(MIN(G76*$D$11,$E$11),0)),0))</f>
        <v/>
      </c>
      <c r="L76" s="19">
        <f>IF(G76="","",IF(G76&gt;=$C$12,IF(B76="G마켓",ROUNDDOWN(MIN(G76*$D$12,$E$12),0),ROUNDUP(MIN(G76*$D$12,$E$12),0)),0))</f>
        <v/>
      </c>
      <c r="M76" s="19" t="n"/>
      <c r="N76" s="19">
        <f>IF(G76="","",MAX(I76,J76,K76,L76))</f>
        <v/>
      </c>
      <c r="O76" s="19">
        <f>IF(G76="","",G76-N76)</f>
        <v/>
      </c>
      <c r="P76" s="19" t="n"/>
      <c r="Q76" s="19">
        <f>IF(O76="","",IF(O76&gt;=$J$9,IF(B76="G마켓",ROUNDDOWN(MIN(O76*$K$9,$L$9),0),ROUNDUP(MIN(O76*$K$9,$L$9),0)),0))</f>
        <v/>
      </c>
      <c r="R76" s="19">
        <f>IF(O76="","",IF(O76&gt;=$J$10,IF(B76="G마켓",ROUNDDOWN(MIN(O76*$K$10,$L$10),0),ROUNDUP(MIN(O76*$K$10,$L$10),0)),0))</f>
        <v/>
      </c>
      <c r="S76" s="19">
        <f>IF(O76="","",IF(O76&gt;=$J$11,IF(B76="G마켓",ROUNDDOWN(MIN(O76*$K$11,$L$11),0),ROUNDUP(MIN(O76*$K$11,$L$11),0)),0))</f>
        <v/>
      </c>
      <c r="T76" s="19">
        <f>IF(O76="","",MAX(Q76,R76,S76))</f>
        <v/>
      </c>
      <c r="U76" s="19">
        <f>IF(O76="","",O76-T76)</f>
        <v/>
      </c>
      <c r="V76" s="19">
        <f>IF(O76="","",IF(B76="G마켓",ROUNDDOWN(MAX(Q76*$N$9,R76*$N$10,S76*$N$11),0),ROUNDUP(MAX(Q76*$N$9,R76*$N$10,S76*$N$11),0)))</f>
        <v/>
      </c>
      <c r="W76" s="19">
        <f>IF(G76="","",IF(B76="G마켓",ROUNDDOWN(G76-G76*$D$3-V76,0),ROUNDUP(G76-G76*$D$3-V76,0)))</f>
        <v/>
      </c>
    </row>
    <row r="77">
      <c r="B77" s="18" t="n"/>
      <c r="C77" s="18" t="n"/>
      <c r="D77" s="18" t="n"/>
      <c r="E77" s="19" t="n"/>
      <c r="F77" s="19" t="n"/>
      <c r="G77" s="19">
        <f>IF(E77="","",E77-N(F77))</f>
        <v/>
      </c>
      <c r="H77" s="19" t="n"/>
      <c r="I77" s="19">
        <f>IF(G77="","",IF(G77&gt;=$C$9,IF(B77="G마켓",ROUNDDOWN(MIN(G77*$D$9,$E$9),0),ROUNDUP(MIN(G77*$D$9,$E$9),0)),0))</f>
        <v/>
      </c>
      <c r="J77" s="19">
        <f>IF(G77="","",IF(G77&gt;=$C$10,IF(B77="G마켓",ROUNDDOWN(MIN(G77*$D$10,$E$10),0),ROUNDUP(MIN(G77*$D$10,$E$10),0)),0))</f>
        <v/>
      </c>
      <c r="K77" s="19">
        <f>IF(G77="","",IF(G77&gt;=$C$11,IF(B77="G마켓",ROUNDDOWN(MIN(G77*$D$11,$E$11),0),ROUNDUP(MIN(G77*$D$11,$E$11),0)),0))</f>
        <v/>
      </c>
      <c r="L77" s="19">
        <f>IF(G77="","",IF(G77&gt;=$C$12,IF(B77="G마켓",ROUNDDOWN(MIN(G77*$D$12,$E$12),0),ROUNDUP(MIN(G77*$D$12,$E$12),0)),0))</f>
        <v/>
      </c>
      <c r="M77" s="19" t="n"/>
      <c r="N77" s="19">
        <f>IF(G77="","",MAX(I77,J77,K77,L77))</f>
        <v/>
      </c>
      <c r="O77" s="19">
        <f>IF(G77="","",G77-N77)</f>
        <v/>
      </c>
      <c r="P77" s="19" t="n"/>
      <c r="Q77" s="19">
        <f>IF(O77="","",IF(O77&gt;=$J$9,IF(B77="G마켓",ROUNDDOWN(MIN(O77*$K$9,$L$9),0),ROUNDUP(MIN(O77*$K$9,$L$9),0)),0))</f>
        <v/>
      </c>
      <c r="R77" s="19">
        <f>IF(O77="","",IF(O77&gt;=$J$10,IF(B77="G마켓",ROUNDDOWN(MIN(O77*$K$10,$L$10),0),ROUNDUP(MIN(O77*$K$10,$L$10),0)),0))</f>
        <v/>
      </c>
      <c r="S77" s="19">
        <f>IF(O77="","",IF(O77&gt;=$J$11,IF(B77="G마켓",ROUNDDOWN(MIN(O77*$K$11,$L$11),0),ROUNDUP(MIN(O77*$K$11,$L$11),0)),0))</f>
        <v/>
      </c>
      <c r="T77" s="19">
        <f>IF(O77="","",MAX(Q77,R77,S77))</f>
        <v/>
      </c>
      <c r="U77" s="19">
        <f>IF(O77="","",O77-T77)</f>
        <v/>
      </c>
      <c r="V77" s="19">
        <f>IF(O77="","",IF(B77="G마켓",ROUNDDOWN(MAX(Q77*$N$9,R77*$N$10,S77*$N$11),0),ROUNDUP(MAX(Q77*$N$9,R77*$N$10,S77*$N$11),0)))</f>
        <v/>
      </c>
      <c r="W77" s="19">
        <f>IF(G77="","",IF(B77="G마켓",ROUNDDOWN(G77-G77*$D$3-V77,0),ROUNDUP(G77-G77*$D$3-V77,0)))</f>
        <v/>
      </c>
    </row>
    <row r="78">
      <c r="B78" s="18" t="n"/>
      <c r="C78" s="18" t="n"/>
      <c r="D78" s="18" t="n"/>
      <c r="E78" s="19" t="n"/>
      <c r="F78" s="19" t="n"/>
      <c r="G78" s="19">
        <f>IF(E78="","",E78-N(F78))</f>
        <v/>
      </c>
      <c r="H78" s="19" t="n"/>
      <c r="I78" s="19">
        <f>IF(G78="","",IF(G78&gt;=$C$9,IF(B78="G마켓",ROUNDDOWN(MIN(G78*$D$9,$E$9),0),ROUNDUP(MIN(G78*$D$9,$E$9),0)),0))</f>
        <v/>
      </c>
      <c r="J78" s="19">
        <f>IF(G78="","",IF(G78&gt;=$C$10,IF(B78="G마켓",ROUNDDOWN(MIN(G78*$D$10,$E$10),0),ROUNDUP(MIN(G78*$D$10,$E$10),0)),0))</f>
        <v/>
      </c>
      <c r="K78" s="19">
        <f>IF(G78="","",IF(G78&gt;=$C$11,IF(B78="G마켓",ROUNDDOWN(MIN(G78*$D$11,$E$11),0),ROUNDUP(MIN(G78*$D$11,$E$11),0)),0))</f>
        <v/>
      </c>
      <c r="L78" s="19">
        <f>IF(G78="","",IF(G78&gt;=$C$12,IF(B78="G마켓",ROUNDDOWN(MIN(G78*$D$12,$E$12),0),ROUNDUP(MIN(G78*$D$12,$E$12),0)),0))</f>
        <v/>
      </c>
      <c r="M78" s="19" t="n"/>
      <c r="N78" s="19">
        <f>IF(G78="","",MAX(I78,J78,K78,L78))</f>
        <v/>
      </c>
      <c r="O78" s="19">
        <f>IF(G78="","",G78-N78)</f>
        <v/>
      </c>
      <c r="P78" s="19" t="n"/>
      <c r="Q78" s="19">
        <f>IF(O78="","",IF(O78&gt;=$J$9,IF(B78="G마켓",ROUNDDOWN(MIN(O78*$K$9,$L$9),0),ROUNDUP(MIN(O78*$K$9,$L$9),0)),0))</f>
        <v/>
      </c>
      <c r="R78" s="19">
        <f>IF(O78="","",IF(O78&gt;=$J$10,IF(B78="G마켓",ROUNDDOWN(MIN(O78*$K$10,$L$10),0),ROUNDUP(MIN(O78*$K$10,$L$10),0)),0))</f>
        <v/>
      </c>
      <c r="S78" s="19">
        <f>IF(O78="","",IF(O78&gt;=$J$11,IF(B78="G마켓",ROUNDDOWN(MIN(O78*$K$11,$L$11),0),ROUNDUP(MIN(O78*$K$11,$L$11),0)),0))</f>
        <v/>
      </c>
      <c r="T78" s="19">
        <f>IF(O78="","",MAX(Q78,R78,S78))</f>
        <v/>
      </c>
      <c r="U78" s="19">
        <f>IF(O78="","",O78-T78)</f>
        <v/>
      </c>
      <c r="V78" s="19">
        <f>IF(O78="","",IF(B78="G마켓",ROUNDDOWN(MAX(Q78*$N$9,R78*$N$10,S78*$N$11),0),ROUNDUP(MAX(Q78*$N$9,R78*$N$10,S78*$N$11),0)))</f>
        <v/>
      </c>
      <c r="W78" s="19">
        <f>IF(G78="","",IF(B78="G마켓",ROUNDDOWN(G78-G78*$D$3-V78,0),ROUNDUP(G78-G78*$D$3-V78,0)))</f>
        <v/>
      </c>
    </row>
    <row r="79">
      <c r="B79" s="18" t="n"/>
      <c r="C79" s="18" t="n"/>
      <c r="D79" s="18" t="n"/>
      <c r="E79" s="19" t="n"/>
      <c r="F79" s="19" t="n"/>
      <c r="G79" s="19">
        <f>IF(E79="","",E79-N(F79))</f>
        <v/>
      </c>
      <c r="H79" s="19" t="n"/>
      <c r="I79" s="19">
        <f>IF(G79="","",IF(G79&gt;=$C$9,IF(B79="G마켓",ROUNDDOWN(MIN(G79*$D$9,$E$9),0),ROUNDUP(MIN(G79*$D$9,$E$9),0)),0))</f>
        <v/>
      </c>
      <c r="J79" s="19">
        <f>IF(G79="","",IF(G79&gt;=$C$10,IF(B79="G마켓",ROUNDDOWN(MIN(G79*$D$10,$E$10),0),ROUNDUP(MIN(G79*$D$10,$E$10),0)),0))</f>
        <v/>
      </c>
      <c r="K79" s="19">
        <f>IF(G79="","",IF(G79&gt;=$C$11,IF(B79="G마켓",ROUNDDOWN(MIN(G79*$D$11,$E$11),0),ROUNDUP(MIN(G79*$D$11,$E$11),0)),0))</f>
        <v/>
      </c>
      <c r="L79" s="19">
        <f>IF(G79="","",IF(G79&gt;=$C$12,IF(B79="G마켓",ROUNDDOWN(MIN(G79*$D$12,$E$12),0),ROUNDUP(MIN(G79*$D$12,$E$12),0)),0))</f>
        <v/>
      </c>
      <c r="M79" s="19" t="n"/>
      <c r="N79" s="19">
        <f>IF(G79="","",MAX(I79,J79,K79,L79))</f>
        <v/>
      </c>
      <c r="O79" s="19">
        <f>IF(G79="","",G79-N79)</f>
        <v/>
      </c>
      <c r="P79" s="19" t="n"/>
      <c r="Q79" s="19">
        <f>IF(O79="","",IF(O79&gt;=$J$9,IF(B79="G마켓",ROUNDDOWN(MIN(O79*$K$9,$L$9),0),ROUNDUP(MIN(O79*$K$9,$L$9),0)),0))</f>
        <v/>
      </c>
      <c r="R79" s="19">
        <f>IF(O79="","",IF(O79&gt;=$J$10,IF(B79="G마켓",ROUNDDOWN(MIN(O79*$K$10,$L$10),0),ROUNDUP(MIN(O79*$K$10,$L$10),0)),0))</f>
        <v/>
      </c>
      <c r="S79" s="19">
        <f>IF(O79="","",IF(O79&gt;=$J$11,IF(B79="G마켓",ROUNDDOWN(MIN(O79*$K$11,$L$11),0),ROUNDUP(MIN(O79*$K$11,$L$11),0)),0))</f>
        <v/>
      </c>
      <c r="T79" s="19">
        <f>IF(O79="","",MAX(Q79,R79,S79))</f>
        <v/>
      </c>
      <c r="U79" s="19">
        <f>IF(O79="","",O79-T79)</f>
        <v/>
      </c>
      <c r="V79" s="19">
        <f>IF(O79="","",IF(B79="G마켓",ROUNDDOWN(MAX(Q79*$N$9,R79*$N$10,S79*$N$11),0),ROUNDUP(MAX(Q79*$N$9,R79*$N$10,S79*$N$11),0)))</f>
        <v/>
      </c>
      <c r="W79" s="19">
        <f>IF(G79="","",IF(B79="G마켓",ROUNDDOWN(G79-G79*$D$3-V79,0),ROUNDUP(G79-G79*$D$3-V79,0)))</f>
        <v/>
      </c>
    </row>
    <row r="80">
      <c r="B80" s="18" t="n"/>
      <c r="C80" s="18" t="n"/>
      <c r="D80" s="18" t="n"/>
      <c r="E80" s="19" t="n"/>
      <c r="F80" s="19" t="n"/>
      <c r="G80" s="19">
        <f>IF(E80="","",E80-N(F80))</f>
        <v/>
      </c>
      <c r="H80" s="19" t="n"/>
      <c r="I80" s="19">
        <f>IF(G80="","",IF(G80&gt;=$C$9,IF(B80="G마켓",ROUNDDOWN(MIN(G80*$D$9,$E$9),0),ROUNDUP(MIN(G80*$D$9,$E$9),0)),0))</f>
        <v/>
      </c>
      <c r="J80" s="19">
        <f>IF(G80="","",IF(G80&gt;=$C$10,IF(B80="G마켓",ROUNDDOWN(MIN(G80*$D$10,$E$10),0),ROUNDUP(MIN(G80*$D$10,$E$10),0)),0))</f>
        <v/>
      </c>
      <c r="K80" s="19">
        <f>IF(G80="","",IF(G80&gt;=$C$11,IF(B80="G마켓",ROUNDDOWN(MIN(G80*$D$11,$E$11),0),ROUNDUP(MIN(G80*$D$11,$E$11),0)),0))</f>
        <v/>
      </c>
      <c r="L80" s="19">
        <f>IF(G80="","",IF(G80&gt;=$C$12,IF(B80="G마켓",ROUNDDOWN(MIN(G80*$D$12,$E$12),0),ROUNDUP(MIN(G80*$D$12,$E$12),0)),0))</f>
        <v/>
      </c>
      <c r="M80" s="19" t="n"/>
      <c r="N80" s="19">
        <f>IF(G80="","",MAX(I80,J80,K80,L80))</f>
        <v/>
      </c>
      <c r="O80" s="19">
        <f>IF(G80="","",G80-N80)</f>
        <v/>
      </c>
      <c r="P80" s="19" t="n"/>
      <c r="Q80" s="19">
        <f>IF(O80="","",IF(O80&gt;=$J$9,IF(B80="G마켓",ROUNDDOWN(MIN(O80*$K$9,$L$9),0),ROUNDUP(MIN(O80*$K$9,$L$9),0)),0))</f>
        <v/>
      </c>
      <c r="R80" s="19">
        <f>IF(O80="","",IF(O80&gt;=$J$10,IF(B80="G마켓",ROUNDDOWN(MIN(O80*$K$10,$L$10),0),ROUNDUP(MIN(O80*$K$10,$L$10),0)),0))</f>
        <v/>
      </c>
      <c r="S80" s="19">
        <f>IF(O80="","",IF(O80&gt;=$J$11,IF(B80="G마켓",ROUNDDOWN(MIN(O80*$K$11,$L$11),0),ROUNDUP(MIN(O80*$K$11,$L$11),0)),0))</f>
        <v/>
      </c>
      <c r="T80" s="19">
        <f>IF(O80="","",MAX(Q80,R80,S80))</f>
        <v/>
      </c>
      <c r="U80" s="19">
        <f>IF(O80="","",O80-T80)</f>
        <v/>
      </c>
      <c r="V80" s="19">
        <f>IF(O80="","",IF(B80="G마켓",ROUNDDOWN(MAX(Q80*$N$9,R80*$N$10,S80*$N$11),0),ROUNDUP(MAX(Q80*$N$9,R80*$N$10,S80*$N$11),0)))</f>
        <v/>
      </c>
      <c r="W80" s="19">
        <f>IF(G80="","",IF(B80="G마켓",ROUNDDOWN(G80-G80*$D$3-V80,0),ROUNDUP(G80-G80*$D$3-V80,0)))</f>
        <v/>
      </c>
    </row>
    <row r="81">
      <c r="B81" s="18" t="n"/>
      <c r="C81" s="18" t="n"/>
      <c r="D81" s="18" t="n"/>
      <c r="E81" s="19" t="n"/>
      <c r="F81" s="19" t="n"/>
      <c r="G81" s="19">
        <f>IF(E81="","",E81-N(F81))</f>
        <v/>
      </c>
      <c r="H81" s="19" t="n"/>
      <c r="I81" s="19">
        <f>IF(G81="","",IF(G81&gt;=$C$9,IF(B81="G마켓",ROUNDDOWN(MIN(G81*$D$9,$E$9),0),ROUNDUP(MIN(G81*$D$9,$E$9),0)),0))</f>
        <v/>
      </c>
      <c r="J81" s="19">
        <f>IF(G81="","",IF(G81&gt;=$C$10,IF(B81="G마켓",ROUNDDOWN(MIN(G81*$D$10,$E$10),0),ROUNDUP(MIN(G81*$D$10,$E$10),0)),0))</f>
        <v/>
      </c>
      <c r="K81" s="19">
        <f>IF(G81="","",IF(G81&gt;=$C$11,IF(B81="G마켓",ROUNDDOWN(MIN(G81*$D$11,$E$11),0),ROUNDUP(MIN(G81*$D$11,$E$11),0)),0))</f>
        <v/>
      </c>
      <c r="L81" s="19">
        <f>IF(G81="","",IF(G81&gt;=$C$12,IF(B81="G마켓",ROUNDDOWN(MIN(G81*$D$12,$E$12),0),ROUNDUP(MIN(G81*$D$12,$E$12),0)),0))</f>
        <v/>
      </c>
      <c r="M81" s="19" t="n"/>
      <c r="N81" s="19">
        <f>IF(G81="","",MAX(I81,J81,K81,L81))</f>
        <v/>
      </c>
      <c r="O81" s="19">
        <f>IF(G81="","",G81-N81)</f>
        <v/>
      </c>
      <c r="P81" s="19" t="n"/>
      <c r="Q81" s="19">
        <f>IF(O81="","",IF(O81&gt;=$J$9,IF(B81="G마켓",ROUNDDOWN(MIN(O81*$K$9,$L$9),0),ROUNDUP(MIN(O81*$K$9,$L$9),0)),0))</f>
        <v/>
      </c>
      <c r="R81" s="19">
        <f>IF(O81="","",IF(O81&gt;=$J$10,IF(B81="G마켓",ROUNDDOWN(MIN(O81*$K$10,$L$10),0),ROUNDUP(MIN(O81*$K$10,$L$10),0)),0))</f>
        <v/>
      </c>
      <c r="S81" s="19">
        <f>IF(O81="","",IF(O81&gt;=$J$11,IF(B81="G마켓",ROUNDDOWN(MIN(O81*$K$11,$L$11),0),ROUNDUP(MIN(O81*$K$11,$L$11),0)),0))</f>
        <v/>
      </c>
      <c r="T81" s="19">
        <f>IF(O81="","",MAX(Q81,R81,S81))</f>
        <v/>
      </c>
      <c r="U81" s="19">
        <f>IF(O81="","",O81-T81)</f>
        <v/>
      </c>
      <c r="V81" s="19">
        <f>IF(O81="","",IF(B81="G마켓",ROUNDDOWN(MAX(Q81*$N$9,R81*$N$10,S81*$N$11),0),ROUNDUP(MAX(Q81*$N$9,R81*$N$10,S81*$N$11),0)))</f>
        <v/>
      </c>
      <c r="W81" s="19">
        <f>IF(G81="","",IF(B81="G마켓",ROUNDDOWN(G81-G81*$D$3-V81,0),ROUNDUP(G81-G81*$D$3-V81,0)))</f>
        <v/>
      </c>
    </row>
    <row r="82">
      <c r="B82" s="18" t="n"/>
      <c r="C82" s="18" t="n"/>
      <c r="D82" s="18" t="n"/>
      <c r="E82" s="19" t="n"/>
      <c r="F82" s="19" t="n"/>
      <c r="G82" s="19">
        <f>IF(E82="","",E82-N(F82))</f>
        <v/>
      </c>
      <c r="H82" s="19" t="n"/>
      <c r="I82" s="19">
        <f>IF(G82="","",IF(G82&gt;=$C$9,IF(B82="G마켓",ROUNDDOWN(MIN(G82*$D$9,$E$9),0),ROUNDUP(MIN(G82*$D$9,$E$9),0)),0))</f>
        <v/>
      </c>
      <c r="J82" s="19">
        <f>IF(G82="","",IF(G82&gt;=$C$10,IF(B82="G마켓",ROUNDDOWN(MIN(G82*$D$10,$E$10),0),ROUNDUP(MIN(G82*$D$10,$E$10),0)),0))</f>
        <v/>
      </c>
      <c r="K82" s="19">
        <f>IF(G82="","",IF(G82&gt;=$C$11,IF(B82="G마켓",ROUNDDOWN(MIN(G82*$D$11,$E$11),0),ROUNDUP(MIN(G82*$D$11,$E$11),0)),0))</f>
        <v/>
      </c>
      <c r="L82" s="19">
        <f>IF(G82="","",IF(G82&gt;=$C$12,IF(B82="G마켓",ROUNDDOWN(MIN(G82*$D$12,$E$12),0),ROUNDUP(MIN(G82*$D$12,$E$12),0)),0))</f>
        <v/>
      </c>
      <c r="M82" s="19" t="n"/>
      <c r="N82" s="19">
        <f>IF(G82="","",MAX(I82,J82,K82,L82))</f>
        <v/>
      </c>
      <c r="O82" s="19">
        <f>IF(G82="","",G82-N82)</f>
        <v/>
      </c>
      <c r="P82" s="19" t="n"/>
      <c r="Q82" s="19">
        <f>IF(O82="","",IF(O82&gt;=$J$9,IF(B82="G마켓",ROUNDDOWN(MIN(O82*$K$9,$L$9),0),ROUNDUP(MIN(O82*$K$9,$L$9),0)),0))</f>
        <v/>
      </c>
      <c r="R82" s="19">
        <f>IF(O82="","",IF(O82&gt;=$J$10,IF(B82="G마켓",ROUNDDOWN(MIN(O82*$K$10,$L$10),0),ROUNDUP(MIN(O82*$K$10,$L$10),0)),0))</f>
        <v/>
      </c>
      <c r="S82" s="19">
        <f>IF(O82="","",IF(O82&gt;=$J$11,IF(B82="G마켓",ROUNDDOWN(MIN(O82*$K$11,$L$11),0),ROUNDUP(MIN(O82*$K$11,$L$11),0)),0))</f>
        <v/>
      </c>
      <c r="T82" s="19">
        <f>IF(O82="","",MAX(Q82,R82,S82))</f>
        <v/>
      </c>
      <c r="U82" s="19">
        <f>IF(O82="","",O82-T82)</f>
        <v/>
      </c>
      <c r="V82" s="19">
        <f>IF(O82="","",IF(B82="G마켓",ROUNDDOWN(MAX(Q82*$N$9,R82*$N$10,S82*$N$11),0),ROUNDUP(MAX(Q82*$N$9,R82*$N$10,S82*$N$11),0)))</f>
        <v/>
      </c>
      <c r="W82" s="19">
        <f>IF(G82="","",IF(B82="G마켓",ROUNDDOWN(G82-G82*$D$3-V82,0),ROUNDUP(G82-G82*$D$3-V82,0)))</f>
        <v/>
      </c>
    </row>
    <row r="83">
      <c r="B83" s="18" t="n"/>
      <c r="C83" s="18" t="n"/>
      <c r="D83" s="18" t="n"/>
      <c r="E83" s="19" t="n"/>
      <c r="F83" s="19" t="n"/>
      <c r="G83" s="19">
        <f>IF(E83="","",E83-N(F83))</f>
        <v/>
      </c>
      <c r="H83" s="19" t="n"/>
      <c r="I83" s="19">
        <f>IF(G83="","",IF(G83&gt;=$C$9,IF(B83="G마켓",ROUNDDOWN(MIN(G83*$D$9,$E$9),0),ROUNDUP(MIN(G83*$D$9,$E$9),0)),0))</f>
        <v/>
      </c>
      <c r="J83" s="19">
        <f>IF(G83="","",IF(G83&gt;=$C$10,IF(B83="G마켓",ROUNDDOWN(MIN(G83*$D$10,$E$10),0),ROUNDUP(MIN(G83*$D$10,$E$10),0)),0))</f>
        <v/>
      </c>
      <c r="K83" s="19">
        <f>IF(G83="","",IF(G83&gt;=$C$11,IF(B83="G마켓",ROUNDDOWN(MIN(G83*$D$11,$E$11),0),ROUNDUP(MIN(G83*$D$11,$E$11),0)),0))</f>
        <v/>
      </c>
      <c r="L83" s="19">
        <f>IF(G83="","",IF(G83&gt;=$C$12,IF(B83="G마켓",ROUNDDOWN(MIN(G83*$D$12,$E$12),0),ROUNDUP(MIN(G83*$D$12,$E$12),0)),0))</f>
        <v/>
      </c>
      <c r="M83" s="19" t="n"/>
      <c r="N83" s="19">
        <f>IF(G83="","",MAX(I83,J83,K83,L83))</f>
        <v/>
      </c>
      <c r="O83" s="19">
        <f>IF(G83="","",G83-N83)</f>
        <v/>
      </c>
      <c r="P83" s="19" t="n"/>
      <c r="Q83" s="19">
        <f>IF(O83="","",IF(O83&gt;=$J$9,IF(B83="G마켓",ROUNDDOWN(MIN(O83*$K$9,$L$9),0),ROUNDUP(MIN(O83*$K$9,$L$9),0)),0))</f>
        <v/>
      </c>
      <c r="R83" s="19">
        <f>IF(O83="","",IF(O83&gt;=$J$10,IF(B83="G마켓",ROUNDDOWN(MIN(O83*$K$10,$L$10),0),ROUNDUP(MIN(O83*$K$10,$L$10),0)),0))</f>
        <v/>
      </c>
      <c r="S83" s="19">
        <f>IF(O83="","",IF(O83&gt;=$J$11,IF(B83="G마켓",ROUNDDOWN(MIN(O83*$K$11,$L$11),0),ROUNDUP(MIN(O83*$K$11,$L$11),0)),0))</f>
        <v/>
      </c>
      <c r="T83" s="19">
        <f>IF(O83="","",MAX(Q83,R83,S83))</f>
        <v/>
      </c>
      <c r="U83" s="19">
        <f>IF(O83="","",O83-T83)</f>
        <v/>
      </c>
      <c r="V83" s="19">
        <f>IF(O83="","",IF(B83="G마켓",ROUNDDOWN(MAX(Q83*$N$9,R83*$N$10,S83*$N$11),0),ROUNDUP(MAX(Q83*$N$9,R83*$N$10,S83*$N$11),0)))</f>
        <v/>
      </c>
      <c r="W83" s="19">
        <f>IF(G83="","",IF(B83="G마켓",ROUNDDOWN(G83-G83*$D$3-V83,0),ROUNDUP(G83-G83*$D$3-V83,0)))</f>
        <v/>
      </c>
    </row>
    <row r="84">
      <c r="B84" s="18" t="n"/>
      <c r="C84" s="18" t="n"/>
      <c r="D84" s="18" t="n"/>
      <c r="E84" s="19" t="n"/>
      <c r="F84" s="19" t="n"/>
      <c r="G84" s="19">
        <f>IF(E84="","",E84-N(F84))</f>
        <v/>
      </c>
      <c r="H84" s="19" t="n"/>
      <c r="I84" s="19">
        <f>IF(G84="","",IF(G84&gt;=$C$9,IF(B84="G마켓",ROUNDDOWN(MIN(G84*$D$9,$E$9),0),ROUNDUP(MIN(G84*$D$9,$E$9),0)),0))</f>
        <v/>
      </c>
      <c r="J84" s="19">
        <f>IF(G84="","",IF(G84&gt;=$C$10,IF(B84="G마켓",ROUNDDOWN(MIN(G84*$D$10,$E$10),0),ROUNDUP(MIN(G84*$D$10,$E$10),0)),0))</f>
        <v/>
      </c>
      <c r="K84" s="19">
        <f>IF(G84="","",IF(G84&gt;=$C$11,IF(B84="G마켓",ROUNDDOWN(MIN(G84*$D$11,$E$11),0),ROUNDUP(MIN(G84*$D$11,$E$11),0)),0))</f>
        <v/>
      </c>
      <c r="L84" s="19">
        <f>IF(G84="","",IF(G84&gt;=$C$12,IF(B84="G마켓",ROUNDDOWN(MIN(G84*$D$12,$E$12),0),ROUNDUP(MIN(G84*$D$12,$E$12),0)),0))</f>
        <v/>
      </c>
      <c r="M84" s="19" t="n"/>
      <c r="N84" s="19">
        <f>IF(G84="","",MAX(I84,J84,K84,L84))</f>
        <v/>
      </c>
      <c r="O84" s="19">
        <f>IF(G84="","",G84-N84)</f>
        <v/>
      </c>
      <c r="P84" s="19" t="n"/>
      <c r="Q84" s="19">
        <f>IF(O84="","",IF(O84&gt;=$J$9,IF(B84="G마켓",ROUNDDOWN(MIN(O84*$K$9,$L$9),0),ROUNDUP(MIN(O84*$K$9,$L$9),0)),0))</f>
        <v/>
      </c>
      <c r="R84" s="19">
        <f>IF(O84="","",IF(O84&gt;=$J$10,IF(B84="G마켓",ROUNDDOWN(MIN(O84*$K$10,$L$10),0),ROUNDUP(MIN(O84*$K$10,$L$10),0)),0))</f>
        <v/>
      </c>
      <c r="S84" s="19">
        <f>IF(O84="","",IF(O84&gt;=$J$11,IF(B84="G마켓",ROUNDDOWN(MIN(O84*$K$11,$L$11),0),ROUNDUP(MIN(O84*$K$11,$L$11),0)),0))</f>
        <v/>
      </c>
      <c r="T84" s="19">
        <f>IF(O84="","",MAX(Q84,R84,S84))</f>
        <v/>
      </c>
      <c r="U84" s="19">
        <f>IF(O84="","",O84-T84)</f>
        <v/>
      </c>
      <c r="V84" s="19">
        <f>IF(O84="","",IF(B84="G마켓",ROUNDDOWN(MAX(Q84*$N$9,R84*$N$10,S84*$N$11),0),ROUNDUP(MAX(Q84*$N$9,R84*$N$10,S84*$N$11),0)))</f>
        <v/>
      </c>
      <c r="W84" s="19">
        <f>IF(G84="","",IF(B84="G마켓",ROUNDDOWN(G84-G84*$D$3-V84,0),ROUNDUP(G84-G84*$D$3-V84,0)))</f>
        <v/>
      </c>
    </row>
    <row r="85">
      <c r="B85" s="18" t="n"/>
      <c r="C85" s="18" t="n"/>
      <c r="D85" s="18" t="n"/>
      <c r="E85" s="19" t="n"/>
      <c r="F85" s="19" t="n"/>
      <c r="G85" s="19">
        <f>IF(E85="","",E85-N(F85))</f>
        <v/>
      </c>
      <c r="H85" s="19" t="n"/>
      <c r="I85" s="19">
        <f>IF(G85="","",IF(G85&gt;=$C$9,IF(B85="G마켓",ROUNDDOWN(MIN(G85*$D$9,$E$9),0),ROUNDUP(MIN(G85*$D$9,$E$9),0)),0))</f>
        <v/>
      </c>
      <c r="J85" s="19">
        <f>IF(G85="","",IF(G85&gt;=$C$10,IF(B85="G마켓",ROUNDDOWN(MIN(G85*$D$10,$E$10),0),ROUNDUP(MIN(G85*$D$10,$E$10),0)),0))</f>
        <v/>
      </c>
      <c r="K85" s="19">
        <f>IF(G85="","",IF(G85&gt;=$C$11,IF(B85="G마켓",ROUNDDOWN(MIN(G85*$D$11,$E$11),0),ROUNDUP(MIN(G85*$D$11,$E$11),0)),0))</f>
        <v/>
      </c>
      <c r="L85" s="19">
        <f>IF(G85="","",IF(G85&gt;=$C$12,IF(B85="G마켓",ROUNDDOWN(MIN(G85*$D$12,$E$12),0),ROUNDUP(MIN(G85*$D$12,$E$12),0)),0))</f>
        <v/>
      </c>
      <c r="M85" s="19" t="n"/>
      <c r="N85" s="19">
        <f>IF(G85="","",MAX(I85,J85,K85,L85))</f>
        <v/>
      </c>
      <c r="O85" s="19">
        <f>IF(G85="","",G85-N85)</f>
        <v/>
      </c>
      <c r="P85" s="19" t="n"/>
      <c r="Q85" s="19">
        <f>IF(O85="","",IF(O85&gt;=$J$9,IF(B85="G마켓",ROUNDDOWN(MIN(O85*$K$9,$L$9),0),ROUNDUP(MIN(O85*$K$9,$L$9),0)),0))</f>
        <v/>
      </c>
      <c r="R85" s="19">
        <f>IF(O85="","",IF(O85&gt;=$J$10,IF(B85="G마켓",ROUNDDOWN(MIN(O85*$K$10,$L$10),0),ROUNDUP(MIN(O85*$K$10,$L$10),0)),0))</f>
        <v/>
      </c>
      <c r="S85" s="19">
        <f>IF(O85="","",IF(O85&gt;=$J$11,IF(B85="G마켓",ROUNDDOWN(MIN(O85*$K$11,$L$11),0),ROUNDUP(MIN(O85*$K$11,$L$11),0)),0))</f>
        <v/>
      </c>
      <c r="T85" s="19">
        <f>IF(O85="","",MAX(Q85,R85,S85))</f>
        <v/>
      </c>
      <c r="U85" s="19">
        <f>IF(O85="","",O85-T85)</f>
        <v/>
      </c>
      <c r="V85" s="19">
        <f>IF(O85="","",IF(B85="G마켓",ROUNDDOWN(MAX(Q85*$N$9,R85*$N$10,S85*$N$11),0),ROUNDUP(MAX(Q85*$N$9,R85*$N$10,S85*$N$11),0)))</f>
        <v/>
      </c>
      <c r="W85" s="19">
        <f>IF(G85="","",IF(B85="G마켓",ROUNDDOWN(G85-G85*$D$3-V85,0),ROUNDUP(G85-G85*$D$3-V85,0)))</f>
        <v/>
      </c>
    </row>
    <row r="86">
      <c r="B86" s="18" t="n"/>
      <c r="C86" s="18" t="n"/>
      <c r="D86" s="18" t="n"/>
      <c r="E86" s="19" t="n"/>
      <c r="F86" s="19" t="n"/>
      <c r="G86" s="19">
        <f>IF(E86="","",E86-N(F86))</f>
        <v/>
      </c>
      <c r="H86" s="19" t="n"/>
      <c r="I86" s="19">
        <f>IF(G86="","",IF(G86&gt;=$C$9,IF(B86="G마켓",ROUNDDOWN(MIN(G86*$D$9,$E$9),0),ROUNDUP(MIN(G86*$D$9,$E$9),0)),0))</f>
        <v/>
      </c>
      <c r="J86" s="19">
        <f>IF(G86="","",IF(G86&gt;=$C$10,IF(B86="G마켓",ROUNDDOWN(MIN(G86*$D$10,$E$10),0),ROUNDUP(MIN(G86*$D$10,$E$10),0)),0))</f>
        <v/>
      </c>
      <c r="K86" s="19">
        <f>IF(G86="","",IF(G86&gt;=$C$11,IF(B86="G마켓",ROUNDDOWN(MIN(G86*$D$11,$E$11),0),ROUNDUP(MIN(G86*$D$11,$E$11),0)),0))</f>
        <v/>
      </c>
      <c r="L86" s="19">
        <f>IF(G86="","",IF(G86&gt;=$C$12,IF(B86="G마켓",ROUNDDOWN(MIN(G86*$D$12,$E$12),0),ROUNDUP(MIN(G86*$D$12,$E$12),0)),0))</f>
        <v/>
      </c>
      <c r="M86" s="19" t="n"/>
      <c r="N86" s="19">
        <f>IF(G86="","",MAX(I86,J86,K86,L86))</f>
        <v/>
      </c>
      <c r="O86" s="19">
        <f>IF(G86="","",G86-N86)</f>
        <v/>
      </c>
      <c r="P86" s="19" t="n"/>
      <c r="Q86" s="19">
        <f>IF(O86="","",IF(O86&gt;=$J$9,IF(B86="G마켓",ROUNDDOWN(MIN(O86*$K$9,$L$9),0),ROUNDUP(MIN(O86*$K$9,$L$9),0)),0))</f>
        <v/>
      </c>
      <c r="R86" s="19">
        <f>IF(O86="","",IF(O86&gt;=$J$10,IF(B86="G마켓",ROUNDDOWN(MIN(O86*$K$10,$L$10),0),ROUNDUP(MIN(O86*$K$10,$L$10),0)),0))</f>
        <v/>
      </c>
      <c r="S86" s="19">
        <f>IF(O86="","",IF(O86&gt;=$J$11,IF(B86="G마켓",ROUNDDOWN(MIN(O86*$K$11,$L$11),0),ROUNDUP(MIN(O86*$K$11,$L$11),0)),0))</f>
        <v/>
      </c>
      <c r="T86" s="19">
        <f>IF(O86="","",MAX(Q86,R86,S86))</f>
        <v/>
      </c>
      <c r="U86" s="19">
        <f>IF(O86="","",O86-T86)</f>
        <v/>
      </c>
      <c r="V86" s="19">
        <f>IF(O86="","",IF(B86="G마켓",ROUNDDOWN(MAX(Q86*$N$9,R86*$N$10,S86*$N$11),0),ROUNDUP(MAX(Q86*$N$9,R86*$N$10,S86*$N$11),0)))</f>
        <v/>
      </c>
      <c r="W86" s="19">
        <f>IF(G86="","",IF(B86="G마켓",ROUNDDOWN(G86-G86*$D$3-V86,0),ROUNDUP(G86-G86*$D$3-V86,0)))</f>
        <v/>
      </c>
    </row>
    <row r="87">
      <c r="B87" s="18" t="n"/>
      <c r="C87" s="18" t="n"/>
      <c r="D87" s="18" t="n"/>
      <c r="E87" s="19" t="n"/>
      <c r="F87" s="19" t="n"/>
      <c r="G87" s="19">
        <f>IF(E87="","",E87-N(F87))</f>
        <v/>
      </c>
      <c r="H87" s="19" t="n"/>
      <c r="I87" s="19">
        <f>IF(G87="","",IF(G87&gt;=$C$9,IF(B87="G마켓",ROUNDDOWN(MIN(G87*$D$9,$E$9),0),ROUNDUP(MIN(G87*$D$9,$E$9),0)),0))</f>
        <v/>
      </c>
      <c r="J87" s="19">
        <f>IF(G87="","",IF(G87&gt;=$C$10,IF(B87="G마켓",ROUNDDOWN(MIN(G87*$D$10,$E$10),0),ROUNDUP(MIN(G87*$D$10,$E$10),0)),0))</f>
        <v/>
      </c>
      <c r="K87" s="19">
        <f>IF(G87="","",IF(G87&gt;=$C$11,IF(B87="G마켓",ROUNDDOWN(MIN(G87*$D$11,$E$11),0),ROUNDUP(MIN(G87*$D$11,$E$11),0)),0))</f>
        <v/>
      </c>
      <c r="L87" s="19">
        <f>IF(G87="","",IF(G87&gt;=$C$12,IF(B87="G마켓",ROUNDDOWN(MIN(G87*$D$12,$E$12),0),ROUNDUP(MIN(G87*$D$12,$E$12),0)),0))</f>
        <v/>
      </c>
      <c r="M87" s="19" t="n"/>
      <c r="N87" s="19">
        <f>IF(G87="","",MAX(I87,J87,K87,L87))</f>
        <v/>
      </c>
      <c r="O87" s="19">
        <f>IF(G87="","",G87-N87)</f>
        <v/>
      </c>
      <c r="P87" s="19" t="n"/>
      <c r="Q87" s="19">
        <f>IF(O87="","",IF(O87&gt;=$J$9,IF(B87="G마켓",ROUNDDOWN(MIN(O87*$K$9,$L$9),0),ROUNDUP(MIN(O87*$K$9,$L$9),0)),0))</f>
        <v/>
      </c>
      <c r="R87" s="19">
        <f>IF(O87="","",IF(O87&gt;=$J$10,IF(B87="G마켓",ROUNDDOWN(MIN(O87*$K$10,$L$10),0),ROUNDUP(MIN(O87*$K$10,$L$10),0)),0))</f>
        <v/>
      </c>
      <c r="S87" s="19">
        <f>IF(O87="","",IF(O87&gt;=$J$11,IF(B87="G마켓",ROUNDDOWN(MIN(O87*$K$11,$L$11),0),ROUNDUP(MIN(O87*$K$11,$L$11),0)),0))</f>
        <v/>
      </c>
      <c r="T87" s="19">
        <f>IF(O87="","",MAX(Q87,R87,S87))</f>
        <v/>
      </c>
      <c r="U87" s="19">
        <f>IF(O87="","",O87-T87)</f>
        <v/>
      </c>
      <c r="V87" s="19">
        <f>IF(O87="","",IF(B87="G마켓",ROUNDDOWN(MAX(Q87*$N$9,R87*$N$10,S87*$N$11),0),ROUNDUP(MAX(Q87*$N$9,R87*$N$10,S87*$N$11),0)))</f>
        <v/>
      </c>
      <c r="W87" s="19">
        <f>IF(G87="","",IF(B87="G마켓",ROUNDDOWN(G87-G87*$D$3-V87,0),ROUNDUP(G87-G87*$D$3-V87,0)))</f>
        <v/>
      </c>
    </row>
    <row r="88">
      <c r="B88" s="18" t="n"/>
      <c r="C88" s="18" t="n"/>
      <c r="D88" s="18" t="n"/>
      <c r="E88" s="19" t="n"/>
      <c r="F88" s="19" t="n"/>
      <c r="G88" s="19">
        <f>IF(E88="","",E88-N(F88))</f>
        <v/>
      </c>
      <c r="H88" s="19" t="n"/>
      <c r="I88" s="19">
        <f>IF(G88="","",IF(G88&gt;=$C$9,IF(B88="G마켓",ROUNDDOWN(MIN(G88*$D$9,$E$9),0),ROUNDUP(MIN(G88*$D$9,$E$9),0)),0))</f>
        <v/>
      </c>
      <c r="J88" s="19">
        <f>IF(G88="","",IF(G88&gt;=$C$10,IF(B88="G마켓",ROUNDDOWN(MIN(G88*$D$10,$E$10),0),ROUNDUP(MIN(G88*$D$10,$E$10),0)),0))</f>
        <v/>
      </c>
      <c r="K88" s="19">
        <f>IF(G88="","",IF(G88&gt;=$C$11,IF(B88="G마켓",ROUNDDOWN(MIN(G88*$D$11,$E$11),0),ROUNDUP(MIN(G88*$D$11,$E$11),0)),0))</f>
        <v/>
      </c>
      <c r="L88" s="19">
        <f>IF(G88="","",IF(G88&gt;=$C$12,IF(B88="G마켓",ROUNDDOWN(MIN(G88*$D$12,$E$12),0),ROUNDUP(MIN(G88*$D$12,$E$12),0)),0))</f>
        <v/>
      </c>
      <c r="M88" s="19" t="n"/>
      <c r="N88" s="19">
        <f>IF(G88="","",MAX(I88,J88,K88,L88))</f>
        <v/>
      </c>
      <c r="O88" s="19">
        <f>IF(G88="","",G88-N88)</f>
        <v/>
      </c>
      <c r="P88" s="19" t="n"/>
      <c r="Q88" s="19">
        <f>IF(O88="","",IF(O88&gt;=$J$9,IF(B88="G마켓",ROUNDDOWN(MIN(O88*$K$9,$L$9),0),ROUNDUP(MIN(O88*$K$9,$L$9),0)),0))</f>
        <v/>
      </c>
      <c r="R88" s="19">
        <f>IF(O88="","",IF(O88&gt;=$J$10,IF(B88="G마켓",ROUNDDOWN(MIN(O88*$K$10,$L$10),0),ROUNDUP(MIN(O88*$K$10,$L$10),0)),0))</f>
        <v/>
      </c>
      <c r="S88" s="19">
        <f>IF(O88="","",IF(O88&gt;=$J$11,IF(B88="G마켓",ROUNDDOWN(MIN(O88*$K$11,$L$11),0),ROUNDUP(MIN(O88*$K$11,$L$11),0)),0))</f>
        <v/>
      </c>
      <c r="T88" s="19">
        <f>IF(O88="","",MAX(Q88,R88,S88))</f>
        <v/>
      </c>
      <c r="U88" s="19">
        <f>IF(O88="","",O88-T88)</f>
        <v/>
      </c>
      <c r="V88" s="19">
        <f>IF(O88="","",IF(B88="G마켓",ROUNDDOWN(MAX(Q88*$N$9,R88*$N$10,S88*$N$11),0),ROUNDUP(MAX(Q88*$N$9,R88*$N$10,S88*$N$11),0)))</f>
        <v/>
      </c>
      <c r="W88" s="19">
        <f>IF(G88="","",IF(B88="G마켓",ROUNDDOWN(G88-G88*$D$3-V88,0),ROUNDUP(G88-G88*$D$3-V88,0)))</f>
        <v/>
      </c>
    </row>
    <row r="89">
      <c r="B89" s="18" t="n"/>
      <c r="C89" s="18" t="n"/>
      <c r="D89" s="18" t="n"/>
      <c r="E89" s="19" t="n"/>
      <c r="F89" s="19" t="n"/>
      <c r="G89" s="19">
        <f>IF(E89="","",E89-N(F89))</f>
        <v/>
      </c>
      <c r="H89" s="19" t="n"/>
      <c r="I89" s="19">
        <f>IF(G89="","",IF(G89&gt;=$C$9,IF(B89="G마켓",ROUNDDOWN(MIN(G89*$D$9,$E$9),0),ROUNDUP(MIN(G89*$D$9,$E$9),0)),0))</f>
        <v/>
      </c>
      <c r="J89" s="19">
        <f>IF(G89="","",IF(G89&gt;=$C$10,IF(B89="G마켓",ROUNDDOWN(MIN(G89*$D$10,$E$10),0),ROUNDUP(MIN(G89*$D$10,$E$10),0)),0))</f>
        <v/>
      </c>
      <c r="K89" s="19">
        <f>IF(G89="","",IF(G89&gt;=$C$11,IF(B89="G마켓",ROUNDDOWN(MIN(G89*$D$11,$E$11),0),ROUNDUP(MIN(G89*$D$11,$E$11),0)),0))</f>
        <v/>
      </c>
      <c r="L89" s="19">
        <f>IF(G89="","",IF(G89&gt;=$C$12,IF(B89="G마켓",ROUNDDOWN(MIN(G89*$D$12,$E$12),0),ROUNDUP(MIN(G89*$D$12,$E$12),0)),0))</f>
        <v/>
      </c>
      <c r="M89" s="19" t="n"/>
      <c r="N89" s="19">
        <f>IF(G89="","",MAX(I89,J89,K89,L89))</f>
        <v/>
      </c>
      <c r="O89" s="19">
        <f>IF(G89="","",G89-N89)</f>
        <v/>
      </c>
      <c r="P89" s="19" t="n"/>
      <c r="Q89" s="19">
        <f>IF(O89="","",IF(O89&gt;=$J$9,IF(B89="G마켓",ROUNDDOWN(MIN(O89*$K$9,$L$9),0),ROUNDUP(MIN(O89*$K$9,$L$9),0)),0))</f>
        <v/>
      </c>
      <c r="R89" s="19">
        <f>IF(O89="","",IF(O89&gt;=$J$10,IF(B89="G마켓",ROUNDDOWN(MIN(O89*$K$10,$L$10),0),ROUNDUP(MIN(O89*$K$10,$L$10),0)),0))</f>
        <v/>
      </c>
      <c r="S89" s="19">
        <f>IF(O89="","",IF(O89&gt;=$J$11,IF(B89="G마켓",ROUNDDOWN(MIN(O89*$K$11,$L$11),0),ROUNDUP(MIN(O89*$K$11,$L$11),0)),0))</f>
        <v/>
      </c>
      <c r="T89" s="19">
        <f>IF(O89="","",MAX(Q89,R89,S89))</f>
        <v/>
      </c>
      <c r="U89" s="19">
        <f>IF(O89="","",O89-T89)</f>
        <v/>
      </c>
      <c r="V89" s="19">
        <f>IF(O89="","",IF(B89="G마켓",ROUNDDOWN(MAX(Q89*$N$9,R89*$N$10,S89*$N$11),0),ROUNDUP(MAX(Q89*$N$9,R89*$N$10,S89*$N$11),0)))</f>
        <v/>
      </c>
      <c r="W89" s="19">
        <f>IF(G89="","",IF(B89="G마켓",ROUNDDOWN(G89-G89*$D$3-V89,0),ROUNDUP(G89-G89*$D$3-V89,0)))</f>
        <v/>
      </c>
    </row>
    <row r="90">
      <c r="B90" s="18" t="n"/>
      <c r="C90" s="18" t="n"/>
      <c r="D90" s="18" t="n"/>
      <c r="E90" s="19" t="n"/>
      <c r="F90" s="19" t="n"/>
      <c r="G90" s="19">
        <f>IF(E90="","",E90-N(F90))</f>
        <v/>
      </c>
      <c r="H90" s="19" t="n"/>
      <c r="I90" s="19">
        <f>IF(G90="","",IF(G90&gt;=$C$9,IF(B90="G마켓",ROUNDDOWN(MIN(G90*$D$9,$E$9),0),ROUNDUP(MIN(G90*$D$9,$E$9),0)),0))</f>
        <v/>
      </c>
      <c r="J90" s="19">
        <f>IF(G90="","",IF(G90&gt;=$C$10,IF(B90="G마켓",ROUNDDOWN(MIN(G90*$D$10,$E$10),0),ROUNDUP(MIN(G90*$D$10,$E$10),0)),0))</f>
        <v/>
      </c>
      <c r="K90" s="19">
        <f>IF(G90="","",IF(G90&gt;=$C$11,IF(B90="G마켓",ROUNDDOWN(MIN(G90*$D$11,$E$11),0),ROUNDUP(MIN(G90*$D$11,$E$11),0)),0))</f>
        <v/>
      </c>
      <c r="L90" s="19">
        <f>IF(G90="","",IF(G90&gt;=$C$12,IF(B90="G마켓",ROUNDDOWN(MIN(G90*$D$12,$E$12),0),ROUNDUP(MIN(G90*$D$12,$E$12),0)),0))</f>
        <v/>
      </c>
      <c r="M90" s="19" t="n"/>
      <c r="N90" s="19">
        <f>IF(G90="","",MAX(I90,J90,K90,L90))</f>
        <v/>
      </c>
      <c r="O90" s="19">
        <f>IF(G90="","",G90-N90)</f>
        <v/>
      </c>
      <c r="P90" s="19" t="n"/>
      <c r="Q90" s="19">
        <f>IF(O90="","",IF(O90&gt;=$J$9,IF(B90="G마켓",ROUNDDOWN(MIN(O90*$K$9,$L$9),0),ROUNDUP(MIN(O90*$K$9,$L$9),0)),0))</f>
        <v/>
      </c>
      <c r="R90" s="19">
        <f>IF(O90="","",IF(O90&gt;=$J$10,IF(B90="G마켓",ROUNDDOWN(MIN(O90*$K$10,$L$10),0),ROUNDUP(MIN(O90*$K$10,$L$10),0)),0))</f>
        <v/>
      </c>
      <c r="S90" s="19">
        <f>IF(O90="","",IF(O90&gt;=$J$11,IF(B90="G마켓",ROUNDDOWN(MIN(O90*$K$11,$L$11),0),ROUNDUP(MIN(O90*$K$11,$L$11),0)),0))</f>
        <v/>
      </c>
      <c r="T90" s="19">
        <f>IF(O90="","",MAX(Q90,R90,S90))</f>
        <v/>
      </c>
      <c r="U90" s="19">
        <f>IF(O90="","",O90-T90)</f>
        <v/>
      </c>
      <c r="V90" s="19">
        <f>IF(O90="","",IF(B90="G마켓",ROUNDDOWN(MAX(Q90*$N$9,R90*$N$10,S90*$N$11),0),ROUNDUP(MAX(Q90*$N$9,R90*$N$10,S90*$N$11),0)))</f>
        <v/>
      </c>
      <c r="W90" s="19">
        <f>IF(G90="","",IF(B90="G마켓",ROUNDDOWN(G90-G90*$D$3-V90,0),ROUNDUP(G90-G90*$D$3-V90,0)))</f>
        <v/>
      </c>
    </row>
    <row r="91">
      <c r="B91" s="18" t="n"/>
      <c r="C91" s="18" t="n"/>
      <c r="D91" s="18" t="n"/>
      <c r="E91" s="19" t="n"/>
      <c r="F91" s="19" t="n"/>
      <c r="G91" s="19">
        <f>IF(E91="","",E91-N(F91))</f>
        <v/>
      </c>
      <c r="H91" s="19" t="n"/>
      <c r="I91" s="19">
        <f>IF(G91="","",IF(G91&gt;=$C$9,IF(B91="G마켓",ROUNDDOWN(MIN(G91*$D$9,$E$9),0),ROUNDUP(MIN(G91*$D$9,$E$9),0)),0))</f>
        <v/>
      </c>
      <c r="J91" s="19">
        <f>IF(G91="","",IF(G91&gt;=$C$10,IF(B91="G마켓",ROUNDDOWN(MIN(G91*$D$10,$E$10),0),ROUNDUP(MIN(G91*$D$10,$E$10),0)),0))</f>
        <v/>
      </c>
      <c r="K91" s="19">
        <f>IF(G91="","",IF(G91&gt;=$C$11,IF(B91="G마켓",ROUNDDOWN(MIN(G91*$D$11,$E$11),0),ROUNDUP(MIN(G91*$D$11,$E$11),0)),0))</f>
        <v/>
      </c>
      <c r="L91" s="19">
        <f>IF(G91="","",IF(G91&gt;=$C$12,IF(B91="G마켓",ROUNDDOWN(MIN(G91*$D$12,$E$12),0),ROUNDUP(MIN(G91*$D$12,$E$12),0)),0))</f>
        <v/>
      </c>
      <c r="M91" s="19" t="n"/>
      <c r="N91" s="19">
        <f>IF(G91="","",MAX(I91,J91,K91,L91))</f>
        <v/>
      </c>
      <c r="O91" s="19">
        <f>IF(G91="","",G91-N91)</f>
        <v/>
      </c>
      <c r="P91" s="19" t="n"/>
      <c r="Q91" s="19">
        <f>IF(O91="","",IF(O91&gt;=$J$9,IF(B91="G마켓",ROUNDDOWN(MIN(O91*$K$9,$L$9),0),ROUNDUP(MIN(O91*$K$9,$L$9),0)),0))</f>
        <v/>
      </c>
      <c r="R91" s="19">
        <f>IF(O91="","",IF(O91&gt;=$J$10,IF(B91="G마켓",ROUNDDOWN(MIN(O91*$K$10,$L$10),0),ROUNDUP(MIN(O91*$K$10,$L$10),0)),0))</f>
        <v/>
      </c>
      <c r="S91" s="19">
        <f>IF(O91="","",IF(O91&gt;=$J$11,IF(B91="G마켓",ROUNDDOWN(MIN(O91*$K$11,$L$11),0),ROUNDUP(MIN(O91*$K$11,$L$11),0)),0))</f>
        <v/>
      </c>
      <c r="T91" s="19">
        <f>IF(O91="","",MAX(Q91,R91,S91))</f>
        <v/>
      </c>
      <c r="U91" s="19">
        <f>IF(O91="","",O91-T91)</f>
        <v/>
      </c>
      <c r="V91" s="19">
        <f>IF(O91="","",IF(B91="G마켓",ROUNDDOWN(MAX(Q91*$N$9,R91*$N$10,S91*$N$11),0),ROUNDUP(MAX(Q91*$N$9,R91*$N$10,S91*$N$11),0)))</f>
        <v/>
      </c>
      <c r="W91" s="19">
        <f>IF(G91="","",IF(B91="G마켓",ROUNDDOWN(G91-G91*$D$3-V91,0),ROUNDUP(G91-G91*$D$3-V91,0)))</f>
        <v/>
      </c>
    </row>
    <row r="92">
      <c r="B92" s="18" t="n"/>
      <c r="C92" s="18" t="n"/>
      <c r="D92" s="18" t="n"/>
      <c r="E92" s="19" t="n"/>
      <c r="F92" s="19" t="n"/>
      <c r="G92" s="19">
        <f>IF(E92="","",E92-N(F92))</f>
        <v/>
      </c>
      <c r="H92" s="19" t="n"/>
      <c r="I92" s="19">
        <f>IF(G92="","",IF(G92&gt;=$C$9,IF(B92="G마켓",ROUNDDOWN(MIN(G92*$D$9,$E$9),0),ROUNDUP(MIN(G92*$D$9,$E$9),0)),0))</f>
        <v/>
      </c>
      <c r="J92" s="19">
        <f>IF(G92="","",IF(G92&gt;=$C$10,IF(B92="G마켓",ROUNDDOWN(MIN(G92*$D$10,$E$10),0),ROUNDUP(MIN(G92*$D$10,$E$10),0)),0))</f>
        <v/>
      </c>
      <c r="K92" s="19">
        <f>IF(G92="","",IF(G92&gt;=$C$11,IF(B92="G마켓",ROUNDDOWN(MIN(G92*$D$11,$E$11),0),ROUNDUP(MIN(G92*$D$11,$E$11),0)),0))</f>
        <v/>
      </c>
      <c r="L92" s="19">
        <f>IF(G92="","",IF(G92&gt;=$C$12,IF(B92="G마켓",ROUNDDOWN(MIN(G92*$D$12,$E$12),0),ROUNDUP(MIN(G92*$D$12,$E$12),0)),0))</f>
        <v/>
      </c>
      <c r="M92" s="19" t="n"/>
      <c r="N92" s="19">
        <f>IF(G92="","",MAX(I92,J92,K92,L92))</f>
        <v/>
      </c>
      <c r="O92" s="19">
        <f>IF(G92="","",G92-N92)</f>
        <v/>
      </c>
      <c r="P92" s="19" t="n"/>
      <c r="Q92" s="19">
        <f>IF(O92="","",IF(O92&gt;=$J$9,IF(B92="G마켓",ROUNDDOWN(MIN(O92*$K$9,$L$9),0),ROUNDUP(MIN(O92*$K$9,$L$9),0)),0))</f>
        <v/>
      </c>
      <c r="R92" s="19">
        <f>IF(O92="","",IF(O92&gt;=$J$10,IF(B92="G마켓",ROUNDDOWN(MIN(O92*$K$10,$L$10),0),ROUNDUP(MIN(O92*$K$10,$L$10),0)),0))</f>
        <v/>
      </c>
      <c r="S92" s="19">
        <f>IF(O92="","",IF(O92&gt;=$J$11,IF(B92="G마켓",ROUNDDOWN(MIN(O92*$K$11,$L$11),0),ROUNDUP(MIN(O92*$K$11,$L$11),0)),0))</f>
        <v/>
      </c>
      <c r="T92" s="19">
        <f>IF(O92="","",MAX(Q92,R92,S92))</f>
        <v/>
      </c>
      <c r="U92" s="19">
        <f>IF(O92="","",O92-T92)</f>
        <v/>
      </c>
      <c r="V92" s="19">
        <f>IF(O92="","",IF(B92="G마켓",ROUNDDOWN(MAX(Q92*$N$9,R92*$N$10,S92*$N$11),0),ROUNDUP(MAX(Q92*$N$9,R92*$N$10,S92*$N$11),0)))</f>
        <v/>
      </c>
      <c r="W92" s="19">
        <f>IF(G92="","",IF(B92="G마켓",ROUNDDOWN(G92-G92*$D$3-V92,0),ROUNDUP(G92-G92*$D$3-V92,0)))</f>
        <v/>
      </c>
    </row>
    <row r="93">
      <c r="B93" s="18" t="n"/>
      <c r="C93" s="18" t="n"/>
      <c r="D93" s="18" t="n"/>
      <c r="E93" s="19" t="n"/>
      <c r="F93" s="19" t="n"/>
      <c r="G93" s="19">
        <f>IF(E93="","",E93-N(F93))</f>
        <v/>
      </c>
      <c r="H93" s="19" t="n"/>
      <c r="I93" s="19">
        <f>IF(G93="","",IF(G93&gt;=$C$9,IF(B93="G마켓",ROUNDDOWN(MIN(G93*$D$9,$E$9),0),ROUNDUP(MIN(G93*$D$9,$E$9),0)),0))</f>
        <v/>
      </c>
      <c r="J93" s="19">
        <f>IF(G93="","",IF(G93&gt;=$C$10,IF(B93="G마켓",ROUNDDOWN(MIN(G93*$D$10,$E$10),0),ROUNDUP(MIN(G93*$D$10,$E$10),0)),0))</f>
        <v/>
      </c>
      <c r="K93" s="19">
        <f>IF(G93="","",IF(G93&gt;=$C$11,IF(B93="G마켓",ROUNDDOWN(MIN(G93*$D$11,$E$11),0),ROUNDUP(MIN(G93*$D$11,$E$11),0)),0))</f>
        <v/>
      </c>
      <c r="L93" s="19">
        <f>IF(G93="","",IF(G93&gt;=$C$12,IF(B93="G마켓",ROUNDDOWN(MIN(G93*$D$12,$E$12),0),ROUNDUP(MIN(G93*$D$12,$E$12),0)),0))</f>
        <v/>
      </c>
      <c r="M93" s="19" t="n"/>
      <c r="N93" s="19">
        <f>IF(G93="","",MAX(I93,J93,K93,L93))</f>
        <v/>
      </c>
      <c r="O93" s="19">
        <f>IF(G93="","",G93-N93)</f>
        <v/>
      </c>
      <c r="P93" s="19" t="n"/>
      <c r="Q93" s="19">
        <f>IF(O93="","",IF(O93&gt;=$J$9,IF(B93="G마켓",ROUNDDOWN(MIN(O93*$K$9,$L$9),0),ROUNDUP(MIN(O93*$K$9,$L$9),0)),0))</f>
        <v/>
      </c>
      <c r="R93" s="19">
        <f>IF(O93="","",IF(O93&gt;=$J$10,IF(B93="G마켓",ROUNDDOWN(MIN(O93*$K$10,$L$10),0),ROUNDUP(MIN(O93*$K$10,$L$10),0)),0))</f>
        <v/>
      </c>
      <c r="S93" s="19">
        <f>IF(O93="","",IF(O93&gt;=$J$11,IF(B93="G마켓",ROUNDDOWN(MIN(O93*$K$11,$L$11),0),ROUNDUP(MIN(O93*$K$11,$L$11),0)),0))</f>
        <v/>
      </c>
      <c r="T93" s="19">
        <f>IF(O93="","",MAX(Q93,R93,S93))</f>
        <v/>
      </c>
      <c r="U93" s="19">
        <f>IF(O93="","",O93-T93)</f>
        <v/>
      </c>
      <c r="V93" s="19">
        <f>IF(O93="","",IF(B93="G마켓",ROUNDDOWN(MAX(Q93*$N$9,R93*$N$10,S93*$N$11),0),ROUNDUP(MAX(Q93*$N$9,R93*$N$10,S93*$N$11),0)))</f>
        <v/>
      </c>
      <c r="W93" s="19">
        <f>IF(G93="","",IF(B93="G마켓",ROUNDDOWN(G93-G93*$D$3-V93,0),ROUNDUP(G93-G93*$D$3-V93,0)))</f>
        <v/>
      </c>
    </row>
    <row r="94">
      <c r="B94" s="18" t="n"/>
      <c r="C94" s="18" t="n"/>
      <c r="D94" s="18" t="n"/>
      <c r="E94" s="19" t="n"/>
      <c r="F94" s="19" t="n"/>
      <c r="G94" s="19">
        <f>IF(E94="","",E94-N(F94))</f>
        <v/>
      </c>
      <c r="H94" s="19" t="n"/>
      <c r="I94" s="19">
        <f>IF(G94="","",IF(G94&gt;=$C$9,IF(B94="G마켓",ROUNDDOWN(MIN(G94*$D$9,$E$9),0),ROUNDUP(MIN(G94*$D$9,$E$9),0)),0))</f>
        <v/>
      </c>
      <c r="J94" s="19">
        <f>IF(G94="","",IF(G94&gt;=$C$10,IF(B94="G마켓",ROUNDDOWN(MIN(G94*$D$10,$E$10),0),ROUNDUP(MIN(G94*$D$10,$E$10),0)),0))</f>
        <v/>
      </c>
      <c r="K94" s="19">
        <f>IF(G94="","",IF(G94&gt;=$C$11,IF(B94="G마켓",ROUNDDOWN(MIN(G94*$D$11,$E$11),0),ROUNDUP(MIN(G94*$D$11,$E$11),0)),0))</f>
        <v/>
      </c>
      <c r="L94" s="19">
        <f>IF(G94="","",IF(G94&gt;=$C$12,IF(B94="G마켓",ROUNDDOWN(MIN(G94*$D$12,$E$12),0),ROUNDUP(MIN(G94*$D$12,$E$12),0)),0))</f>
        <v/>
      </c>
      <c r="M94" s="19" t="n"/>
      <c r="N94" s="19">
        <f>IF(G94="","",MAX(I94,J94,K94,L94))</f>
        <v/>
      </c>
      <c r="O94" s="19">
        <f>IF(G94="","",G94-N94)</f>
        <v/>
      </c>
      <c r="P94" s="19" t="n"/>
      <c r="Q94" s="19">
        <f>IF(O94="","",IF(O94&gt;=$J$9,IF(B94="G마켓",ROUNDDOWN(MIN(O94*$K$9,$L$9),0),ROUNDUP(MIN(O94*$K$9,$L$9),0)),0))</f>
        <v/>
      </c>
      <c r="R94" s="19">
        <f>IF(O94="","",IF(O94&gt;=$J$10,IF(B94="G마켓",ROUNDDOWN(MIN(O94*$K$10,$L$10),0),ROUNDUP(MIN(O94*$K$10,$L$10),0)),0))</f>
        <v/>
      </c>
      <c r="S94" s="19">
        <f>IF(O94="","",IF(O94&gt;=$J$11,IF(B94="G마켓",ROUNDDOWN(MIN(O94*$K$11,$L$11),0),ROUNDUP(MIN(O94*$K$11,$L$11),0)),0))</f>
        <v/>
      </c>
      <c r="T94" s="19">
        <f>IF(O94="","",MAX(Q94,R94,S94))</f>
        <v/>
      </c>
      <c r="U94" s="19">
        <f>IF(O94="","",O94-T94)</f>
        <v/>
      </c>
      <c r="V94" s="19">
        <f>IF(O94="","",IF(B94="G마켓",ROUNDDOWN(MAX(Q94*$N$9,R94*$N$10,S94*$N$11),0),ROUNDUP(MAX(Q94*$N$9,R94*$N$10,S94*$N$11),0)))</f>
        <v/>
      </c>
      <c r="W94" s="19">
        <f>IF(G94="","",IF(B94="G마켓",ROUNDDOWN(G94-G94*$D$3-V94,0),ROUNDUP(G94-G94*$D$3-V94,0)))</f>
        <v/>
      </c>
    </row>
    <row r="95">
      <c r="B95" s="18" t="n"/>
      <c r="C95" s="18" t="n"/>
      <c r="D95" s="18" t="n"/>
      <c r="E95" s="19" t="n"/>
      <c r="F95" s="19" t="n"/>
      <c r="G95" s="19">
        <f>IF(E95="","",E95-N(F95))</f>
        <v/>
      </c>
      <c r="H95" s="19" t="n"/>
      <c r="I95" s="19">
        <f>IF(G95="","",IF(G95&gt;=$C$9,IF(B95="G마켓",ROUNDDOWN(MIN(G95*$D$9,$E$9),0),ROUNDUP(MIN(G95*$D$9,$E$9),0)),0))</f>
        <v/>
      </c>
      <c r="J95" s="19">
        <f>IF(G95="","",IF(G95&gt;=$C$10,IF(B95="G마켓",ROUNDDOWN(MIN(G95*$D$10,$E$10),0),ROUNDUP(MIN(G95*$D$10,$E$10),0)),0))</f>
        <v/>
      </c>
      <c r="K95" s="19">
        <f>IF(G95="","",IF(G95&gt;=$C$11,IF(B95="G마켓",ROUNDDOWN(MIN(G95*$D$11,$E$11),0),ROUNDUP(MIN(G95*$D$11,$E$11),0)),0))</f>
        <v/>
      </c>
      <c r="L95" s="19">
        <f>IF(G95="","",IF(G95&gt;=$C$12,IF(B95="G마켓",ROUNDDOWN(MIN(G95*$D$12,$E$12),0),ROUNDUP(MIN(G95*$D$12,$E$12),0)),0))</f>
        <v/>
      </c>
      <c r="M95" s="19" t="n"/>
      <c r="N95" s="19">
        <f>IF(G95="","",MAX(I95,J95,K95,L95))</f>
        <v/>
      </c>
      <c r="O95" s="19">
        <f>IF(G95="","",G95-N95)</f>
        <v/>
      </c>
      <c r="P95" s="19" t="n"/>
      <c r="Q95" s="19">
        <f>IF(O95="","",IF(O95&gt;=$J$9,IF(B95="G마켓",ROUNDDOWN(MIN(O95*$K$9,$L$9),0),ROUNDUP(MIN(O95*$K$9,$L$9),0)),0))</f>
        <v/>
      </c>
      <c r="R95" s="19">
        <f>IF(O95="","",IF(O95&gt;=$J$10,IF(B95="G마켓",ROUNDDOWN(MIN(O95*$K$10,$L$10),0),ROUNDUP(MIN(O95*$K$10,$L$10),0)),0))</f>
        <v/>
      </c>
      <c r="S95" s="19">
        <f>IF(O95="","",IF(O95&gt;=$J$11,IF(B95="G마켓",ROUNDDOWN(MIN(O95*$K$11,$L$11),0),ROUNDUP(MIN(O95*$K$11,$L$11),0)),0))</f>
        <v/>
      </c>
      <c r="T95" s="19">
        <f>IF(O95="","",MAX(Q95,R95,S95))</f>
        <v/>
      </c>
      <c r="U95" s="19">
        <f>IF(O95="","",O95-T95)</f>
        <v/>
      </c>
      <c r="V95" s="19">
        <f>IF(O95="","",IF(B95="G마켓",ROUNDDOWN(MAX(Q95*$N$9,R95*$N$10,S95*$N$11),0),ROUNDUP(MAX(Q95*$N$9,R95*$N$10,S95*$N$11),0)))</f>
        <v/>
      </c>
      <c r="W95" s="19">
        <f>IF(G95="","",IF(B95="G마켓",ROUNDDOWN(G95-G95*$D$3-V95,0),ROUNDUP(G95-G95*$D$3-V95,0)))</f>
        <v/>
      </c>
    </row>
    <row r="96">
      <c r="B96" s="18" t="n"/>
      <c r="C96" s="18" t="n"/>
      <c r="D96" s="18" t="n"/>
      <c r="E96" s="19" t="n"/>
      <c r="F96" s="19" t="n"/>
      <c r="G96" s="19">
        <f>IF(E96="","",E96-N(F96))</f>
        <v/>
      </c>
      <c r="H96" s="19" t="n"/>
      <c r="I96" s="19">
        <f>IF(G96="","",IF(G96&gt;=$C$9,IF(B96="G마켓",ROUNDDOWN(MIN(G96*$D$9,$E$9),0),ROUNDUP(MIN(G96*$D$9,$E$9),0)),0))</f>
        <v/>
      </c>
      <c r="J96" s="19">
        <f>IF(G96="","",IF(G96&gt;=$C$10,IF(B96="G마켓",ROUNDDOWN(MIN(G96*$D$10,$E$10),0),ROUNDUP(MIN(G96*$D$10,$E$10),0)),0))</f>
        <v/>
      </c>
      <c r="K96" s="19">
        <f>IF(G96="","",IF(G96&gt;=$C$11,IF(B96="G마켓",ROUNDDOWN(MIN(G96*$D$11,$E$11),0),ROUNDUP(MIN(G96*$D$11,$E$11),0)),0))</f>
        <v/>
      </c>
      <c r="L96" s="19">
        <f>IF(G96="","",IF(G96&gt;=$C$12,IF(B96="G마켓",ROUNDDOWN(MIN(G96*$D$12,$E$12),0),ROUNDUP(MIN(G96*$D$12,$E$12),0)),0))</f>
        <v/>
      </c>
      <c r="M96" s="19" t="n"/>
      <c r="N96" s="19">
        <f>IF(G96="","",MAX(I96,J96,K96,L96))</f>
        <v/>
      </c>
      <c r="O96" s="19">
        <f>IF(G96="","",G96-N96)</f>
        <v/>
      </c>
      <c r="P96" s="19" t="n"/>
      <c r="Q96" s="19">
        <f>IF(O96="","",IF(O96&gt;=$J$9,IF(B96="G마켓",ROUNDDOWN(MIN(O96*$K$9,$L$9),0),ROUNDUP(MIN(O96*$K$9,$L$9),0)),0))</f>
        <v/>
      </c>
      <c r="R96" s="19">
        <f>IF(O96="","",IF(O96&gt;=$J$10,IF(B96="G마켓",ROUNDDOWN(MIN(O96*$K$10,$L$10),0),ROUNDUP(MIN(O96*$K$10,$L$10),0)),0))</f>
        <v/>
      </c>
      <c r="S96" s="19">
        <f>IF(O96="","",IF(O96&gt;=$J$11,IF(B96="G마켓",ROUNDDOWN(MIN(O96*$K$11,$L$11),0),ROUNDUP(MIN(O96*$K$11,$L$11),0)),0))</f>
        <v/>
      </c>
      <c r="T96" s="19">
        <f>IF(O96="","",MAX(Q96,R96,S96))</f>
        <v/>
      </c>
      <c r="U96" s="19">
        <f>IF(O96="","",O96-T96)</f>
        <v/>
      </c>
      <c r="V96" s="19">
        <f>IF(O96="","",IF(B96="G마켓",ROUNDDOWN(MAX(Q96*$N$9,R96*$N$10,S96*$N$11),0),ROUNDUP(MAX(Q96*$N$9,R96*$N$10,S96*$N$11),0)))</f>
        <v/>
      </c>
      <c r="W96" s="19">
        <f>IF(G96="","",IF(B96="G마켓",ROUNDDOWN(G96-G96*$D$3-V96,0),ROUNDUP(G96-G96*$D$3-V96,0)))</f>
        <v/>
      </c>
    </row>
    <row r="97">
      <c r="B97" s="18" t="n"/>
      <c r="C97" s="18" t="n"/>
      <c r="D97" s="18" t="n"/>
      <c r="E97" s="19" t="n"/>
      <c r="F97" s="19" t="n"/>
      <c r="G97" s="19">
        <f>IF(E97="","",E97-N(F97))</f>
        <v/>
      </c>
      <c r="H97" s="19" t="n"/>
      <c r="I97" s="19">
        <f>IF(G97="","",IF(G97&gt;=$C$9,IF(B97="G마켓",ROUNDDOWN(MIN(G97*$D$9,$E$9),0),ROUNDUP(MIN(G97*$D$9,$E$9),0)),0))</f>
        <v/>
      </c>
      <c r="J97" s="19">
        <f>IF(G97="","",IF(G97&gt;=$C$10,IF(B97="G마켓",ROUNDDOWN(MIN(G97*$D$10,$E$10),0),ROUNDUP(MIN(G97*$D$10,$E$10),0)),0))</f>
        <v/>
      </c>
      <c r="K97" s="19">
        <f>IF(G97="","",IF(G97&gt;=$C$11,IF(B97="G마켓",ROUNDDOWN(MIN(G97*$D$11,$E$11),0),ROUNDUP(MIN(G97*$D$11,$E$11),0)),0))</f>
        <v/>
      </c>
      <c r="L97" s="19">
        <f>IF(G97="","",IF(G97&gt;=$C$12,IF(B97="G마켓",ROUNDDOWN(MIN(G97*$D$12,$E$12),0),ROUNDUP(MIN(G97*$D$12,$E$12),0)),0))</f>
        <v/>
      </c>
      <c r="M97" s="19" t="n"/>
      <c r="N97" s="19">
        <f>IF(G97="","",MAX(I97,J97,K97,L97))</f>
        <v/>
      </c>
      <c r="O97" s="19">
        <f>IF(G97="","",G97-N97)</f>
        <v/>
      </c>
      <c r="P97" s="19" t="n"/>
      <c r="Q97" s="19">
        <f>IF(O97="","",IF(O97&gt;=$J$9,IF(B97="G마켓",ROUNDDOWN(MIN(O97*$K$9,$L$9),0),ROUNDUP(MIN(O97*$K$9,$L$9),0)),0))</f>
        <v/>
      </c>
      <c r="R97" s="19">
        <f>IF(O97="","",IF(O97&gt;=$J$10,IF(B97="G마켓",ROUNDDOWN(MIN(O97*$K$10,$L$10),0),ROUNDUP(MIN(O97*$K$10,$L$10),0)),0))</f>
        <v/>
      </c>
      <c r="S97" s="19">
        <f>IF(O97="","",IF(O97&gt;=$J$11,IF(B97="G마켓",ROUNDDOWN(MIN(O97*$K$11,$L$11),0),ROUNDUP(MIN(O97*$K$11,$L$11),0)),0))</f>
        <v/>
      </c>
      <c r="T97" s="19">
        <f>IF(O97="","",MAX(Q97,R97,S97))</f>
        <v/>
      </c>
      <c r="U97" s="19">
        <f>IF(O97="","",O97-T97)</f>
        <v/>
      </c>
      <c r="V97" s="19">
        <f>IF(O97="","",IF(B97="G마켓",ROUNDDOWN(MAX(Q97*$N$9,R97*$N$10,S97*$N$11),0),ROUNDUP(MAX(Q97*$N$9,R97*$N$10,S97*$N$11),0)))</f>
        <v/>
      </c>
      <c r="W97" s="19">
        <f>IF(G97="","",IF(B97="G마켓",ROUNDDOWN(G97-G97*$D$3-V97,0),ROUNDUP(G97-G97*$D$3-V97,0)))</f>
        <v/>
      </c>
    </row>
    <row r="98">
      <c r="B98" s="18" t="n"/>
      <c r="C98" s="18" t="n"/>
      <c r="D98" s="18" t="n"/>
      <c r="E98" s="19" t="n"/>
      <c r="F98" s="19" t="n"/>
      <c r="G98" s="19">
        <f>IF(E98="","",E98-N(F98))</f>
        <v/>
      </c>
      <c r="H98" s="19" t="n"/>
      <c r="I98" s="19">
        <f>IF(G98="","",IF(G98&gt;=$C$9,IF(B98="G마켓",ROUNDDOWN(MIN(G98*$D$9,$E$9),0),ROUNDUP(MIN(G98*$D$9,$E$9),0)),0))</f>
        <v/>
      </c>
      <c r="J98" s="19">
        <f>IF(G98="","",IF(G98&gt;=$C$10,IF(B98="G마켓",ROUNDDOWN(MIN(G98*$D$10,$E$10),0),ROUNDUP(MIN(G98*$D$10,$E$10),0)),0))</f>
        <v/>
      </c>
      <c r="K98" s="19">
        <f>IF(G98="","",IF(G98&gt;=$C$11,IF(B98="G마켓",ROUNDDOWN(MIN(G98*$D$11,$E$11),0),ROUNDUP(MIN(G98*$D$11,$E$11),0)),0))</f>
        <v/>
      </c>
      <c r="L98" s="19">
        <f>IF(G98="","",IF(G98&gt;=$C$12,IF(B98="G마켓",ROUNDDOWN(MIN(G98*$D$12,$E$12),0),ROUNDUP(MIN(G98*$D$12,$E$12),0)),0))</f>
        <v/>
      </c>
      <c r="M98" s="19" t="n"/>
      <c r="N98" s="19">
        <f>IF(G98="","",MAX(I98,J98,K98,L98))</f>
        <v/>
      </c>
      <c r="O98" s="19">
        <f>IF(G98="","",G98-N98)</f>
        <v/>
      </c>
      <c r="P98" s="19" t="n"/>
      <c r="Q98" s="19">
        <f>IF(O98="","",IF(O98&gt;=$J$9,IF(B98="G마켓",ROUNDDOWN(MIN(O98*$K$9,$L$9),0),ROUNDUP(MIN(O98*$K$9,$L$9),0)),0))</f>
        <v/>
      </c>
      <c r="R98" s="19">
        <f>IF(O98="","",IF(O98&gt;=$J$10,IF(B98="G마켓",ROUNDDOWN(MIN(O98*$K$10,$L$10),0),ROUNDUP(MIN(O98*$K$10,$L$10),0)),0))</f>
        <v/>
      </c>
      <c r="S98" s="19">
        <f>IF(O98="","",IF(O98&gt;=$J$11,IF(B98="G마켓",ROUNDDOWN(MIN(O98*$K$11,$L$11),0),ROUNDUP(MIN(O98*$K$11,$L$11),0)),0))</f>
        <v/>
      </c>
      <c r="T98" s="19">
        <f>IF(O98="","",MAX(Q98,R98,S98))</f>
        <v/>
      </c>
      <c r="U98" s="19">
        <f>IF(O98="","",O98-T98)</f>
        <v/>
      </c>
      <c r="V98" s="19">
        <f>IF(O98="","",IF(B98="G마켓",ROUNDDOWN(MAX(Q98*$N$9,R98*$N$10,S98*$N$11),0),ROUNDUP(MAX(Q98*$N$9,R98*$N$10,S98*$N$11),0)))</f>
        <v/>
      </c>
      <c r="W98" s="19">
        <f>IF(G98="","",IF(B98="G마켓",ROUNDDOWN(G98-G98*$D$3-V98,0),ROUNDUP(G98-G98*$D$3-V98,0)))</f>
        <v/>
      </c>
    </row>
    <row r="99">
      <c r="B99" s="18" t="n"/>
      <c r="C99" s="18" t="n"/>
      <c r="D99" s="18" t="n"/>
      <c r="E99" s="19" t="n"/>
      <c r="F99" s="19" t="n"/>
      <c r="G99" s="19">
        <f>IF(E99="","",E99-N(F99))</f>
        <v/>
      </c>
      <c r="H99" s="19" t="n"/>
      <c r="I99" s="19">
        <f>IF(G99="","",IF(G99&gt;=$C$9,IF(B99="G마켓",ROUNDDOWN(MIN(G99*$D$9,$E$9),0),ROUNDUP(MIN(G99*$D$9,$E$9),0)),0))</f>
        <v/>
      </c>
      <c r="J99" s="19">
        <f>IF(G99="","",IF(G99&gt;=$C$10,IF(B99="G마켓",ROUNDDOWN(MIN(G99*$D$10,$E$10),0),ROUNDUP(MIN(G99*$D$10,$E$10),0)),0))</f>
        <v/>
      </c>
      <c r="K99" s="19">
        <f>IF(G99="","",IF(G99&gt;=$C$11,IF(B99="G마켓",ROUNDDOWN(MIN(G99*$D$11,$E$11),0),ROUNDUP(MIN(G99*$D$11,$E$11),0)),0))</f>
        <v/>
      </c>
      <c r="L99" s="19">
        <f>IF(G99="","",IF(G99&gt;=$C$12,IF(B99="G마켓",ROUNDDOWN(MIN(G99*$D$12,$E$12),0),ROUNDUP(MIN(G99*$D$12,$E$12),0)),0))</f>
        <v/>
      </c>
      <c r="M99" s="19" t="n"/>
      <c r="N99" s="19">
        <f>IF(G99="","",MAX(I99,J99,K99,L99))</f>
        <v/>
      </c>
      <c r="O99" s="19">
        <f>IF(G99="","",G99-N99)</f>
        <v/>
      </c>
      <c r="P99" s="19" t="n"/>
      <c r="Q99" s="19">
        <f>IF(O99="","",IF(O99&gt;=$J$9,IF(B99="G마켓",ROUNDDOWN(MIN(O99*$K$9,$L$9),0),ROUNDUP(MIN(O99*$K$9,$L$9),0)),0))</f>
        <v/>
      </c>
      <c r="R99" s="19">
        <f>IF(O99="","",IF(O99&gt;=$J$10,IF(B99="G마켓",ROUNDDOWN(MIN(O99*$K$10,$L$10),0),ROUNDUP(MIN(O99*$K$10,$L$10),0)),0))</f>
        <v/>
      </c>
      <c r="S99" s="19">
        <f>IF(O99="","",IF(O99&gt;=$J$11,IF(B99="G마켓",ROUNDDOWN(MIN(O99*$K$11,$L$11),0),ROUNDUP(MIN(O99*$K$11,$L$11),0)),0))</f>
        <v/>
      </c>
      <c r="T99" s="19">
        <f>IF(O99="","",MAX(Q99,R99,S99))</f>
        <v/>
      </c>
      <c r="U99" s="19">
        <f>IF(O99="","",O99-T99)</f>
        <v/>
      </c>
      <c r="V99" s="19">
        <f>IF(O99="","",IF(B99="G마켓",ROUNDDOWN(MAX(Q99*$N$9,R99*$N$10,S99*$N$11),0),ROUNDUP(MAX(Q99*$N$9,R99*$N$10,S99*$N$11),0)))</f>
        <v/>
      </c>
      <c r="W99" s="19">
        <f>IF(G99="","",IF(B99="G마켓",ROUNDDOWN(G99-G99*$D$3-V99,0),ROUNDUP(G99-G99*$D$3-V99,0)))</f>
        <v/>
      </c>
    </row>
    <row r="100">
      <c r="B100" s="18" t="n"/>
      <c r="C100" s="18" t="n"/>
      <c r="D100" s="18" t="n"/>
      <c r="E100" s="19" t="n"/>
      <c r="F100" s="19" t="n"/>
      <c r="G100" s="19">
        <f>IF(E100="","",E100-N(F100))</f>
        <v/>
      </c>
      <c r="H100" s="19" t="n"/>
      <c r="I100" s="19">
        <f>IF(G100="","",IF(G100&gt;=$C$9,IF(B100="G마켓",ROUNDDOWN(MIN(G100*$D$9,$E$9),0),ROUNDUP(MIN(G100*$D$9,$E$9),0)),0))</f>
        <v/>
      </c>
      <c r="J100" s="19">
        <f>IF(G100="","",IF(G100&gt;=$C$10,IF(B100="G마켓",ROUNDDOWN(MIN(G100*$D$10,$E$10),0),ROUNDUP(MIN(G100*$D$10,$E$10),0)),0))</f>
        <v/>
      </c>
      <c r="K100" s="19">
        <f>IF(G100="","",IF(G100&gt;=$C$11,IF(B100="G마켓",ROUNDDOWN(MIN(G100*$D$11,$E$11),0),ROUNDUP(MIN(G100*$D$11,$E$11),0)),0))</f>
        <v/>
      </c>
      <c r="L100" s="19">
        <f>IF(G100="","",IF(G100&gt;=$C$12,IF(B100="G마켓",ROUNDDOWN(MIN(G100*$D$12,$E$12),0),ROUNDUP(MIN(G100*$D$12,$E$12),0)),0))</f>
        <v/>
      </c>
      <c r="M100" s="19" t="n"/>
      <c r="N100" s="19">
        <f>IF(G100="","",MAX(I100,J100,K100,L100))</f>
        <v/>
      </c>
      <c r="O100" s="19">
        <f>IF(G100="","",G100-N100)</f>
        <v/>
      </c>
      <c r="P100" s="19" t="n"/>
      <c r="Q100" s="19">
        <f>IF(O100="","",IF(O100&gt;=$J$9,IF(B100="G마켓",ROUNDDOWN(MIN(O100*$K$9,$L$9),0),ROUNDUP(MIN(O100*$K$9,$L$9),0)),0))</f>
        <v/>
      </c>
      <c r="R100" s="19">
        <f>IF(O100="","",IF(O100&gt;=$J$10,IF(B100="G마켓",ROUNDDOWN(MIN(O100*$K$10,$L$10),0),ROUNDUP(MIN(O100*$K$10,$L$10),0)),0))</f>
        <v/>
      </c>
      <c r="S100" s="19">
        <f>IF(O100="","",IF(O100&gt;=$J$11,IF(B100="G마켓",ROUNDDOWN(MIN(O100*$K$11,$L$11),0),ROUNDUP(MIN(O100*$K$11,$L$11),0)),0))</f>
        <v/>
      </c>
      <c r="T100" s="19">
        <f>IF(O100="","",MAX(Q100,R100,S100))</f>
        <v/>
      </c>
      <c r="U100" s="19">
        <f>IF(O100="","",O100-T100)</f>
        <v/>
      </c>
      <c r="V100" s="19">
        <f>IF(O100="","",IF(B100="G마켓",ROUNDDOWN(MAX(Q100*$N$9,R100*$N$10,S100*$N$11),0),ROUNDUP(MAX(Q100*$N$9,R100*$N$10,S100*$N$11),0)))</f>
        <v/>
      </c>
      <c r="W100" s="19">
        <f>IF(G100="","",IF(B100="G마켓",ROUNDDOWN(G100-G100*$D$3-V100,0),ROUNDUP(G100-G100*$D$3-V100,0)))</f>
        <v/>
      </c>
    </row>
    <row r="101">
      <c r="B101" s="18" t="n"/>
      <c r="C101" s="18" t="n"/>
      <c r="D101" s="18" t="n"/>
      <c r="E101" s="19" t="n"/>
      <c r="F101" s="19" t="n"/>
      <c r="G101" s="19">
        <f>IF(E101="","",E101-N(F101))</f>
        <v/>
      </c>
      <c r="H101" s="19" t="n"/>
      <c r="I101" s="19">
        <f>IF(G101="","",IF(G101&gt;=$C$9,IF(B101="G마켓",ROUNDDOWN(MIN(G101*$D$9,$E$9),0),ROUNDUP(MIN(G101*$D$9,$E$9),0)),0))</f>
        <v/>
      </c>
      <c r="J101" s="19">
        <f>IF(G101="","",IF(G101&gt;=$C$10,IF(B101="G마켓",ROUNDDOWN(MIN(G101*$D$10,$E$10),0),ROUNDUP(MIN(G101*$D$10,$E$10),0)),0))</f>
        <v/>
      </c>
      <c r="K101" s="19">
        <f>IF(G101="","",IF(G101&gt;=$C$11,IF(B101="G마켓",ROUNDDOWN(MIN(G101*$D$11,$E$11),0),ROUNDUP(MIN(G101*$D$11,$E$11),0)),0))</f>
        <v/>
      </c>
      <c r="L101" s="19">
        <f>IF(G101="","",IF(G101&gt;=$C$12,IF(B101="G마켓",ROUNDDOWN(MIN(G101*$D$12,$E$12),0),ROUNDUP(MIN(G101*$D$12,$E$12),0)),0))</f>
        <v/>
      </c>
      <c r="M101" s="19" t="n"/>
      <c r="N101" s="19">
        <f>IF(G101="","",MAX(I101,J101,K101,L101))</f>
        <v/>
      </c>
      <c r="O101" s="19">
        <f>IF(G101="","",G101-N101)</f>
        <v/>
      </c>
      <c r="P101" s="19" t="n"/>
      <c r="Q101" s="19">
        <f>IF(O101="","",IF(O101&gt;=$J$9,IF(B101="G마켓",ROUNDDOWN(MIN(O101*$K$9,$L$9),0),ROUNDUP(MIN(O101*$K$9,$L$9),0)),0))</f>
        <v/>
      </c>
      <c r="R101" s="19">
        <f>IF(O101="","",IF(O101&gt;=$J$10,IF(B101="G마켓",ROUNDDOWN(MIN(O101*$K$10,$L$10),0),ROUNDUP(MIN(O101*$K$10,$L$10),0)),0))</f>
        <v/>
      </c>
      <c r="S101" s="19">
        <f>IF(O101="","",IF(O101&gt;=$J$11,IF(B101="G마켓",ROUNDDOWN(MIN(O101*$K$11,$L$11),0),ROUNDUP(MIN(O101*$K$11,$L$11),0)),0))</f>
        <v/>
      </c>
      <c r="T101" s="19">
        <f>IF(O101="","",MAX(Q101,R101,S101))</f>
        <v/>
      </c>
      <c r="U101" s="19">
        <f>IF(O101="","",O101-T101)</f>
        <v/>
      </c>
      <c r="V101" s="19">
        <f>IF(O101="","",IF(B101="G마켓",ROUNDDOWN(MAX(Q101*$N$9,R101*$N$10,S101*$N$11),0),ROUNDUP(MAX(Q101*$N$9,R101*$N$10,S101*$N$11),0)))</f>
        <v/>
      </c>
      <c r="W101" s="19">
        <f>IF(G101="","",IF(B101="G마켓",ROUNDDOWN(G101-G101*$D$3-V101,0),ROUNDUP(G101-G101*$D$3-V101,0)))</f>
        <v/>
      </c>
    </row>
    <row r="102">
      <c r="B102" s="18" t="n"/>
      <c r="C102" s="18" t="n"/>
      <c r="D102" s="18" t="n"/>
      <c r="E102" s="19" t="n"/>
      <c r="F102" s="19" t="n"/>
      <c r="G102" s="19">
        <f>IF(E102="","",E102-N(F102))</f>
        <v/>
      </c>
      <c r="H102" s="19" t="n"/>
      <c r="I102" s="19">
        <f>IF(G102="","",IF(G102&gt;=$C$9,IF(B102="G마켓",ROUNDDOWN(MIN(G102*$D$9,$E$9),0),ROUNDUP(MIN(G102*$D$9,$E$9),0)),0))</f>
        <v/>
      </c>
      <c r="J102" s="19">
        <f>IF(G102="","",IF(G102&gt;=$C$10,IF(B102="G마켓",ROUNDDOWN(MIN(G102*$D$10,$E$10),0),ROUNDUP(MIN(G102*$D$10,$E$10),0)),0))</f>
        <v/>
      </c>
      <c r="K102" s="19">
        <f>IF(G102="","",IF(G102&gt;=$C$11,IF(B102="G마켓",ROUNDDOWN(MIN(G102*$D$11,$E$11),0),ROUNDUP(MIN(G102*$D$11,$E$11),0)),0))</f>
        <v/>
      </c>
      <c r="L102" s="19">
        <f>IF(G102="","",IF(G102&gt;=$C$12,IF(B102="G마켓",ROUNDDOWN(MIN(G102*$D$12,$E$12),0),ROUNDUP(MIN(G102*$D$12,$E$12),0)),0))</f>
        <v/>
      </c>
      <c r="M102" s="19" t="n"/>
      <c r="N102" s="19">
        <f>IF(G102="","",MAX(I102,J102,K102,L102))</f>
        <v/>
      </c>
      <c r="O102" s="19">
        <f>IF(G102="","",G102-N102)</f>
        <v/>
      </c>
      <c r="P102" s="19" t="n"/>
      <c r="Q102" s="19">
        <f>IF(O102="","",IF(O102&gt;=$J$9,IF(B102="G마켓",ROUNDDOWN(MIN(O102*$K$9,$L$9),0),ROUNDUP(MIN(O102*$K$9,$L$9),0)),0))</f>
        <v/>
      </c>
      <c r="R102" s="19">
        <f>IF(O102="","",IF(O102&gt;=$J$10,IF(B102="G마켓",ROUNDDOWN(MIN(O102*$K$10,$L$10),0),ROUNDUP(MIN(O102*$K$10,$L$10),0)),0))</f>
        <v/>
      </c>
      <c r="S102" s="19">
        <f>IF(O102="","",IF(O102&gt;=$J$11,IF(B102="G마켓",ROUNDDOWN(MIN(O102*$K$11,$L$11),0),ROUNDUP(MIN(O102*$K$11,$L$11),0)),0))</f>
        <v/>
      </c>
      <c r="T102" s="19">
        <f>IF(O102="","",MAX(Q102,R102,S102))</f>
        <v/>
      </c>
      <c r="U102" s="19">
        <f>IF(O102="","",O102-T102)</f>
        <v/>
      </c>
      <c r="V102" s="19">
        <f>IF(O102="","",IF(B102="G마켓",ROUNDDOWN(MAX(Q102*$N$9,R102*$N$10,S102*$N$11),0),ROUNDUP(MAX(Q102*$N$9,R102*$N$10,S102*$N$11),0)))</f>
        <v/>
      </c>
      <c r="W102" s="19">
        <f>IF(G102="","",IF(B102="G마켓",ROUNDDOWN(G102-G102*$D$3-V102,0),ROUNDUP(G102-G102*$D$3-V102,0)))</f>
        <v/>
      </c>
    </row>
    <row r="103">
      <c r="B103" s="18" t="n"/>
      <c r="C103" s="18" t="n"/>
      <c r="D103" s="18" t="n"/>
      <c r="E103" s="19" t="n"/>
      <c r="F103" s="19" t="n"/>
      <c r="G103" s="19">
        <f>IF(E103="","",E103-N(F103))</f>
        <v/>
      </c>
      <c r="H103" s="19" t="n"/>
      <c r="I103" s="19">
        <f>IF(G103="","",IF(G103&gt;=$C$9,IF(B103="G마켓",ROUNDDOWN(MIN(G103*$D$9,$E$9),0),ROUNDUP(MIN(G103*$D$9,$E$9),0)),0))</f>
        <v/>
      </c>
      <c r="J103" s="19">
        <f>IF(G103="","",IF(G103&gt;=$C$10,IF(B103="G마켓",ROUNDDOWN(MIN(G103*$D$10,$E$10),0),ROUNDUP(MIN(G103*$D$10,$E$10),0)),0))</f>
        <v/>
      </c>
      <c r="K103" s="19">
        <f>IF(G103="","",IF(G103&gt;=$C$11,IF(B103="G마켓",ROUNDDOWN(MIN(G103*$D$11,$E$11),0),ROUNDUP(MIN(G103*$D$11,$E$11),0)),0))</f>
        <v/>
      </c>
      <c r="L103" s="19">
        <f>IF(G103="","",IF(G103&gt;=$C$12,IF(B103="G마켓",ROUNDDOWN(MIN(G103*$D$12,$E$12),0),ROUNDUP(MIN(G103*$D$12,$E$12),0)),0))</f>
        <v/>
      </c>
      <c r="M103" s="19" t="n"/>
      <c r="N103" s="19">
        <f>IF(G103="","",MAX(I103,J103,K103,L103))</f>
        <v/>
      </c>
      <c r="O103" s="19">
        <f>IF(G103="","",G103-N103)</f>
        <v/>
      </c>
      <c r="P103" s="19" t="n"/>
      <c r="Q103" s="19">
        <f>IF(O103="","",IF(O103&gt;=$J$9,IF(B103="G마켓",ROUNDDOWN(MIN(O103*$K$9,$L$9),0),ROUNDUP(MIN(O103*$K$9,$L$9),0)),0))</f>
        <v/>
      </c>
      <c r="R103" s="19">
        <f>IF(O103="","",IF(O103&gt;=$J$10,IF(B103="G마켓",ROUNDDOWN(MIN(O103*$K$10,$L$10),0),ROUNDUP(MIN(O103*$K$10,$L$10),0)),0))</f>
        <v/>
      </c>
      <c r="S103" s="19">
        <f>IF(O103="","",IF(O103&gt;=$J$11,IF(B103="G마켓",ROUNDDOWN(MIN(O103*$K$11,$L$11),0),ROUNDUP(MIN(O103*$K$11,$L$11),0)),0))</f>
        <v/>
      </c>
      <c r="T103" s="19">
        <f>IF(O103="","",MAX(Q103,R103,S103))</f>
        <v/>
      </c>
      <c r="U103" s="19">
        <f>IF(O103="","",O103-T103)</f>
        <v/>
      </c>
      <c r="V103" s="19">
        <f>IF(O103="","",IF(B103="G마켓",ROUNDDOWN(MAX(Q103*$N$9,R103*$N$10,S103*$N$11),0),ROUNDUP(MAX(Q103*$N$9,R103*$N$10,S103*$N$11),0)))</f>
        <v/>
      </c>
      <c r="W103" s="19">
        <f>IF(G103="","",IF(B103="G마켓",ROUNDDOWN(G103-G103*$D$3-V103,0),ROUNDUP(G103-G103*$D$3-V103,0)))</f>
        <v/>
      </c>
    </row>
    <row r="104">
      <c r="B104" s="18" t="n"/>
      <c r="C104" s="18" t="n"/>
      <c r="D104" s="18" t="n"/>
      <c r="E104" s="19" t="n"/>
      <c r="F104" s="19" t="n"/>
      <c r="G104" s="19">
        <f>IF(E104="","",E104-N(F104))</f>
        <v/>
      </c>
      <c r="H104" s="19" t="n"/>
      <c r="I104" s="19">
        <f>IF(G104="","",IF(G104&gt;=$C$9,IF(B104="G마켓",ROUNDDOWN(MIN(G104*$D$9,$E$9),0),ROUNDUP(MIN(G104*$D$9,$E$9),0)),0))</f>
        <v/>
      </c>
      <c r="J104" s="19">
        <f>IF(G104="","",IF(G104&gt;=$C$10,IF(B104="G마켓",ROUNDDOWN(MIN(G104*$D$10,$E$10),0),ROUNDUP(MIN(G104*$D$10,$E$10),0)),0))</f>
        <v/>
      </c>
      <c r="K104" s="19">
        <f>IF(G104="","",IF(G104&gt;=$C$11,IF(B104="G마켓",ROUNDDOWN(MIN(G104*$D$11,$E$11),0),ROUNDUP(MIN(G104*$D$11,$E$11),0)),0))</f>
        <v/>
      </c>
      <c r="L104" s="19">
        <f>IF(G104="","",IF(G104&gt;=$C$12,IF(B104="G마켓",ROUNDDOWN(MIN(G104*$D$12,$E$12),0),ROUNDUP(MIN(G104*$D$12,$E$12),0)),0))</f>
        <v/>
      </c>
      <c r="M104" s="19" t="n"/>
      <c r="N104" s="19">
        <f>IF(G104="","",MAX(I104,J104,K104,L104))</f>
        <v/>
      </c>
      <c r="O104" s="19">
        <f>IF(G104="","",G104-N104)</f>
        <v/>
      </c>
      <c r="P104" s="19" t="n"/>
      <c r="Q104" s="19">
        <f>IF(O104="","",IF(O104&gt;=$J$9,IF(B104="G마켓",ROUNDDOWN(MIN(O104*$K$9,$L$9),0),ROUNDUP(MIN(O104*$K$9,$L$9),0)),0))</f>
        <v/>
      </c>
      <c r="R104" s="19">
        <f>IF(O104="","",IF(O104&gt;=$J$10,IF(B104="G마켓",ROUNDDOWN(MIN(O104*$K$10,$L$10),0),ROUNDUP(MIN(O104*$K$10,$L$10),0)),0))</f>
        <v/>
      </c>
      <c r="S104" s="19">
        <f>IF(O104="","",IF(O104&gt;=$J$11,IF(B104="G마켓",ROUNDDOWN(MIN(O104*$K$11,$L$11),0),ROUNDUP(MIN(O104*$K$11,$L$11),0)),0))</f>
        <v/>
      </c>
      <c r="T104" s="19">
        <f>IF(O104="","",MAX(Q104,R104,S104))</f>
        <v/>
      </c>
      <c r="U104" s="19">
        <f>IF(O104="","",O104-T104)</f>
        <v/>
      </c>
      <c r="V104" s="19">
        <f>IF(O104="","",IF(B104="G마켓",ROUNDDOWN(MAX(Q104*$N$9,R104*$N$10,S104*$N$11),0),ROUNDUP(MAX(Q104*$N$9,R104*$N$10,S104*$N$11),0)))</f>
        <v/>
      </c>
      <c r="W104" s="19">
        <f>IF(G104="","",IF(B104="G마켓",ROUNDDOWN(G104-G104*$D$3-V104,0),ROUNDUP(G104-G104*$D$3-V104,0)))</f>
        <v/>
      </c>
    </row>
    <row r="105">
      <c r="B105" s="18" t="n"/>
      <c r="C105" s="18" t="n"/>
      <c r="D105" s="18" t="n"/>
      <c r="E105" s="19" t="n"/>
      <c r="F105" s="19" t="n"/>
      <c r="G105" s="19">
        <f>IF(E105="","",E105-N(F105))</f>
        <v/>
      </c>
      <c r="H105" s="19" t="n"/>
      <c r="I105" s="19">
        <f>IF(G105="","",IF(G105&gt;=$C$9,IF(B105="G마켓",ROUNDDOWN(MIN(G105*$D$9,$E$9),0),ROUNDUP(MIN(G105*$D$9,$E$9),0)),0))</f>
        <v/>
      </c>
      <c r="J105" s="19">
        <f>IF(G105="","",IF(G105&gt;=$C$10,IF(B105="G마켓",ROUNDDOWN(MIN(G105*$D$10,$E$10),0),ROUNDUP(MIN(G105*$D$10,$E$10),0)),0))</f>
        <v/>
      </c>
      <c r="K105" s="19">
        <f>IF(G105="","",IF(G105&gt;=$C$11,IF(B105="G마켓",ROUNDDOWN(MIN(G105*$D$11,$E$11),0),ROUNDUP(MIN(G105*$D$11,$E$11),0)),0))</f>
        <v/>
      </c>
      <c r="L105" s="19">
        <f>IF(G105="","",IF(G105&gt;=$C$12,IF(B105="G마켓",ROUNDDOWN(MIN(G105*$D$12,$E$12),0),ROUNDUP(MIN(G105*$D$12,$E$12),0)),0))</f>
        <v/>
      </c>
      <c r="M105" s="19" t="n"/>
      <c r="N105" s="19">
        <f>IF(G105="","",MAX(I105,J105,K105,L105))</f>
        <v/>
      </c>
      <c r="O105" s="19">
        <f>IF(G105="","",G105-N105)</f>
        <v/>
      </c>
      <c r="P105" s="19" t="n"/>
      <c r="Q105" s="19">
        <f>IF(O105="","",IF(O105&gt;=$J$9,IF(B105="G마켓",ROUNDDOWN(MIN(O105*$K$9,$L$9),0),ROUNDUP(MIN(O105*$K$9,$L$9),0)),0))</f>
        <v/>
      </c>
      <c r="R105" s="19">
        <f>IF(O105="","",IF(O105&gt;=$J$10,IF(B105="G마켓",ROUNDDOWN(MIN(O105*$K$10,$L$10),0),ROUNDUP(MIN(O105*$K$10,$L$10),0)),0))</f>
        <v/>
      </c>
      <c r="S105" s="19">
        <f>IF(O105="","",IF(O105&gt;=$J$11,IF(B105="G마켓",ROUNDDOWN(MIN(O105*$K$11,$L$11),0),ROUNDUP(MIN(O105*$K$11,$L$11),0)),0))</f>
        <v/>
      </c>
      <c r="T105" s="19">
        <f>IF(O105="","",MAX(Q105,R105,S105))</f>
        <v/>
      </c>
      <c r="U105" s="19">
        <f>IF(O105="","",O105-T105)</f>
        <v/>
      </c>
      <c r="V105" s="19">
        <f>IF(O105="","",IF(B105="G마켓",ROUNDDOWN(MAX(Q105*$N$9,R105*$N$10,S105*$N$11),0),ROUNDUP(MAX(Q105*$N$9,R105*$N$10,S105*$N$11),0)))</f>
        <v/>
      </c>
      <c r="W105" s="19">
        <f>IF(G105="","",IF(B105="G마켓",ROUNDDOWN(G105-G105*$D$3-V105,0),ROUNDUP(G105-G105*$D$3-V105,0)))</f>
        <v/>
      </c>
    </row>
    <row r="106">
      <c r="B106" s="18" t="n"/>
      <c r="C106" s="18" t="n"/>
      <c r="D106" s="18" t="n"/>
      <c r="E106" s="19" t="n"/>
      <c r="F106" s="19" t="n"/>
      <c r="G106" s="19">
        <f>IF(E106="","",E106-N(F106))</f>
        <v/>
      </c>
      <c r="H106" s="19" t="n"/>
      <c r="I106" s="19">
        <f>IF(G106="","",IF(G106&gt;=$C$9,IF(B106="G마켓",ROUNDDOWN(MIN(G106*$D$9,$E$9),0),ROUNDUP(MIN(G106*$D$9,$E$9),0)),0))</f>
        <v/>
      </c>
      <c r="J106" s="19">
        <f>IF(G106="","",IF(G106&gt;=$C$10,IF(B106="G마켓",ROUNDDOWN(MIN(G106*$D$10,$E$10),0),ROUNDUP(MIN(G106*$D$10,$E$10),0)),0))</f>
        <v/>
      </c>
      <c r="K106" s="19">
        <f>IF(G106="","",IF(G106&gt;=$C$11,IF(B106="G마켓",ROUNDDOWN(MIN(G106*$D$11,$E$11),0),ROUNDUP(MIN(G106*$D$11,$E$11),0)),0))</f>
        <v/>
      </c>
      <c r="L106" s="19">
        <f>IF(G106="","",IF(G106&gt;=$C$12,IF(B106="G마켓",ROUNDDOWN(MIN(G106*$D$12,$E$12),0),ROUNDUP(MIN(G106*$D$12,$E$12),0)),0))</f>
        <v/>
      </c>
      <c r="M106" s="19" t="n"/>
      <c r="N106" s="19">
        <f>IF(G106="","",MAX(I106,J106,K106,L106))</f>
        <v/>
      </c>
      <c r="O106" s="19">
        <f>IF(G106="","",G106-N106)</f>
        <v/>
      </c>
      <c r="P106" s="19" t="n"/>
      <c r="Q106" s="19">
        <f>IF(O106="","",IF(O106&gt;=$J$9,IF(B106="G마켓",ROUNDDOWN(MIN(O106*$K$9,$L$9),0),ROUNDUP(MIN(O106*$K$9,$L$9),0)),0))</f>
        <v/>
      </c>
      <c r="R106" s="19">
        <f>IF(O106="","",IF(O106&gt;=$J$10,IF(B106="G마켓",ROUNDDOWN(MIN(O106*$K$10,$L$10),0),ROUNDUP(MIN(O106*$K$10,$L$10),0)),0))</f>
        <v/>
      </c>
      <c r="S106" s="19">
        <f>IF(O106="","",IF(O106&gt;=$J$11,IF(B106="G마켓",ROUNDDOWN(MIN(O106*$K$11,$L$11),0),ROUNDUP(MIN(O106*$K$11,$L$11),0)),0))</f>
        <v/>
      </c>
      <c r="T106" s="19">
        <f>IF(O106="","",MAX(Q106,R106,S106))</f>
        <v/>
      </c>
      <c r="U106" s="19">
        <f>IF(O106="","",O106-T106)</f>
        <v/>
      </c>
      <c r="V106" s="19">
        <f>IF(O106="","",IF(B106="G마켓",ROUNDDOWN(MAX(Q106*$N$9,R106*$N$10,S106*$N$11),0),ROUNDUP(MAX(Q106*$N$9,R106*$N$10,S106*$N$11),0)))</f>
        <v/>
      </c>
      <c r="W106" s="19">
        <f>IF(G106="","",IF(B106="G마켓",ROUNDDOWN(G106-G106*$D$3-V106,0),ROUNDUP(G106-G106*$D$3-V106,0)))</f>
        <v/>
      </c>
    </row>
    <row r="107">
      <c r="B107" s="18" t="n"/>
      <c r="C107" s="18" t="n"/>
      <c r="D107" s="18" t="n"/>
      <c r="E107" s="19" t="n"/>
      <c r="F107" s="19" t="n"/>
      <c r="G107" s="19">
        <f>IF(E107="","",E107-N(F107))</f>
        <v/>
      </c>
      <c r="H107" s="19" t="n"/>
      <c r="I107" s="19">
        <f>IF(G107="","",IF(G107&gt;=$C$9,IF(B107="G마켓",ROUNDDOWN(MIN(G107*$D$9,$E$9),0),ROUNDUP(MIN(G107*$D$9,$E$9),0)),0))</f>
        <v/>
      </c>
      <c r="J107" s="19">
        <f>IF(G107="","",IF(G107&gt;=$C$10,IF(B107="G마켓",ROUNDDOWN(MIN(G107*$D$10,$E$10),0),ROUNDUP(MIN(G107*$D$10,$E$10),0)),0))</f>
        <v/>
      </c>
      <c r="K107" s="19">
        <f>IF(G107="","",IF(G107&gt;=$C$11,IF(B107="G마켓",ROUNDDOWN(MIN(G107*$D$11,$E$11),0),ROUNDUP(MIN(G107*$D$11,$E$11),0)),0))</f>
        <v/>
      </c>
      <c r="L107" s="19">
        <f>IF(G107="","",IF(G107&gt;=$C$12,IF(B107="G마켓",ROUNDDOWN(MIN(G107*$D$12,$E$12),0),ROUNDUP(MIN(G107*$D$12,$E$12),0)),0))</f>
        <v/>
      </c>
      <c r="M107" s="19" t="n"/>
      <c r="N107" s="19">
        <f>IF(G107="","",MAX(I107,J107,K107,L107))</f>
        <v/>
      </c>
      <c r="O107" s="19">
        <f>IF(G107="","",G107-N107)</f>
        <v/>
      </c>
      <c r="P107" s="19" t="n"/>
      <c r="Q107" s="19">
        <f>IF(O107="","",IF(O107&gt;=$J$9,IF(B107="G마켓",ROUNDDOWN(MIN(O107*$K$9,$L$9),0),ROUNDUP(MIN(O107*$K$9,$L$9),0)),0))</f>
        <v/>
      </c>
      <c r="R107" s="19">
        <f>IF(O107="","",IF(O107&gt;=$J$10,IF(B107="G마켓",ROUNDDOWN(MIN(O107*$K$10,$L$10),0),ROUNDUP(MIN(O107*$K$10,$L$10),0)),0))</f>
        <v/>
      </c>
      <c r="S107" s="19">
        <f>IF(O107="","",IF(O107&gt;=$J$11,IF(B107="G마켓",ROUNDDOWN(MIN(O107*$K$11,$L$11),0),ROUNDUP(MIN(O107*$K$11,$L$11),0)),0))</f>
        <v/>
      </c>
      <c r="T107" s="19">
        <f>IF(O107="","",MAX(Q107,R107,S107))</f>
        <v/>
      </c>
      <c r="U107" s="19">
        <f>IF(O107="","",O107-T107)</f>
        <v/>
      </c>
      <c r="V107" s="19">
        <f>IF(O107="","",IF(B107="G마켓",ROUNDDOWN(MAX(Q107*$N$9,R107*$N$10,S107*$N$11),0),ROUNDUP(MAX(Q107*$N$9,R107*$N$10,S107*$N$11),0)))</f>
        <v/>
      </c>
      <c r="W107" s="19">
        <f>IF(G107="","",IF(B107="G마켓",ROUNDDOWN(G107-G107*$D$3-V107,0),ROUNDUP(G107-G107*$D$3-V107,0)))</f>
        <v/>
      </c>
    </row>
    <row r="108">
      <c r="B108" s="18" t="n"/>
      <c r="C108" s="18" t="n"/>
      <c r="D108" s="18" t="n"/>
      <c r="E108" s="19" t="n"/>
      <c r="F108" s="19" t="n"/>
      <c r="G108" s="19">
        <f>IF(E108="","",E108-N(F108))</f>
        <v/>
      </c>
      <c r="H108" s="19" t="n"/>
      <c r="I108" s="19">
        <f>IF(G108="","",IF(G108&gt;=$C$9,IF(B108="G마켓",ROUNDDOWN(MIN(G108*$D$9,$E$9),0),ROUNDUP(MIN(G108*$D$9,$E$9),0)),0))</f>
        <v/>
      </c>
      <c r="J108" s="19">
        <f>IF(G108="","",IF(G108&gt;=$C$10,IF(B108="G마켓",ROUNDDOWN(MIN(G108*$D$10,$E$10),0),ROUNDUP(MIN(G108*$D$10,$E$10),0)),0))</f>
        <v/>
      </c>
      <c r="K108" s="19">
        <f>IF(G108="","",IF(G108&gt;=$C$11,IF(B108="G마켓",ROUNDDOWN(MIN(G108*$D$11,$E$11),0),ROUNDUP(MIN(G108*$D$11,$E$11),0)),0))</f>
        <v/>
      </c>
      <c r="L108" s="19">
        <f>IF(G108="","",IF(G108&gt;=$C$12,IF(B108="G마켓",ROUNDDOWN(MIN(G108*$D$12,$E$12),0),ROUNDUP(MIN(G108*$D$12,$E$12),0)),0))</f>
        <v/>
      </c>
      <c r="M108" s="19" t="n"/>
      <c r="N108" s="19">
        <f>IF(G108="","",MAX(I108,J108,K108,L108))</f>
        <v/>
      </c>
      <c r="O108" s="19">
        <f>IF(G108="","",G108-N108)</f>
        <v/>
      </c>
      <c r="P108" s="19" t="n"/>
      <c r="Q108" s="19">
        <f>IF(O108="","",IF(O108&gt;=$J$9,IF(B108="G마켓",ROUNDDOWN(MIN(O108*$K$9,$L$9),0),ROUNDUP(MIN(O108*$K$9,$L$9),0)),0))</f>
        <v/>
      </c>
      <c r="R108" s="19">
        <f>IF(O108="","",IF(O108&gt;=$J$10,IF(B108="G마켓",ROUNDDOWN(MIN(O108*$K$10,$L$10),0),ROUNDUP(MIN(O108*$K$10,$L$10),0)),0))</f>
        <v/>
      </c>
      <c r="S108" s="19">
        <f>IF(O108="","",IF(O108&gt;=$J$11,IF(B108="G마켓",ROUNDDOWN(MIN(O108*$K$11,$L$11),0),ROUNDUP(MIN(O108*$K$11,$L$11),0)),0))</f>
        <v/>
      </c>
      <c r="T108" s="19">
        <f>IF(O108="","",MAX(Q108,R108,S108))</f>
        <v/>
      </c>
      <c r="U108" s="19">
        <f>IF(O108="","",O108-T108)</f>
        <v/>
      </c>
      <c r="V108" s="19">
        <f>IF(O108="","",IF(B108="G마켓",ROUNDDOWN(MAX(Q108*$N$9,R108*$N$10,S108*$N$11),0),ROUNDUP(MAX(Q108*$N$9,R108*$N$10,S108*$N$11),0)))</f>
        <v/>
      </c>
      <c r="W108" s="19">
        <f>IF(G108="","",IF(B108="G마켓",ROUNDDOWN(G108-G108*$D$3-V108,0),ROUNDUP(G108-G108*$D$3-V108,0)))</f>
        <v/>
      </c>
    </row>
    <row r="109">
      <c r="B109" s="18" t="n"/>
      <c r="C109" s="18" t="n"/>
      <c r="D109" s="18" t="n"/>
      <c r="E109" s="19" t="n"/>
      <c r="F109" s="19" t="n"/>
      <c r="G109" s="19">
        <f>IF(E109="","",E109-N(F109))</f>
        <v/>
      </c>
      <c r="H109" s="19" t="n"/>
      <c r="I109" s="19">
        <f>IF(G109="","",IF(G109&gt;=$C$9,IF(B109="G마켓",ROUNDDOWN(MIN(G109*$D$9,$E$9),0),ROUNDUP(MIN(G109*$D$9,$E$9),0)),0))</f>
        <v/>
      </c>
      <c r="J109" s="19">
        <f>IF(G109="","",IF(G109&gt;=$C$10,IF(B109="G마켓",ROUNDDOWN(MIN(G109*$D$10,$E$10),0),ROUNDUP(MIN(G109*$D$10,$E$10),0)),0))</f>
        <v/>
      </c>
      <c r="K109" s="19">
        <f>IF(G109="","",IF(G109&gt;=$C$11,IF(B109="G마켓",ROUNDDOWN(MIN(G109*$D$11,$E$11),0),ROUNDUP(MIN(G109*$D$11,$E$11),0)),0))</f>
        <v/>
      </c>
      <c r="L109" s="19">
        <f>IF(G109="","",IF(G109&gt;=$C$12,IF(B109="G마켓",ROUNDDOWN(MIN(G109*$D$12,$E$12),0),ROUNDUP(MIN(G109*$D$12,$E$12),0)),0))</f>
        <v/>
      </c>
      <c r="M109" s="19" t="n"/>
      <c r="N109" s="19">
        <f>IF(G109="","",MAX(I109,J109,K109,L109))</f>
        <v/>
      </c>
      <c r="O109" s="19">
        <f>IF(G109="","",G109-N109)</f>
        <v/>
      </c>
      <c r="P109" s="19" t="n"/>
      <c r="Q109" s="19">
        <f>IF(O109="","",IF(O109&gt;=$J$9,IF(B109="G마켓",ROUNDDOWN(MIN(O109*$K$9,$L$9),0),ROUNDUP(MIN(O109*$K$9,$L$9),0)),0))</f>
        <v/>
      </c>
      <c r="R109" s="19">
        <f>IF(O109="","",IF(O109&gt;=$J$10,IF(B109="G마켓",ROUNDDOWN(MIN(O109*$K$10,$L$10),0),ROUNDUP(MIN(O109*$K$10,$L$10),0)),0))</f>
        <v/>
      </c>
      <c r="S109" s="19">
        <f>IF(O109="","",IF(O109&gt;=$J$11,IF(B109="G마켓",ROUNDDOWN(MIN(O109*$K$11,$L$11),0),ROUNDUP(MIN(O109*$K$11,$L$11),0)),0))</f>
        <v/>
      </c>
      <c r="T109" s="19">
        <f>IF(O109="","",MAX(Q109,R109,S109))</f>
        <v/>
      </c>
      <c r="U109" s="19">
        <f>IF(O109="","",O109-T109)</f>
        <v/>
      </c>
      <c r="V109" s="19">
        <f>IF(O109="","",IF(B109="G마켓",ROUNDDOWN(MAX(Q109*$N$9,R109*$N$10,S109*$N$11),0),ROUNDUP(MAX(Q109*$N$9,R109*$N$10,S109*$N$11),0)))</f>
        <v/>
      </c>
      <c r="W109" s="19">
        <f>IF(G109="","",IF(B109="G마켓",ROUNDDOWN(G109-G109*$D$3-V109,0),ROUNDUP(G109-G109*$D$3-V109,0)))</f>
        <v/>
      </c>
    </row>
    <row r="110">
      <c r="B110" s="18" t="n"/>
      <c r="C110" s="18" t="n"/>
      <c r="D110" s="18" t="n"/>
      <c r="E110" s="19" t="n"/>
      <c r="F110" s="19" t="n"/>
      <c r="G110" s="19">
        <f>IF(E110="","",E110-N(F110))</f>
        <v/>
      </c>
      <c r="H110" s="19" t="n"/>
      <c r="I110" s="19">
        <f>IF(G110="","",IF(G110&gt;=$C$9,IF(B110="G마켓",ROUNDDOWN(MIN(G110*$D$9,$E$9),0),ROUNDUP(MIN(G110*$D$9,$E$9),0)),0))</f>
        <v/>
      </c>
      <c r="J110" s="19">
        <f>IF(G110="","",IF(G110&gt;=$C$10,IF(B110="G마켓",ROUNDDOWN(MIN(G110*$D$10,$E$10),0),ROUNDUP(MIN(G110*$D$10,$E$10),0)),0))</f>
        <v/>
      </c>
      <c r="K110" s="19">
        <f>IF(G110="","",IF(G110&gt;=$C$11,IF(B110="G마켓",ROUNDDOWN(MIN(G110*$D$11,$E$11),0),ROUNDUP(MIN(G110*$D$11,$E$11),0)),0))</f>
        <v/>
      </c>
      <c r="L110" s="19">
        <f>IF(G110="","",IF(G110&gt;=$C$12,IF(B110="G마켓",ROUNDDOWN(MIN(G110*$D$12,$E$12),0),ROUNDUP(MIN(G110*$D$12,$E$12),0)),0))</f>
        <v/>
      </c>
      <c r="M110" s="19" t="n"/>
      <c r="N110" s="19">
        <f>IF(G110="","",MAX(I110,J110,K110,L110))</f>
        <v/>
      </c>
      <c r="O110" s="19">
        <f>IF(G110="","",G110-N110)</f>
        <v/>
      </c>
      <c r="P110" s="19" t="n"/>
      <c r="Q110" s="19">
        <f>IF(O110="","",IF(O110&gt;=$J$9,IF(B110="G마켓",ROUNDDOWN(MIN(O110*$K$9,$L$9),0),ROUNDUP(MIN(O110*$K$9,$L$9),0)),0))</f>
        <v/>
      </c>
      <c r="R110" s="19">
        <f>IF(O110="","",IF(O110&gt;=$J$10,IF(B110="G마켓",ROUNDDOWN(MIN(O110*$K$10,$L$10),0),ROUNDUP(MIN(O110*$K$10,$L$10),0)),0))</f>
        <v/>
      </c>
      <c r="S110" s="19">
        <f>IF(O110="","",IF(O110&gt;=$J$11,IF(B110="G마켓",ROUNDDOWN(MIN(O110*$K$11,$L$11),0),ROUNDUP(MIN(O110*$K$11,$L$11),0)),0))</f>
        <v/>
      </c>
      <c r="T110" s="19">
        <f>IF(O110="","",MAX(Q110,R110,S110))</f>
        <v/>
      </c>
      <c r="U110" s="19">
        <f>IF(O110="","",O110-T110)</f>
        <v/>
      </c>
      <c r="V110" s="19">
        <f>IF(O110="","",IF(B110="G마켓",ROUNDDOWN(MAX(Q110*$N$9,R110*$N$10,S110*$N$11),0),ROUNDUP(MAX(Q110*$N$9,R110*$N$10,S110*$N$11),0)))</f>
        <v/>
      </c>
      <c r="W110" s="19">
        <f>IF(G110="","",IF(B110="G마켓",ROUNDDOWN(G110-G110*$D$3-V110,0),ROUNDUP(G110-G110*$D$3-V110,0)))</f>
        <v/>
      </c>
    </row>
    <row r="111">
      <c r="B111" s="18" t="n"/>
      <c r="C111" s="18" t="n"/>
      <c r="D111" s="18" t="n"/>
      <c r="E111" s="19" t="n"/>
      <c r="F111" s="19" t="n"/>
      <c r="G111" s="19">
        <f>IF(E111="","",E111-N(F111))</f>
        <v/>
      </c>
      <c r="H111" s="19" t="n"/>
      <c r="I111" s="19">
        <f>IF(G111="","",IF(G111&gt;=$C$9,IF(B111="G마켓",ROUNDDOWN(MIN(G111*$D$9,$E$9),0),ROUNDUP(MIN(G111*$D$9,$E$9),0)),0))</f>
        <v/>
      </c>
      <c r="J111" s="19">
        <f>IF(G111="","",IF(G111&gt;=$C$10,IF(B111="G마켓",ROUNDDOWN(MIN(G111*$D$10,$E$10),0),ROUNDUP(MIN(G111*$D$10,$E$10),0)),0))</f>
        <v/>
      </c>
      <c r="K111" s="19">
        <f>IF(G111="","",IF(G111&gt;=$C$11,IF(B111="G마켓",ROUNDDOWN(MIN(G111*$D$11,$E$11),0),ROUNDUP(MIN(G111*$D$11,$E$11),0)),0))</f>
        <v/>
      </c>
      <c r="L111" s="19">
        <f>IF(G111="","",IF(G111&gt;=$C$12,IF(B111="G마켓",ROUNDDOWN(MIN(G111*$D$12,$E$12),0),ROUNDUP(MIN(G111*$D$12,$E$12),0)),0))</f>
        <v/>
      </c>
      <c r="M111" s="19" t="n"/>
      <c r="N111" s="19">
        <f>IF(G111="","",MAX(I111,J111,K111,L111))</f>
        <v/>
      </c>
      <c r="O111" s="19">
        <f>IF(G111="","",G111-N111)</f>
        <v/>
      </c>
      <c r="P111" s="19" t="n"/>
      <c r="Q111" s="19">
        <f>IF(O111="","",IF(O111&gt;=$J$9,IF(B111="G마켓",ROUNDDOWN(MIN(O111*$K$9,$L$9),0),ROUNDUP(MIN(O111*$K$9,$L$9),0)),0))</f>
        <v/>
      </c>
      <c r="R111" s="19">
        <f>IF(O111="","",IF(O111&gt;=$J$10,IF(B111="G마켓",ROUNDDOWN(MIN(O111*$K$10,$L$10),0),ROUNDUP(MIN(O111*$K$10,$L$10),0)),0))</f>
        <v/>
      </c>
      <c r="S111" s="19">
        <f>IF(O111="","",IF(O111&gt;=$J$11,IF(B111="G마켓",ROUNDDOWN(MIN(O111*$K$11,$L$11),0),ROUNDUP(MIN(O111*$K$11,$L$11),0)),0))</f>
        <v/>
      </c>
      <c r="T111" s="19">
        <f>IF(O111="","",MAX(Q111,R111,S111))</f>
        <v/>
      </c>
      <c r="U111" s="19">
        <f>IF(O111="","",O111-T111)</f>
        <v/>
      </c>
      <c r="V111" s="19">
        <f>IF(O111="","",IF(B111="G마켓",ROUNDDOWN(MAX(Q111*$N$9,R111*$N$10,S111*$N$11),0),ROUNDUP(MAX(Q111*$N$9,R111*$N$10,S111*$N$11),0)))</f>
        <v/>
      </c>
      <c r="W111" s="19">
        <f>IF(G111="","",IF(B111="G마켓",ROUNDDOWN(G111-G111*$D$3-V111,0),ROUNDUP(G111-G111*$D$3-V111,0)))</f>
        <v/>
      </c>
    </row>
    <row r="112">
      <c r="B112" s="18" t="n"/>
      <c r="C112" s="18" t="n"/>
      <c r="D112" s="18" t="n"/>
      <c r="E112" s="19" t="n"/>
      <c r="F112" s="19" t="n"/>
      <c r="G112" s="19">
        <f>IF(E112="","",E112-N(F112))</f>
        <v/>
      </c>
      <c r="H112" s="19" t="n"/>
      <c r="I112" s="19">
        <f>IF(G112="","",IF(G112&gt;=$C$9,IF(B112="G마켓",ROUNDDOWN(MIN(G112*$D$9,$E$9),0),ROUNDUP(MIN(G112*$D$9,$E$9),0)),0))</f>
        <v/>
      </c>
      <c r="J112" s="19">
        <f>IF(G112="","",IF(G112&gt;=$C$10,IF(B112="G마켓",ROUNDDOWN(MIN(G112*$D$10,$E$10),0),ROUNDUP(MIN(G112*$D$10,$E$10),0)),0))</f>
        <v/>
      </c>
      <c r="K112" s="19">
        <f>IF(G112="","",IF(G112&gt;=$C$11,IF(B112="G마켓",ROUNDDOWN(MIN(G112*$D$11,$E$11),0),ROUNDUP(MIN(G112*$D$11,$E$11),0)),0))</f>
        <v/>
      </c>
      <c r="L112" s="19">
        <f>IF(G112="","",IF(G112&gt;=$C$12,IF(B112="G마켓",ROUNDDOWN(MIN(G112*$D$12,$E$12),0),ROUNDUP(MIN(G112*$D$12,$E$12),0)),0))</f>
        <v/>
      </c>
      <c r="M112" s="19" t="n"/>
      <c r="N112" s="19">
        <f>IF(G112="","",MAX(I112,J112,K112,L112))</f>
        <v/>
      </c>
      <c r="O112" s="19">
        <f>IF(G112="","",G112-N112)</f>
        <v/>
      </c>
      <c r="P112" s="19" t="n"/>
      <c r="Q112" s="19">
        <f>IF(O112="","",IF(O112&gt;=$J$9,IF(B112="G마켓",ROUNDDOWN(MIN(O112*$K$9,$L$9),0),ROUNDUP(MIN(O112*$K$9,$L$9),0)),0))</f>
        <v/>
      </c>
      <c r="R112" s="19">
        <f>IF(O112="","",IF(O112&gt;=$J$10,IF(B112="G마켓",ROUNDDOWN(MIN(O112*$K$10,$L$10),0),ROUNDUP(MIN(O112*$K$10,$L$10),0)),0))</f>
        <v/>
      </c>
      <c r="S112" s="19">
        <f>IF(O112="","",IF(O112&gt;=$J$11,IF(B112="G마켓",ROUNDDOWN(MIN(O112*$K$11,$L$11),0),ROUNDUP(MIN(O112*$K$11,$L$11),0)),0))</f>
        <v/>
      </c>
      <c r="T112" s="19">
        <f>IF(O112="","",MAX(Q112,R112,S112))</f>
        <v/>
      </c>
      <c r="U112" s="19">
        <f>IF(O112="","",O112-T112)</f>
        <v/>
      </c>
      <c r="V112" s="19">
        <f>IF(O112="","",IF(B112="G마켓",ROUNDDOWN(MAX(Q112*$N$9,R112*$N$10,S112*$N$11),0),ROUNDUP(MAX(Q112*$N$9,R112*$N$10,S112*$N$11),0)))</f>
        <v/>
      </c>
      <c r="W112" s="19">
        <f>IF(G112="","",IF(B112="G마켓",ROUNDDOWN(G112-G112*$D$3-V112,0),ROUNDUP(G112-G112*$D$3-V112,0)))</f>
        <v/>
      </c>
    </row>
    <row r="113">
      <c r="B113" s="18" t="n"/>
      <c r="C113" s="18" t="n"/>
      <c r="D113" s="18" t="n"/>
      <c r="E113" s="19" t="n"/>
      <c r="F113" s="19" t="n"/>
      <c r="G113" s="19">
        <f>IF(E113="","",E113-N(F113))</f>
        <v/>
      </c>
      <c r="H113" s="19" t="n"/>
      <c r="I113" s="19">
        <f>IF(G113="","",IF(G113&gt;=$C$9,IF(B113="G마켓",ROUNDDOWN(MIN(G113*$D$9,$E$9),0),ROUNDUP(MIN(G113*$D$9,$E$9),0)),0))</f>
        <v/>
      </c>
      <c r="J113" s="19">
        <f>IF(G113="","",IF(G113&gt;=$C$10,IF(B113="G마켓",ROUNDDOWN(MIN(G113*$D$10,$E$10),0),ROUNDUP(MIN(G113*$D$10,$E$10),0)),0))</f>
        <v/>
      </c>
      <c r="K113" s="19">
        <f>IF(G113="","",IF(G113&gt;=$C$11,IF(B113="G마켓",ROUNDDOWN(MIN(G113*$D$11,$E$11),0),ROUNDUP(MIN(G113*$D$11,$E$11),0)),0))</f>
        <v/>
      </c>
      <c r="L113" s="19">
        <f>IF(G113="","",IF(G113&gt;=$C$12,IF(B113="G마켓",ROUNDDOWN(MIN(G113*$D$12,$E$12),0),ROUNDUP(MIN(G113*$D$12,$E$12),0)),0))</f>
        <v/>
      </c>
      <c r="M113" s="19" t="n"/>
      <c r="N113" s="19">
        <f>IF(G113="","",MAX(I113,J113,K113,L113))</f>
        <v/>
      </c>
      <c r="O113" s="19">
        <f>IF(G113="","",G113-N113)</f>
        <v/>
      </c>
      <c r="P113" s="19" t="n"/>
      <c r="Q113" s="19">
        <f>IF(O113="","",IF(O113&gt;=$J$9,IF(B113="G마켓",ROUNDDOWN(MIN(O113*$K$9,$L$9),0),ROUNDUP(MIN(O113*$K$9,$L$9),0)),0))</f>
        <v/>
      </c>
      <c r="R113" s="19">
        <f>IF(O113="","",IF(O113&gt;=$J$10,IF(B113="G마켓",ROUNDDOWN(MIN(O113*$K$10,$L$10),0),ROUNDUP(MIN(O113*$K$10,$L$10),0)),0))</f>
        <v/>
      </c>
      <c r="S113" s="19">
        <f>IF(O113="","",IF(O113&gt;=$J$11,IF(B113="G마켓",ROUNDDOWN(MIN(O113*$K$11,$L$11),0),ROUNDUP(MIN(O113*$K$11,$L$11),0)),0))</f>
        <v/>
      </c>
      <c r="T113" s="19">
        <f>IF(O113="","",MAX(Q113,R113,S113))</f>
        <v/>
      </c>
      <c r="U113" s="19">
        <f>IF(O113="","",O113-T113)</f>
        <v/>
      </c>
      <c r="V113" s="19">
        <f>IF(O113="","",IF(B113="G마켓",ROUNDDOWN(MAX(Q113*$N$9,R113*$N$10,S113*$N$11),0),ROUNDUP(MAX(Q113*$N$9,R113*$N$10,S113*$N$11),0)))</f>
        <v/>
      </c>
      <c r="W113" s="19">
        <f>IF(G113="","",IF(B113="G마켓",ROUNDDOWN(G113-G113*$D$3-V113,0),ROUNDUP(G113-G113*$D$3-V113,0)))</f>
        <v/>
      </c>
    </row>
    <row r="114">
      <c r="B114" s="18" t="n"/>
      <c r="C114" s="18" t="n"/>
      <c r="D114" s="18" t="n"/>
      <c r="E114" s="19" t="n"/>
      <c r="F114" s="19" t="n"/>
      <c r="G114" s="19">
        <f>IF(E114="","",E114-N(F114))</f>
        <v/>
      </c>
      <c r="H114" s="19" t="n"/>
      <c r="I114" s="19">
        <f>IF(G114="","",IF(G114&gt;=$C$9,IF(B114="G마켓",ROUNDDOWN(MIN(G114*$D$9,$E$9),0),ROUNDUP(MIN(G114*$D$9,$E$9),0)),0))</f>
        <v/>
      </c>
      <c r="J114" s="19">
        <f>IF(G114="","",IF(G114&gt;=$C$10,IF(B114="G마켓",ROUNDDOWN(MIN(G114*$D$10,$E$10),0),ROUNDUP(MIN(G114*$D$10,$E$10),0)),0))</f>
        <v/>
      </c>
      <c r="K114" s="19">
        <f>IF(G114="","",IF(G114&gt;=$C$11,IF(B114="G마켓",ROUNDDOWN(MIN(G114*$D$11,$E$11),0),ROUNDUP(MIN(G114*$D$11,$E$11),0)),0))</f>
        <v/>
      </c>
      <c r="L114" s="19">
        <f>IF(G114="","",IF(G114&gt;=$C$12,IF(B114="G마켓",ROUNDDOWN(MIN(G114*$D$12,$E$12),0),ROUNDUP(MIN(G114*$D$12,$E$12),0)),0))</f>
        <v/>
      </c>
      <c r="M114" s="19" t="n"/>
      <c r="N114" s="19">
        <f>IF(G114="","",MAX(I114,J114,K114,L114))</f>
        <v/>
      </c>
      <c r="O114" s="19">
        <f>IF(G114="","",G114-N114)</f>
        <v/>
      </c>
      <c r="P114" s="19" t="n"/>
      <c r="Q114" s="19">
        <f>IF(O114="","",IF(O114&gt;=$J$9,IF(B114="G마켓",ROUNDDOWN(MIN(O114*$K$9,$L$9),0),ROUNDUP(MIN(O114*$K$9,$L$9),0)),0))</f>
        <v/>
      </c>
      <c r="R114" s="19">
        <f>IF(O114="","",IF(O114&gt;=$J$10,IF(B114="G마켓",ROUNDDOWN(MIN(O114*$K$10,$L$10),0),ROUNDUP(MIN(O114*$K$10,$L$10),0)),0))</f>
        <v/>
      </c>
      <c r="S114" s="19">
        <f>IF(O114="","",IF(O114&gt;=$J$11,IF(B114="G마켓",ROUNDDOWN(MIN(O114*$K$11,$L$11),0),ROUNDUP(MIN(O114*$K$11,$L$11),0)),0))</f>
        <v/>
      </c>
      <c r="T114" s="19">
        <f>IF(O114="","",MAX(Q114,R114,S114))</f>
        <v/>
      </c>
      <c r="U114" s="19">
        <f>IF(O114="","",O114-T114)</f>
        <v/>
      </c>
      <c r="V114" s="19">
        <f>IF(O114="","",IF(B114="G마켓",ROUNDDOWN(MAX(Q114*$N$9,R114*$N$10,S114*$N$11),0),ROUNDUP(MAX(Q114*$N$9,R114*$N$10,S114*$N$11),0)))</f>
        <v/>
      </c>
      <c r="W114" s="19">
        <f>IF(G114="","",IF(B114="G마켓",ROUNDDOWN(G114-G114*$D$3-V114,0),ROUNDUP(G114-G114*$D$3-V114,0)))</f>
        <v/>
      </c>
    </row>
    <row r="115">
      <c r="B115" s="18" t="n"/>
      <c r="C115" s="18" t="n"/>
      <c r="D115" s="18" t="n"/>
      <c r="E115" s="19" t="n"/>
      <c r="F115" s="19" t="n"/>
      <c r="G115" s="19">
        <f>IF(E115="","",E115-N(F115))</f>
        <v/>
      </c>
      <c r="H115" s="19" t="n"/>
      <c r="I115" s="19">
        <f>IF(G115="","",IF(G115&gt;=$C$9,IF(B115="G마켓",ROUNDDOWN(MIN(G115*$D$9,$E$9),0),ROUNDUP(MIN(G115*$D$9,$E$9),0)),0))</f>
        <v/>
      </c>
      <c r="J115" s="19">
        <f>IF(G115="","",IF(G115&gt;=$C$10,IF(B115="G마켓",ROUNDDOWN(MIN(G115*$D$10,$E$10),0),ROUNDUP(MIN(G115*$D$10,$E$10),0)),0))</f>
        <v/>
      </c>
      <c r="K115" s="19">
        <f>IF(G115="","",IF(G115&gt;=$C$11,IF(B115="G마켓",ROUNDDOWN(MIN(G115*$D$11,$E$11),0),ROUNDUP(MIN(G115*$D$11,$E$11),0)),0))</f>
        <v/>
      </c>
      <c r="L115" s="19">
        <f>IF(G115="","",IF(G115&gt;=$C$12,IF(B115="G마켓",ROUNDDOWN(MIN(G115*$D$12,$E$12),0),ROUNDUP(MIN(G115*$D$12,$E$12),0)),0))</f>
        <v/>
      </c>
      <c r="M115" s="19" t="n"/>
      <c r="N115" s="19">
        <f>IF(G115="","",MAX(I115,J115,K115,L115))</f>
        <v/>
      </c>
      <c r="O115" s="19">
        <f>IF(G115="","",G115-N115)</f>
        <v/>
      </c>
      <c r="P115" s="19" t="n"/>
      <c r="Q115" s="19">
        <f>IF(O115="","",IF(O115&gt;=$J$9,IF(B115="G마켓",ROUNDDOWN(MIN(O115*$K$9,$L$9),0),ROUNDUP(MIN(O115*$K$9,$L$9),0)),0))</f>
        <v/>
      </c>
      <c r="R115" s="19">
        <f>IF(O115="","",IF(O115&gt;=$J$10,IF(B115="G마켓",ROUNDDOWN(MIN(O115*$K$10,$L$10),0),ROUNDUP(MIN(O115*$K$10,$L$10),0)),0))</f>
        <v/>
      </c>
      <c r="S115" s="19">
        <f>IF(O115="","",IF(O115&gt;=$J$11,IF(B115="G마켓",ROUNDDOWN(MIN(O115*$K$11,$L$11),0),ROUNDUP(MIN(O115*$K$11,$L$11),0)),0))</f>
        <v/>
      </c>
      <c r="T115" s="19">
        <f>IF(O115="","",MAX(Q115,R115,S115))</f>
        <v/>
      </c>
      <c r="U115" s="19">
        <f>IF(O115="","",O115-T115)</f>
        <v/>
      </c>
      <c r="V115" s="19">
        <f>IF(O115="","",IF(B115="G마켓",ROUNDDOWN(MAX(Q115*$N$9,R115*$N$10,S115*$N$11),0),ROUNDUP(MAX(Q115*$N$9,R115*$N$10,S115*$N$11),0)))</f>
        <v/>
      </c>
      <c r="W115" s="19">
        <f>IF(G115="","",IF(B115="G마켓",ROUNDDOWN(G115-G115*$D$3-V115,0),ROUNDUP(G115-G115*$D$3-V115,0)))</f>
        <v/>
      </c>
    </row>
    <row r="116">
      <c r="B116" s="18" t="n"/>
      <c r="C116" s="18" t="n"/>
      <c r="D116" s="18" t="n"/>
      <c r="E116" s="19" t="n"/>
      <c r="F116" s="19" t="n"/>
      <c r="G116" s="19">
        <f>IF(E116="","",E116-N(F116))</f>
        <v/>
      </c>
      <c r="H116" s="19" t="n"/>
      <c r="I116" s="19">
        <f>IF(G116="","",IF(G116&gt;=$C$9,IF(B116="G마켓",ROUNDDOWN(MIN(G116*$D$9,$E$9),0),ROUNDUP(MIN(G116*$D$9,$E$9),0)),0))</f>
        <v/>
      </c>
      <c r="J116" s="19">
        <f>IF(G116="","",IF(G116&gt;=$C$10,IF(B116="G마켓",ROUNDDOWN(MIN(G116*$D$10,$E$10),0),ROUNDUP(MIN(G116*$D$10,$E$10),0)),0))</f>
        <v/>
      </c>
      <c r="K116" s="19">
        <f>IF(G116="","",IF(G116&gt;=$C$11,IF(B116="G마켓",ROUNDDOWN(MIN(G116*$D$11,$E$11),0),ROUNDUP(MIN(G116*$D$11,$E$11),0)),0))</f>
        <v/>
      </c>
      <c r="L116" s="19">
        <f>IF(G116="","",IF(G116&gt;=$C$12,IF(B116="G마켓",ROUNDDOWN(MIN(G116*$D$12,$E$12),0),ROUNDUP(MIN(G116*$D$12,$E$12),0)),0))</f>
        <v/>
      </c>
      <c r="M116" s="19" t="n"/>
      <c r="N116" s="19">
        <f>IF(G116="","",MAX(I116,J116,K116,L116))</f>
        <v/>
      </c>
      <c r="O116" s="19">
        <f>IF(G116="","",G116-N116)</f>
        <v/>
      </c>
      <c r="P116" s="19" t="n"/>
      <c r="Q116" s="19">
        <f>IF(O116="","",IF(O116&gt;=$J$9,IF(B116="G마켓",ROUNDDOWN(MIN(O116*$K$9,$L$9),0),ROUNDUP(MIN(O116*$K$9,$L$9),0)),0))</f>
        <v/>
      </c>
      <c r="R116" s="19">
        <f>IF(O116="","",IF(O116&gt;=$J$10,IF(B116="G마켓",ROUNDDOWN(MIN(O116*$K$10,$L$10),0),ROUNDUP(MIN(O116*$K$10,$L$10),0)),0))</f>
        <v/>
      </c>
      <c r="S116" s="19">
        <f>IF(O116="","",IF(O116&gt;=$J$11,IF(B116="G마켓",ROUNDDOWN(MIN(O116*$K$11,$L$11),0),ROUNDUP(MIN(O116*$K$11,$L$11),0)),0))</f>
        <v/>
      </c>
      <c r="T116" s="19">
        <f>IF(O116="","",MAX(Q116,R116,S116))</f>
        <v/>
      </c>
      <c r="U116" s="19">
        <f>IF(O116="","",O116-T116)</f>
        <v/>
      </c>
      <c r="V116" s="19">
        <f>IF(O116="","",IF(B116="G마켓",ROUNDDOWN(MAX(Q116*$N$9,R116*$N$10,S116*$N$11),0),ROUNDUP(MAX(Q116*$N$9,R116*$N$10,S116*$N$11),0)))</f>
        <v/>
      </c>
      <c r="W116" s="19">
        <f>IF(G116="","",IF(B116="G마켓",ROUNDDOWN(G116-G116*$D$3-V116,0),ROUNDUP(G116-G116*$D$3-V116,0)))</f>
        <v/>
      </c>
    </row>
    <row r="117">
      <c r="B117" s="18" t="n"/>
      <c r="C117" s="18" t="n"/>
      <c r="D117" s="18" t="n"/>
      <c r="E117" s="19" t="n"/>
      <c r="F117" s="19" t="n"/>
      <c r="G117" s="19">
        <f>IF(E117="","",E117-N(F117))</f>
        <v/>
      </c>
      <c r="H117" s="19" t="n"/>
      <c r="I117" s="19">
        <f>IF(G117="","",IF(G117&gt;=$C$9,IF(B117="G마켓",ROUNDDOWN(MIN(G117*$D$9,$E$9),0),ROUNDUP(MIN(G117*$D$9,$E$9),0)),0))</f>
        <v/>
      </c>
      <c r="J117" s="19">
        <f>IF(G117="","",IF(G117&gt;=$C$10,IF(B117="G마켓",ROUNDDOWN(MIN(G117*$D$10,$E$10),0),ROUNDUP(MIN(G117*$D$10,$E$10),0)),0))</f>
        <v/>
      </c>
      <c r="K117" s="19">
        <f>IF(G117="","",IF(G117&gt;=$C$11,IF(B117="G마켓",ROUNDDOWN(MIN(G117*$D$11,$E$11),0),ROUNDUP(MIN(G117*$D$11,$E$11),0)),0))</f>
        <v/>
      </c>
      <c r="L117" s="19">
        <f>IF(G117="","",IF(G117&gt;=$C$12,IF(B117="G마켓",ROUNDDOWN(MIN(G117*$D$12,$E$12),0),ROUNDUP(MIN(G117*$D$12,$E$12),0)),0))</f>
        <v/>
      </c>
      <c r="M117" s="19" t="n"/>
      <c r="N117" s="19">
        <f>IF(G117="","",MAX(I117,J117,K117,L117))</f>
        <v/>
      </c>
      <c r="O117" s="19">
        <f>IF(G117="","",G117-N117)</f>
        <v/>
      </c>
      <c r="P117" s="19" t="n"/>
      <c r="Q117" s="19">
        <f>IF(O117="","",IF(O117&gt;=$J$9,IF(B117="G마켓",ROUNDDOWN(MIN(O117*$K$9,$L$9),0),ROUNDUP(MIN(O117*$K$9,$L$9),0)),0))</f>
        <v/>
      </c>
      <c r="R117" s="19">
        <f>IF(O117="","",IF(O117&gt;=$J$10,IF(B117="G마켓",ROUNDDOWN(MIN(O117*$K$10,$L$10),0),ROUNDUP(MIN(O117*$K$10,$L$10),0)),0))</f>
        <v/>
      </c>
      <c r="S117" s="19">
        <f>IF(O117="","",IF(O117&gt;=$J$11,IF(B117="G마켓",ROUNDDOWN(MIN(O117*$K$11,$L$11),0),ROUNDUP(MIN(O117*$K$11,$L$11),0)),0))</f>
        <v/>
      </c>
      <c r="T117" s="19">
        <f>IF(O117="","",MAX(Q117,R117,S117))</f>
        <v/>
      </c>
      <c r="U117" s="19">
        <f>IF(O117="","",O117-T117)</f>
        <v/>
      </c>
      <c r="V117" s="19">
        <f>IF(O117="","",IF(B117="G마켓",ROUNDDOWN(MAX(Q117*$N$9,R117*$N$10,S117*$N$11),0),ROUNDUP(MAX(Q117*$N$9,R117*$N$10,S117*$N$11),0)))</f>
        <v/>
      </c>
      <c r="W117" s="19">
        <f>IF(G117="","",IF(B117="G마켓",ROUNDDOWN(G117-G117*$D$3-V117,0),ROUNDUP(G117-G117*$D$3-V117,0)))</f>
        <v/>
      </c>
    </row>
    <row r="118">
      <c r="B118" s="18" t="n"/>
      <c r="C118" s="18" t="n"/>
      <c r="D118" s="18" t="n"/>
      <c r="E118" s="19" t="n"/>
      <c r="F118" s="19" t="n"/>
      <c r="G118" s="19">
        <f>IF(E118="","",E118-N(F118))</f>
        <v/>
      </c>
      <c r="H118" s="19" t="n"/>
      <c r="I118" s="19">
        <f>IF(G118="","",IF(G118&gt;=$C$9,IF(B118="G마켓",ROUNDDOWN(MIN(G118*$D$9,$E$9),0),ROUNDUP(MIN(G118*$D$9,$E$9),0)),0))</f>
        <v/>
      </c>
      <c r="J118" s="19">
        <f>IF(G118="","",IF(G118&gt;=$C$10,IF(B118="G마켓",ROUNDDOWN(MIN(G118*$D$10,$E$10),0),ROUNDUP(MIN(G118*$D$10,$E$10),0)),0))</f>
        <v/>
      </c>
      <c r="K118" s="19">
        <f>IF(G118="","",IF(G118&gt;=$C$11,IF(B118="G마켓",ROUNDDOWN(MIN(G118*$D$11,$E$11),0),ROUNDUP(MIN(G118*$D$11,$E$11),0)),0))</f>
        <v/>
      </c>
      <c r="L118" s="19">
        <f>IF(G118="","",IF(G118&gt;=$C$12,IF(B118="G마켓",ROUNDDOWN(MIN(G118*$D$12,$E$12),0),ROUNDUP(MIN(G118*$D$12,$E$12),0)),0))</f>
        <v/>
      </c>
      <c r="M118" s="19" t="n"/>
      <c r="N118" s="19">
        <f>IF(G118="","",MAX(I118,J118,K118,L118))</f>
        <v/>
      </c>
      <c r="O118" s="19">
        <f>IF(G118="","",G118-N118)</f>
        <v/>
      </c>
      <c r="P118" s="19" t="n"/>
      <c r="Q118" s="19">
        <f>IF(O118="","",IF(O118&gt;=$J$9,IF(B118="G마켓",ROUNDDOWN(MIN(O118*$K$9,$L$9),0),ROUNDUP(MIN(O118*$K$9,$L$9),0)),0))</f>
        <v/>
      </c>
      <c r="R118" s="19">
        <f>IF(O118="","",IF(O118&gt;=$J$10,IF(B118="G마켓",ROUNDDOWN(MIN(O118*$K$10,$L$10),0),ROUNDUP(MIN(O118*$K$10,$L$10),0)),0))</f>
        <v/>
      </c>
      <c r="S118" s="19">
        <f>IF(O118="","",IF(O118&gt;=$J$11,IF(B118="G마켓",ROUNDDOWN(MIN(O118*$K$11,$L$11),0),ROUNDUP(MIN(O118*$K$11,$L$11),0)),0))</f>
        <v/>
      </c>
      <c r="T118" s="19">
        <f>IF(O118="","",MAX(Q118,R118,S118))</f>
        <v/>
      </c>
      <c r="U118" s="19">
        <f>IF(O118="","",O118-T118)</f>
        <v/>
      </c>
      <c r="V118" s="19">
        <f>IF(O118="","",IF(B118="G마켓",ROUNDDOWN(MAX(Q118*$N$9,R118*$N$10,S118*$N$11),0),ROUNDUP(MAX(Q118*$N$9,R118*$N$10,S118*$N$11),0)))</f>
        <v/>
      </c>
      <c r="W118" s="19">
        <f>IF(G118="","",IF(B118="G마켓",ROUNDDOWN(G118-G118*$D$3-V118,0),ROUNDUP(G118-G118*$D$3-V118,0)))</f>
        <v/>
      </c>
    </row>
    <row r="119">
      <c r="B119" s="18" t="n"/>
      <c r="C119" s="18" t="n"/>
      <c r="D119" s="18" t="n"/>
      <c r="E119" s="19" t="n"/>
      <c r="F119" s="19" t="n"/>
      <c r="G119" s="19">
        <f>IF(E119="","",E119-N(F119))</f>
        <v/>
      </c>
      <c r="H119" s="19" t="n"/>
      <c r="I119" s="19">
        <f>IF(G119="","",IF(G119&gt;=$C$9,IF(B119="G마켓",ROUNDDOWN(MIN(G119*$D$9,$E$9),0),ROUNDUP(MIN(G119*$D$9,$E$9),0)),0))</f>
        <v/>
      </c>
      <c r="J119" s="19">
        <f>IF(G119="","",IF(G119&gt;=$C$10,IF(B119="G마켓",ROUNDDOWN(MIN(G119*$D$10,$E$10),0),ROUNDUP(MIN(G119*$D$10,$E$10),0)),0))</f>
        <v/>
      </c>
      <c r="K119" s="19">
        <f>IF(G119="","",IF(G119&gt;=$C$11,IF(B119="G마켓",ROUNDDOWN(MIN(G119*$D$11,$E$11),0),ROUNDUP(MIN(G119*$D$11,$E$11),0)),0))</f>
        <v/>
      </c>
      <c r="L119" s="19">
        <f>IF(G119="","",IF(G119&gt;=$C$12,IF(B119="G마켓",ROUNDDOWN(MIN(G119*$D$12,$E$12),0),ROUNDUP(MIN(G119*$D$12,$E$12),0)),0))</f>
        <v/>
      </c>
      <c r="M119" s="19" t="n"/>
      <c r="N119" s="19">
        <f>IF(G119="","",MAX(I119,J119,K119,L119))</f>
        <v/>
      </c>
      <c r="O119" s="19">
        <f>IF(G119="","",G119-N119)</f>
        <v/>
      </c>
      <c r="P119" s="19" t="n"/>
      <c r="Q119" s="19">
        <f>IF(O119="","",IF(O119&gt;=$J$9,IF(B119="G마켓",ROUNDDOWN(MIN(O119*$K$9,$L$9),0),ROUNDUP(MIN(O119*$K$9,$L$9),0)),0))</f>
        <v/>
      </c>
      <c r="R119" s="19">
        <f>IF(O119="","",IF(O119&gt;=$J$10,IF(B119="G마켓",ROUNDDOWN(MIN(O119*$K$10,$L$10),0),ROUNDUP(MIN(O119*$K$10,$L$10),0)),0))</f>
        <v/>
      </c>
      <c r="S119" s="19">
        <f>IF(O119="","",IF(O119&gt;=$J$11,IF(B119="G마켓",ROUNDDOWN(MIN(O119*$K$11,$L$11),0),ROUNDUP(MIN(O119*$K$11,$L$11),0)),0))</f>
        <v/>
      </c>
      <c r="T119" s="19">
        <f>IF(O119="","",MAX(Q119,R119,S119))</f>
        <v/>
      </c>
      <c r="U119" s="19">
        <f>IF(O119="","",O119-T119)</f>
        <v/>
      </c>
      <c r="V119" s="19">
        <f>IF(O119="","",IF(B119="G마켓",ROUNDDOWN(MAX(Q119*$N$9,R119*$N$10,S119*$N$11),0),ROUNDUP(MAX(Q119*$N$9,R119*$N$10,S119*$N$11),0)))</f>
        <v/>
      </c>
      <c r="W119" s="19">
        <f>IF(G119="","",IF(B119="G마켓",ROUNDDOWN(G119-G119*$D$3-V119,0),ROUNDUP(G119-G119*$D$3-V119,0)))</f>
        <v/>
      </c>
    </row>
    <row r="120">
      <c r="B120" s="18" t="n"/>
      <c r="C120" s="18" t="n"/>
      <c r="D120" s="18" t="n"/>
      <c r="E120" s="19" t="n"/>
      <c r="F120" s="19" t="n"/>
      <c r="G120" s="19">
        <f>IF(E120="","",E120-N(F120))</f>
        <v/>
      </c>
      <c r="H120" s="19" t="n"/>
      <c r="I120" s="19">
        <f>IF(G120="","",IF(G120&gt;=$C$9,IF(B120="G마켓",ROUNDDOWN(MIN(G120*$D$9,$E$9),0),ROUNDUP(MIN(G120*$D$9,$E$9),0)),0))</f>
        <v/>
      </c>
      <c r="J120" s="19">
        <f>IF(G120="","",IF(G120&gt;=$C$10,IF(B120="G마켓",ROUNDDOWN(MIN(G120*$D$10,$E$10),0),ROUNDUP(MIN(G120*$D$10,$E$10),0)),0))</f>
        <v/>
      </c>
      <c r="K120" s="19">
        <f>IF(G120="","",IF(G120&gt;=$C$11,IF(B120="G마켓",ROUNDDOWN(MIN(G120*$D$11,$E$11),0),ROUNDUP(MIN(G120*$D$11,$E$11),0)),0))</f>
        <v/>
      </c>
      <c r="L120" s="19">
        <f>IF(G120="","",IF(G120&gt;=$C$12,IF(B120="G마켓",ROUNDDOWN(MIN(G120*$D$12,$E$12),0),ROUNDUP(MIN(G120*$D$12,$E$12),0)),0))</f>
        <v/>
      </c>
      <c r="M120" s="19" t="n"/>
      <c r="N120" s="19">
        <f>IF(G120="","",MAX(I120,J120,K120,L120))</f>
        <v/>
      </c>
      <c r="O120" s="19">
        <f>IF(G120="","",G120-N120)</f>
        <v/>
      </c>
      <c r="P120" s="19" t="n"/>
      <c r="Q120" s="19">
        <f>IF(O120="","",IF(O120&gt;=$J$9,IF(B120="G마켓",ROUNDDOWN(MIN(O120*$K$9,$L$9),0),ROUNDUP(MIN(O120*$K$9,$L$9),0)),0))</f>
        <v/>
      </c>
      <c r="R120" s="19">
        <f>IF(O120="","",IF(O120&gt;=$J$10,IF(B120="G마켓",ROUNDDOWN(MIN(O120*$K$10,$L$10),0),ROUNDUP(MIN(O120*$K$10,$L$10),0)),0))</f>
        <v/>
      </c>
      <c r="S120" s="19">
        <f>IF(O120="","",IF(O120&gt;=$J$11,IF(B120="G마켓",ROUNDDOWN(MIN(O120*$K$11,$L$11),0),ROUNDUP(MIN(O120*$K$11,$L$11),0)),0))</f>
        <v/>
      </c>
      <c r="T120" s="19">
        <f>IF(O120="","",MAX(Q120,R120,S120))</f>
        <v/>
      </c>
      <c r="U120" s="19">
        <f>IF(O120="","",O120-T120)</f>
        <v/>
      </c>
      <c r="V120" s="19">
        <f>IF(O120="","",IF(B120="G마켓",ROUNDDOWN(MAX(Q120*$N$9,R120*$N$10,S120*$N$11),0),ROUNDUP(MAX(Q120*$N$9,R120*$N$10,S120*$N$11),0)))</f>
        <v/>
      </c>
      <c r="W120" s="19">
        <f>IF(G120="","",IF(B120="G마켓",ROUNDDOWN(G120-G120*$D$3-V120,0),ROUNDUP(G120-G120*$D$3-V120,0)))</f>
        <v/>
      </c>
    </row>
    <row r="121">
      <c r="B121" s="18" t="n"/>
      <c r="C121" s="18" t="n"/>
      <c r="D121" s="18" t="n"/>
      <c r="E121" s="19" t="n"/>
      <c r="F121" s="19" t="n"/>
      <c r="G121" s="19">
        <f>IF(E121="","",E121-N(F121))</f>
        <v/>
      </c>
      <c r="H121" s="19" t="n"/>
      <c r="I121" s="19">
        <f>IF(G121="","",IF(G121&gt;=$C$9,IF(B121="G마켓",ROUNDDOWN(MIN(G121*$D$9,$E$9),0),ROUNDUP(MIN(G121*$D$9,$E$9),0)),0))</f>
        <v/>
      </c>
      <c r="J121" s="19">
        <f>IF(G121="","",IF(G121&gt;=$C$10,IF(B121="G마켓",ROUNDDOWN(MIN(G121*$D$10,$E$10),0),ROUNDUP(MIN(G121*$D$10,$E$10),0)),0))</f>
        <v/>
      </c>
      <c r="K121" s="19">
        <f>IF(G121="","",IF(G121&gt;=$C$11,IF(B121="G마켓",ROUNDDOWN(MIN(G121*$D$11,$E$11),0),ROUNDUP(MIN(G121*$D$11,$E$11),0)),0))</f>
        <v/>
      </c>
      <c r="L121" s="19">
        <f>IF(G121="","",IF(G121&gt;=$C$12,IF(B121="G마켓",ROUNDDOWN(MIN(G121*$D$12,$E$12),0),ROUNDUP(MIN(G121*$D$12,$E$12),0)),0))</f>
        <v/>
      </c>
      <c r="M121" s="19" t="n"/>
      <c r="N121" s="19">
        <f>IF(G121="","",MAX(I121,J121,K121,L121))</f>
        <v/>
      </c>
      <c r="O121" s="19">
        <f>IF(G121="","",G121-N121)</f>
        <v/>
      </c>
      <c r="P121" s="19" t="n"/>
      <c r="Q121" s="19">
        <f>IF(O121="","",IF(O121&gt;=$J$9,IF(B121="G마켓",ROUNDDOWN(MIN(O121*$K$9,$L$9),0),ROUNDUP(MIN(O121*$K$9,$L$9),0)),0))</f>
        <v/>
      </c>
      <c r="R121" s="19">
        <f>IF(O121="","",IF(O121&gt;=$J$10,IF(B121="G마켓",ROUNDDOWN(MIN(O121*$K$10,$L$10),0),ROUNDUP(MIN(O121*$K$10,$L$10),0)),0))</f>
        <v/>
      </c>
      <c r="S121" s="19">
        <f>IF(O121="","",IF(O121&gt;=$J$11,IF(B121="G마켓",ROUNDDOWN(MIN(O121*$K$11,$L$11),0),ROUNDUP(MIN(O121*$K$11,$L$11),0)),0))</f>
        <v/>
      </c>
      <c r="T121" s="19">
        <f>IF(O121="","",MAX(Q121,R121,S121))</f>
        <v/>
      </c>
      <c r="U121" s="19">
        <f>IF(O121="","",O121-T121)</f>
        <v/>
      </c>
      <c r="V121" s="19">
        <f>IF(O121="","",IF(B121="G마켓",ROUNDDOWN(MAX(Q121*$N$9,R121*$N$10,S121*$N$11),0),ROUNDUP(MAX(Q121*$N$9,R121*$N$10,S121*$N$11),0)))</f>
        <v/>
      </c>
      <c r="W121" s="19">
        <f>IF(G121="","",IF(B121="G마켓",ROUNDDOWN(G121-G121*$D$3-V121,0),ROUNDUP(G121-G121*$D$3-V121,0)))</f>
        <v/>
      </c>
    </row>
    <row r="122">
      <c r="B122" s="18" t="n"/>
      <c r="C122" s="18" t="n"/>
      <c r="D122" s="18" t="n"/>
      <c r="E122" s="19" t="n"/>
      <c r="F122" s="19" t="n"/>
      <c r="G122" s="19">
        <f>IF(E122="","",E122-N(F122))</f>
        <v/>
      </c>
      <c r="H122" s="19" t="n"/>
      <c r="I122" s="19">
        <f>IF(G122="","",IF(G122&gt;=$C$9,IF(B122="G마켓",ROUNDDOWN(MIN(G122*$D$9,$E$9),0),ROUNDUP(MIN(G122*$D$9,$E$9),0)),0))</f>
        <v/>
      </c>
      <c r="J122" s="19">
        <f>IF(G122="","",IF(G122&gt;=$C$10,IF(B122="G마켓",ROUNDDOWN(MIN(G122*$D$10,$E$10),0),ROUNDUP(MIN(G122*$D$10,$E$10),0)),0))</f>
        <v/>
      </c>
      <c r="K122" s="19">
        <f>IF(G122="","",IF(G122&gt;=$C$11,IF(B122="G마켓",ROUNDDOWN(MIN(G122*$D$11,$E$11),0),ROUNDUP(MIN(G122*$D$11,$E$11),0)),0))</f>
        <v/>
      </c>
      <c r="L122" s="19">
        <f>IF(G122="","",IF(G122&gt;=$C$12,IF(B122="G마켓",ROUNDDOWN(MIN(G122*$D$12,$E$12),0),ROUNDUP(MIN(G122*$D$12,$E$12),0)),0))</f>
        <v/>
      </c>
      <c r="M122" s="19" t="n"/>
      <c r="N122" s="19">
        <f>IF(G122="","",MAX(I122,J122,K122,L122))</f>
        <v/>
      </c>
      <c r="O122" s="19">
        <f>IF(G122="","",G122-N122)</f>
        <v/>
      </c>
      <c r="P122" s="19" t="n"/>
      <c r="Q122" s="19">
        <f>IF(O122="","",IF(O122&gt;=$J$9,IF(B122="G마켓",ROUNDDOWN(MIN(O122*$K$9,$L$9),0),ROUNDUP(MIN(O122*$K$9,$L$9),0)),0))</f>
        <v/>
      </c>
      <c r="R122" s="19">
        <f>IF(O122="","",IF(O122&gt;=$J$10,IF(B122="G마켓",ROUNDDOWN(MIN(O122*$K$10,$L$10),0),ROUNDUP(MIN(O122*$K$10,$L$10),0)),0))</f>
        <v/>
      </c>
      <c r="S122" s="19">
        <f>IF(O122="","",IF(O122&gt;=$J$11,IF(B122="G마켓",ROUNDDOWN(MIN(O122*$K$11,$L$11),0),ROUNDUP(MIN(O122*$K$11,$L$11),0)),0))</f>
        <v/>
      </c>
      <c r="T122" s="19">
        <f>IF(O122="","",MAX(Q122,R122,S122))</f>
        <v/>
      </c>
      <c r="U122" s="19">
        <f>IF(O122="","",O122-T122)</f>
        <v/>
      </c>
      <c r="V122" s="19">
        <f>IF(O122="","",IF(B122="G마켓",ROUNDDOWN(MAX(Q122*$N$9,R122*$N$10,S122*$N$11),0),ROUNDUP(MAX(Q122*$N$9,R122*$N$10,S122*$N$11),0)))</f>
        <v/>
      </c>
      <c r="W122" s="19">
        <f>IF(G122="","",IF(B122="G마켓",ROUNDDOWN(G122-G122*$D$3-V122,0),ROUNDUP(G122-G122*$D$3-V122,0)))</f>
        <v/>
      </c>
    </row>
    <row r="123">
      <c r="B123" s="18" t="n"/>
      <c r="C123" s="18" t="n"/>
      <c r="D123" s="18" t="n"/>
      <c r="E123" s="19" t="n"/>
      <c r="F123" s="19" t="n"/>
      <c r="G123" s="19">
        <f>IF(E123="","",E123-N(F123))</f>
        <v/>
      </c>
      <c r="H123" s="19" t="n"/>
      <c r="I123" s="19">
        <f>IF(G123="","",IF(G123&gt;=$C$9,IF(B123="G마켓",ROUNDDOWN(MIN(G123*$D$9,$E$9),0),ROUNDUP(MIN(G123*$D$9,$E$9),0)),0))</f>
        <v/>
      </c>
      <c r="J123" s="19">
        <f>IF(G123="","",IF(G123&gt;=$C$10,IF(B123="G마켓",ROUNDDOWN(MIN(G123*$D$10,$E$10),0),ROUNDUP(MIN(G123*$D$10,$E$10),0)),0))</f>
        <v/>
      </c>
      <c r="K123" s="19">
        <f>IF(G123="","",IF(G123&gt;=$C$11,IF(B123="G마켓",ROUNDDOWN(MIN(G123*$D$11,$E$11),0),ROUNDUP(MIN(G123*$D$11,$E$11),0)),0))</f>
        <v/>
      </c>
      <c r="L123" s="19">
        <f>IF(G123="","",IF(G123&gt;=$C$12,IF(B123="G마켓",ROUNDDOWN(MIN(G123*$D$12,$E$12),0),ROUNDUP(MIN(G123*$D$12,$E$12),0)),0))</f>
        <v/>
      </c>
      <c r="M123" s="19" t="n"/>
      <c r="N123" s="19">
        <f>IF(G123="","",MAX(I123,J123,K123,L123))</f>
        <v/>
      </c>
      <c r="O123" s="19">
        <f>IF(G123="","",G123-N123)</f>
        <v/>
      </c>
      <c r="P123" s="19" t="n"/>
      <c r="Q123" s="19">
        <f>IF(O123="","",IF(O123&gt;=$J$9,IF(B123="G마켓",ROUNDDOWN(MIN(O123*$K$9,$L$9),0),ROUNDUP(MIN(O123*$K$9,$L$9),0)),0))</f>
        <v/>
      </c>
      <c r="R123" s="19">
        <f>IF(O123="","",IF(O123&gt;=$J$10,IF(B123="G마켓",ROUNDDOWN(MIN(O123*$K$10,$L$10),0),ROUNDUP(MIN(O123*$K$10,$L$10),0)),0))</f>
        <v/>
      </c>
      <c r="S123" s="19">
        <f>IF(O123="","",IF(O123&gt;=$J$11,IF(B123="G마켓",ROUNDDOWN(MIN(O123*$K$11,$L$11),0),ROUNDUP(MIN(O123*$K$11,$L$11),0)),0))</f>
        <v/>
      </c>
      <c r="T123" s="19">
        <f>IF(O123="","",MAX(Q123,R123,S123))</f>
        <v/>
      </c>
      <c r="U123" s="19">
        <f>IF(O123="","",O123-T123)</f>
        <v/>
      </c>
      <c r="V123" s="19">
        <f>IF(O123="","",IF(B123="G마켓",ROUNDDOWN(MAX(Q123*$N$9,R123*$N$10,S123*$N$11),0),ROUNDUP(MAX(Q123*$N$9,R123*$N$10,S123*$N$11),0)))</f>
        <v/>
      </c>
      <c r="W123" s="19">
        <f>IF(G123="","",IF(B123="G마켓",ROUNDDOWN(G123-G123*$D$3-V123,0),ROUNDUP(G123-G123*$D$3-V123,0)))</f>
        <v/>
      </c>
    </row>
    <row r="124">
      <c r="B124" s="18" t="n"/>
      <c r="C124" s="18" t="n"/>
      <c r="D124" s="18" t="n"/>
      <c r="E124" s="19" t="n"/>
      <c r="F124" s="19" t="n"/>
      <c r="G124" s="19">
        <f>IF(E124="","",E124-N(F124))</f>
        <v/>
      </c>
      <c r="H124" s="19" t="n"/>
      <c r="I124" s="19">
        <f>IF(G124="","",IF(G124&gt;=$C$9,IF(B124="G마켓",ROUNDDOWN(MIN(G124*$D$9,$E$9),0),ROUNDUP(MIN(G124*$D$9,$E$9),0)),0))</f>
        <v/>
      </c>
      <c r="J124" s="19">
        <f>IF(G124="","",IF(G124&gt;=$C$10,IF(B124="G마켓",ROUNDDOWN(MIN(G124*$D$10,$E$10),0),ROUNDUP(MIN(G124*$D$10,$E$10),0)),0))</f>
        <v/>
      </c>
      <c r="K124" s="19">
        <f>IF(G124="","",IF(G124&gt;=$C$11,IF(B124="G마켓",ROUNDDOWN(MIN(G124*$D$11,$E$11),0),ROUNDUP(MIN(G124*$D$11,$E$11),0)),0))</f>
        <v/>
      </c>
      <c r="L124" s="19">
        <f>IF(G124="","",IF(G124&gt;=$C$12,IF(B124="G마켓",ROUNDDOWN(MIN(G124*$D$12,$E$12),0),ROUNDUP(MIN(G124*$D$12,$E$12),0)),0))</f>
        <v/>
      </c>
      <c r="M124" s="19" t="n"/>
      <c r="N124" s="19">
        <f>IF(G124="","",MAX(I124,J124,K124,L124))</f>
        <v/>
      </c>
      <c r="O124" s="19">
        <f>IF(G124="","",G124-N124)</f>
        <v/>
      </c>
      <c r="P124" s="19" t="n"/>
      <c r="Q124" s="19">
        <f>IF(O124="","",IF(O124&gt;=$J$9,IF(B124="G마켓",ROUNDDOWN(MIN(O124*$K$9,$L$9),0),ROUNDUP(MIN(O124*$K$9,$L$9),0)),0))</f>
        <v/>
      </c>
      <c r="R124" s="19">
        <f>IF(O124="","",IF(O124&gt;=$J$10,IF(B124="G마켓",ROUNDDOWN(MIN(O124*$K$10,$L$10),0),ROUNDUP(MIN(O124*$K$10,$L$10),0)),0))</f>
        <v/>
      </c>
      <c r="S124" s="19">
        <f>IF(O124="","",IF(O124&gt;=$J$11,IF(B124="G마켓",ROUNDDOWN(MIN(O124*$K$11,$L$11),0),ROUNDUP(MIN(O124*$K$11,$L$11),0)),0))</f>
        <v/>
      </c>
      <c r="T124" s="19">
        <f>IF(O124="","",MAX(Q124,R124,S124))</f>
        <v/>
      </c>
      <c r="U124" s="19">
        <f>IF(O124="","",O124-T124)</f>
        <v/>
      </c>
      <c r="V124" s="19">
        <f>IF(O124="","",IF(B124="G마켓",ROUNDDOWN(MAX(Q124*$N$9,R124*$N$10,S124*$N$11),0),ROUNDUP(MAX(Q124*$N$9,R124*$N$10,S124*$N$11),0)))</f>
        <v/>
      </c>
      <c r="W124" s="19">
        <f>IF(G124="","",IF(B124="G마켓",ROUNDDOWN(G124-G124*$D$3-V124,0),ROUNDUP(G124-G124*$D$3-V124,0)))</f>
        <v/>
      </c>
    </row>
    <row r="125">
      <c r="B125" s="18" t="n"/>
      <c r="C125" s="18" t="n"/>
      <c r="D125" s="18" t="n"/>
      <c r="E125" s="19" t="n"/>
      <c r="F125" s="19" t="n"/>
      <c r="G125" s="19">
        <f>IF(E125="","",E125-N(F125))</f>
        <v/>
      </c>
      <c r="H125" s="19" t="n"/>
      <c r="I125" s="19">
        <f>IF(G125="","",IF(G125&gt;=$C$9,IF(B125="G마켓",ROUNDDOWN(MIN(G125*$D$9,$E$9),0),ROUNDUP(MIN(G125*$D$9,$E$9),0)),0))</f>
        <v/>
      </c>
      <c r="J125" s="19">
        <f>IF(G125="","",IF(G125&gt;=$C$10,IF(B125="G마켓",ROUNDDOWN(MIN(G125*$D$10,$E$10),0),ROUNDUP(MIN(G125*$D$10,$E$10),0)),0))</f>
        <v/>
      </c>
      <c r="K125" s="19">
        <f>IF(G125="","",IF(G125&gt;=$C$11,IF(B125="G마켓",ROUNDDOWN(MIN(G125*$D$11,$E$11),0),ROUNDUP(MIN(G125*$D$11,$E$11),0)),0))</f>
        <v/>
      </c>
      <c r="L125" s="19">
        <f>IF(G125="","",IF(G125&gt;=$C$12,IF(B125="G마켓",ROUNDDOWN(MIN(G125*$D$12,$E$12),0),ROUNDUP(MIN(G125*$D$12,$E$12),0)),0))</f>
        <v/>
      </c>
      <c r="M125" s="19" t="n"/>
      <c r="N125" s="19">
        <f>IF(G125="","",MAX(I125,J125,K125,L125))</f>
        <v/>
      </c>
      <c r="O125" s="19">
        <f>IF(G125="","",G125-N125)</f>
        <v/>
      </c>
      <c r="P125" s="19" t="n"/>
      <c r="Q125" s="19">
        <f>IF(O125="","",IF(O125&gt;=$J$9,IF(B125="G마켓",ROUNDDOWN(MIN(O125*$K$9,$L$9),0),ROUNDUP(MIN(O125*$K$9,$L$9),0)),0))</f>
        <v/>
      </c>
      <c r="R125" s="19">
        <f>IF(O125="","",IF(O125&gt;=$J$10,IF(B125="G마켓",ROUNDDOWN(MIN(O125*$K$10,$L$10),0),ROUNDUP(MIN(O125*$K$10,$L$10),0)),0))</f>
        <v/>
      </c>
      <c r="S125" s="19">
        <f>IF(O125="","",IF(O125&gt;=$J$11,IF(B125="G마켓",ROUNDDOWN(MIN(O125*$K$11,$L$11),0),ROUNDUP(MIN(O125*$K$11,$L$11),0)),0))</f>
        <v/>
      </c>
      <c r="T125" s="19">
        <f>IF(O125="","",MAX(Q125,R125,S125))</f>
        <v/>
      </c>
      <c r="U125" s="19">
        <f>IF(O125="","",O125-T125)</f>
        <v/>
      </c>
      <c r="V125" s="19">
        <f>IF(O125="","",IF(B125="G마켓",ROUNDDOWN(MAX(Q125*$N$9,R125*$N$10,S125*$N$11),0),ROUNDUP(MAX(Q125*$N$9,R125*$N$10,S125*$N$11),0)))</f>
        <v/>
      </c>
      <c r="W125" s="19">
        <f>IF(G125="","",IF(B125="G마켓",ROUNDDOWN(G125-G125*$D$3-V125,0),ROUNDUP(G125-G125*$D$3-V125,0)))</f>
        <v/>
      </c>
    </row>
    <row r="126">
      <c r="B126" s="18" t="n"/>
      <c r="C126" s="18" t="n"/>
      <c r="D126" s="18" t="n"/>
      <c r="E126" s="19" t="n"/>
      <c r="F126" s="19" t="n"/>
      <c r="G126" s="19">
        <f>IF(E126="","",E126-N(F126))</f>
        <v/>
      </c>
      <c r="H126" s="19" t="n"/>
      <c r="I126" s="19">
        <f>IF(G126="","",IF(G126&gt;=$C$9,IF(B126="G마켓",ROUNDDOWN(MIN(G126*$D$9,$E$9),0),ROUNDUP(MIN(G126*$D$9,$E$9),0)),0))</f>
        <v/>
      </c>
      <c r="J126" s="19">
        <f>IF(G126="","",IF(G126&gt;=$C$10,IF(B126="G마켓",ROUNDDOWN(MIN(G126*$D$10,$E$10),0),ROUNDUP(MIN(G126*$D$10,$E$10),0)),0))</f>
        <v/>
      </c>
      <c r="K126" s="19">
        <f>IF(G126="","",IF(G126&gt;=$C$11,IF(B126="G마켓",ROUNDDOWN(MIN(G126*$D$11,$E$11),0),ROUNDUP(MIN(G126*$D$11,$E$11),0)),0))</f>
        <v/>
      </c>
      <c r="L126" s="19">
        <f>IF(G126="","",IF(G126&gt;=$C$12,IF(B126="G마켓",ROUNDDOWN(MIN(G126*$D$12,$E$12),0),ROUNDUP(MIN(G126*$D$12,$E$12),0)),0))</f>
        <v/>
      </c>
      <c r="M126" s="19" t="n"/>
      <c r="N126" s="19">
        <f>IF(G126="","",MAX(I126,J126,K126,L126))</f>
        <v/>
      </c>
      <c r="O126" s="19">
        <f>IF(G126="","",G126-N126)</f>
        <v/>
      </c>
      <c r="P126" s="19" t="n"/>
      <c r="Q126" s="19">
        <f>IF(O126="","",IF(O126&gt;=$J$9,IF(B126="G마켓",ROUNDDOWN(MIN(O126*$K$9,$L$9),0),ROUNDUP(MIN(O126*$K$9,$L$9),0)),0))</f>
        <v/>
      </c>
      <c r="R126" s="19">
        <f>IF(O126="","",IF(O126&gt;=$J$10,IF(B126="G마켓",ROUNDDOWN(MIN(O126*$K$10,$L$10),0),ROUNDUP(MIN(O126*$K$10,$L$10),0)),0))</f>
        <v/>
      </c>
      <c r="S126" s="19">
        <f>IF(O126="","",IF(O126&gt;=$J$11,IF(B126="G마켓",ROUNDDOWN(MIN(O126*$K$11,$L$11),0),ROUNDUP(MIN(O126*$K$11,$L$11),0)),0))</f>
        <v/>
      </c>
      <c r="T126" s="19">
        <f>IF(O126="","",MAX(Q126,R126,S126))</f>
        <v/>
      </c>
      <c r="U126" s="19">
        <f>IF(O126="","",O126-T126)</f>
        <v/>
      </c>
      <c r="V126" s="19">
        <f>IF(O126="","",IF(B126="G마켓",ROUNDDOWN(MAX(Q126*$N$9,R126*$N$10,S126*$N$11),0),ROUNDUP(MAX(Q126*$N$9,R126*$N$10,S126*$N$11),0)))</f>
        <v/>
      </c>
      <c r="W126" s="19">
        <f>IF(G126="","",IF(B126="G마켓",ROUNDDOWN(G126-G126*$D$3-V126,0),ROUNDUP(G126-G126*$D$3-V126,0)))</f>
        <v/>
      </c>
    </row>
    <row r="127">
      <c r="B127" s="18" t="n"/>
      <c r="C127" s="18" t="n"/>
      <c r="D127" s="18" t="n"/>
      <c r="E127" s="19" t="n"/>
      <c r="F127" s="19" t="n"/>
      <c r="G127" s="19">
        <f>IF(E127="","",E127-N(F127))</f>
        <v/>
      </c>
      <c r="H127" s="19" t="n"/>
      <c r="I127" s="19">
        <f>IF(G127="","",IF(G127&gt;=$C$9,IF(B127="G마켓",ROUNDDOWN(MIN(G127*$D$9,$E$9),0),ROUNDUP(MIN(G127*$D$9,$E$9),0)),0))</f>
        <v/>
      </c>
      <c r="J127" s="19">
        <f>IF(G127="","",IF(G127&gt;=$C$10,IF(B127="G마켓",ROUNDDOWN(MIN(G127*$D$10,$E$10),0),ROUNDUP(MIN(G127*$D$10,$E$10),0)),0))</f>
        <v/>
      </c>
      <c r="K127" s="19">
        <f>IF(G127="","",IF(G127&gt;=$C$11,IF(B127="G마켓",ROUNDDOWN(MIN(G127*$D$11,$E$11),0),ROUNDUP(MIN(G127*$D$11,$E$11),0)),0))</f>
        <v/>
      </c>
      <c r="L127" s="19">
        <f>IF(G127="","",IF(G127&gt;=$C$12,IF(B127="G마켓",ROUNDDOWN(MIN(G127*$D$12,$E$12),0),ROUNDUP(MIN(G127*$D$12,$E$12),0)),0))</f>
        <v/>
      </c>
      <c r="M127" s="19" t="n"/>
      <c r="N127" s="19">
        <f>IF(G127="","",MAX(I127,J127,K127,L127))</f>
        <v/>
      </c>
      <c r="O127" s="19">
        <f>IF(G127="","",G127-N127)</f>
        <v/>
      </c>
      <c r="P127" s="19" t="n"/>
      <c r="Q127" s="19">
        <f>IF(O127="","",IF(O127&gt;=$J$9,IF(B127="G마켓",ROUNDDOWN(MIN(O127*$K$9,$L$9),0),ROUNDUP(MIN(O127*$K$9,$L$9),0)),0))</f>
        <v/>
      </c>
      <c r="R127" s="19">
        <f>IF(O127="","",IF(O127&gt;=$J$10,IF(B127="G마켓",ROUNDDOWN(MIN(O127*$K$10,$L$10),0),ROUNDUP(MIN(O127*$K$10,$L$10),0)),0))</f>
        <v/>
      </c>
      <c r="S127" s="19">
        <f>IF(O127="","",IF(O127&gt;=$J$11,IF(B127="G마켓",ROUNDDOWN(MIN(O127*$K$11,$L$11),0),ROUNDUP(MIN(O127*$K$11,$L$11),0)),0))</f>
        <v/>
      </c>
      <c r="T127" s="19">
        <f>IF(O127="","",MAX(Q127,R127,S127))</f>
        <v/>
      </c>
      <c r="U127" s="19">
        <f>IF(O127="","",O127-T127)</f>
        <v/>
      </c>
      <c r="V127" s="19">
        <f>IF(O127="","",IF(B127="G마켓",ROUNDDOWN(MAX(Q127*$N$9,R127*$N$10,S127*$N$11),0),ROUNDUP(MAX(Q127*$N$9,R127*$N$10,S127*$N$11),0)))</f>
        <v/>
      </c>
      <c r="W127" s="19">
        <f>IF(G127="","",IF(B127="G마켓",ROUNDDOWN(G127-G127*$D$3-V127,0),ROUNDUP(G127-G127*$D$3-V127,0)))</f>
        <v/>
      </c>
    </row>
    <row r="128">
      <c r="B128" s="18" t="n"/>
      <c r="C128" s="18" t="n"/>
      <c r="D128" s="18" t="n"/>
      <c r="E128" s="19" t="n"/>
      <c r="F128" s="19" t="n"/>
      <c r="G128" s="19">
        <f>IF(E128="","",E128-N(F128))</f>
        <v/>
      </c>
      <c r="H128" s="19" t="n"/>
      <c r="I128" s="19">
        <f>IF(G128="","",IF(G128&gt;=$C$9,IF(B128="G마켓",ROUNDDOWN(MIN(G128*$D$9,$E$9),0),ROUNDUP(MIN(G128*$D$9,$E$9),0)),0))</f>
        <v/>
      </c>
      <c r="J128" s="19">
        <f>IF(G128="","",IF(G128&gt;=$C$10,IF(B128="G마켓",ROUNDDOWN(MIN(G128*$D$10,$E$10),0),ROUNDUP(MIN(G128*$D$10,$E$10),0)),0))</f>
        <v/>
      </c>
      <c r="K128" s="19">
        <f>IF(G128="","",IF(G128&gt;=$C$11,IF(B128="G마켓",ROUNDDOWN(MIN(G128*$D$11,$E$11),0),ROUNDUP(MIN(G128*$D$11,$E$11),0)),0))</f>
        <v/>
      </c>
      <c r="L128" s="19">
        <f>IF(G128="","",IF(G128&gt;=$C$12,IF(B128="G마켓",ROUNDDOWN(MIN(G128*$D$12,$E$12),0),ROUNDUP(MIN(G128*$D$12,$E$12),0)),0))</f>
        <v/>
      </c>
      <c r="M128" s="19" t="n"/>
      <c r="N128" s="19">
        <f>IF(G128="","",MAX(I128,J128,K128,L128))</f>
        <v/>
      </c>
      <c r="O128" s="19">
        <f>IF(G128="","",G128-N128)</f>
        <v/>
      </c>
      <c r="P128" s="19" t="n"/>
      <c r="Q128" s="19">
        <f>IF(O128="","",IF(O128&gt;=$J$9,IF(B128="G마켓",ROUNDDOWN(MIN(O128*$K$9,$L$9),0),ROUNDUP(MIN(O128*$K$9,$L$9),0)),0))</f>
        <v/>
      </c>
      <c r="R128" s="19">
        <f>IF(O128="","",IF(O128&gt;=$J$10,IF(B128="G마켓",ROUNDDOWN(MIN(O128*$K$10,$L$10),0),ROUNDUP(MIN(O128*$K$10,$L$10),0)),0))</f>
        <v/>
      </c>
      <c r="S128" s="19">
        <f>IF(O128="","",IF(O128&gt;=$J$11,IF(B128="G마켓",ROUNDDOWN(MIN(O128*$K$11,$L$11),0),ROUNDUP(MIN(O128*$K$11,$L$11),0)),0))</f>
        <v/>
      </c>
      <c r="T128" s="19">
        <f>IF(O128="","",MAX(Q128,R128,S128))</f>
        <v/>
      </c>
      <c r="U128" s="19">
        <f>IF(O128="","",O128-T128)</f>
        <v/>
      </c>
      <c r="V128" s="19">
        <f>IF(O128="","",IF(B128="G마켓",ROUNDDOWN(MAX(Q128*$N$9,R128*$N$10,S128*$N$11),0),ROUNDUP(MAX(Q128*$N$9,R128*$N$10,S128*$N$11),0)))</f>
        <v/>
      </c>
      <c r="W128" s="19">
        <f>IF(G128="","",IF(B128="G마켓",ROUNDDOWN(G128-G128*$D$3-V128,0),ROUNDUP(G128-G128*$D$3-V128,0)))</f>
        <v/>
      </c>
    </row>
    <row r="129">
      <c r="B129" s="18" t="n"/>
      <c r="C129" s="18" t="n"/>
      <c r="D129" s="18" t="n"/>
      <c r="E129" s="19" t="n"/>
      <c r="F129" s="19" t="n"/>
      <c r="G129" s="19">
        <f>IF(E129="","",E129-N(F129))</f>
        <v/>
      </c>
      <c r="H129" s="19" t="n"/>
      <c r="I129" s="19">
        <f>IF(G129="","",IF(G129&gt;=$C$9,IF(B129="G마켓",ROUNDDOWN(MIN(G129*$D$9,$E$9),0),ROUNDUP(MIN(G129*$D$9,$E$9),0)),0))</f>
        <v/>
      </c>
      <c r="J129" s="19">
        <f>IF(G129="","",IF(G129&gt;=$C$10,IF(B129="G마켓",ROUNDDOWN(MIN(G129*$D$10,$E$10),0),ROUNDUP(MIN(G129*$D$10,$E$10),0)),0))</f>
        <v/>
      </c>
      <c r="K129" s="19">
        <f>IF(G129="","",IF(G129&gt;=$C$11,IF(B129="G마켓",ROUNDDOWN(MIN(G129*$D$11,$E$11),0),ROUNDUP(MIN(G129*$D$11,$E$11),0)),0))</f>
        <v/>
      </c>
      <c r="L129" s="19">
        <f>IF(G129="","",IF(G129&gt;=$C$12,IF(B129="G마켓",ROUNDDOWN(MIN(G129*$D$12,$E$12),0),ROUNDUP(MIN(G129*$D$12,$E$12),0)),0))</f>
        <v/>
      </c>
      <c r="M129" s="19" t="n"/>
      <c r="N129" s="19">
        <f>IF(G129="","",MAX(I129,J129,K129,L129))</f>
        <v/>
      </c>
      <c r="O129" s="19">
        <f>IF(G129="","",G129-N129)</f>
        <v/>
      </c>
      <c r="P129" s="19" t="n"/>
      <c r="Q129" s="19">
        <f>IF(O129="","",IF(O129&gt;=$J$9,IF(B129="G마켓",ROUNDDOWN(MIN(O129*$K$9,$L$9),0),ROUNDUP(MIN(O129*$K$9,$L$9),0)),0))</f>
        <v/>
      </c>
      <c r="R129" s="19">
        <f>IF(O129="","",IF(O129&gt;=$J$10,IF(B129="G마켓",ROUNDDOWN(MIN(O129*$K$10,$L$10),0),ROUNDUP(MIN(O129*$K$10,$L$10),0)),0))</f>
        <v/>
      </c>
      <c r="S129" s="19">
        <f>IF(O129="","",IF(O129&gt;=$J$11,IF(B129="G마켓",ROUNDDOWN(MIN(O129*$K$11,$L$11),0),ROUNDUP(MIN(O129*$K$11,$L$11),0)),0))</f>
        <v/>
      </c>
      <c r="T129" s="19">
        <f>IF(O129="","",MAX(Q129,R129,S129))</f>
        <v/>
      </c>
      <c r="U129" s="19">
        <f>IF(O129="","",O129-T129)</f>
        <v/>
      </c>
      <c r="V129" s="19">
        <f>IF(O129="","",IF(B129="G마켓",ROUNDDOWN(MAX(Q129*$N$9,R129*$N$10,S129*$N$11),0),ROUNDUP(MAX(Q129*$N$9,R129*$N$10,S129*$N$11),0)))</f>
        <v/>
      </c>
      <c r="W129" s="19">
        <f>IF(G129="","",IF(B129="G마켓",ROUNDDOWN(G129-G129*$D$3-V129,0),ROUNDUP(G129-G129*$D$3-V129,0)))</f>
        <v/>
      </c>
    </row>
    <row r="130">
      <c r="B130" s="18" t="n"/>
      <c r="C130" s="18" t="n"/>
      <c r="D130" s="18" t="n"/>
      <c r="E130" s="19" t="n"/>
      <c r="F130" s="19" t="n"/>
      <c r="G130" s="19">
        <f>IF(E130="","",E130-N(F130))</f>
        <v/>
      </c>
      <c r="H130" s="19" t="n"/>
      <c r="I130" s="19">
        <f>IF(G130="","",IF(G130&gt;=$C$9,IF(B130="G마켓",ROUNDDOWN(MIN(G130*$D$9,$E$9),0),ROUNDUP(MIN(G130*$D$9,$E$9),0)),0))</f>
        <v/>
      </c>
      <c r="J130" s="19">
        <f>IF(G130="","",IF(G130&gt;=$C$10,IF(B130="G마켓",ROUNDDOWN(MIN(G130*$D$10,$E$10),0),ROUNDUP(MIN(G130*$D$10,$E$10),0)),0))</f>
        <v/>
      </c>
      <c r="K130" s="19">
        <f>IF(G130="","",IF(G130&gt;=$C$11,IF(B130="G마켓",ROUNDDOWN(MIN(G130*$D$11,$E$11),0),ROUNDUP(MIN(G130*$D$11,$E$11),0)),0))</f>
        <v/>
      </c>
      <c r="L130" s="19">
        <f>IF(G130="","",IF(G130&gt;=$C$12,IF(B130="G마켓",ROUNDDOWN(MIN(G130*$D$12,$E$12),0),ROUNDUP(MIN(G130*$D$12,$E$12),0)),0))</f>
        <v/>
      </c>
      <c r="M130" s="19" t="n"/>
      <c r="N130" s="19">
        <f>IF(G130="","",MAX(I130,J130,K130,L130))</f>
        <v/>
      </c>
      <c r="O130" s="19">
        <f>IF(G130="","",G130-N130)</f>
        <v/>
      </c>
      <c r="P130" s="19" t="n"/>
      <c r="Q130" s="19">
        <f>IF(O130="","",IF(O130&gt;=$J$9,IF(B130="G마켓",ROUNDDOWN(MIN(O130*$K$9,$L$9),0),ROUNDUP(MIN(O130*$K$9,$L$9),0)),0))</f>
        <v/>
      </c>
      <c r="R130" s="19">
        <f>IF(O130="","",IF(O130&gt;=$J$10,IF(B130="G마켓",ROUNDDOWN(MIN(O130*$K$10,$L$10),0),ROUNDUP(MIN(O130*$K$10,$L$10),0)),0))</f>
        <v/>
      </c>
      <c r="S130" s="19">
        <f>IF(O130="","",IF(O130&gt;=$J$11,IF(B130="G마켓",ROUNDDOWN(MIN(O130*$K$11,$L$11),0),ROUNDUP(MIN(O130*$K$11,$L$11),0)),0))</f>
        <v/>
      </c>
      <c r="T130" s="19">
        <f>IF(O130="","",MAX(Q130,R130,S130))</f>
        <v/>
      </c>
      <c r="U130" s="19">
        <f>IF(O130="","",O130-T130)</f>
        <v/>
      </c>
      <c r="V130" s="19">
        <f>IF(O130="","",IF(B130="G마켓",ROUNDDOWN(MAX(Q130*$N$9,R130*$N$10,S130*$N$11),0),ROUNDUP(MAX(Q130*$N$9,R130*$N$10,S130*$N$11),0)))</f>
        <v/>
      </c>
      <c r="W130" s="19">
        <f>IF(G130="","",IF(B130="G마켓",ROUNDDOWN(G130-G130*$D$3-V130,0),ROUNDUP(G130-G130*$D$3-V130,0)))</f>
        <v/>
      </c>
    </row>
    <row r="131">
      <c r="B131" s="18" t="n"/>
      <c r="C131" s="18" t="n"/>
      <c r="D131" s="18" t="n"/>
      <c r="E131" s="19" t="n"/>
      <c r="F131" s="19" t="n"/>
      <c r="G131" s="19">
        <f>IF(E131="","",E131-N(F131))</f>
        <v/>
      </c>
      <c r="H131" s="19" t="n"/>
      <c r="I131" s="19">
        <f>IF(G131="","",IF(G131&gt;=$C$9,IF(B131="G마켓",ROUNDDOWN(MIN(G131*$D$9,$E$9),0),ROUNDUP(MIN(G131*$D$9,$E$9),0)),0))</f>
        <v/>
      </c>
      <c r="J131" s="19">
        <f>IF(G131="","",IF(G131&gt;=$C$10,IF(B131="G마켓",ROUNDDOWN(MIN(G131*$D$10,$E$10),0),ROUNDUP(MIN(G131*$D$10,$E$10),0)),0))</f>
        <v/>
      </c>
      <c r="K131" s="19">
        <f>IF(G131="","",IF(G131&gt;=$C$11,IF(B131="G마켓",ROUNDDOWN(MIN(G131*$D$11,$E$11),0),ROUNDUP(MIN(G131*$D$11,$E$11),0)),0))</f>
        <v/>
      </c>
      <c r="L131" s="19">
        <f>IF(G131="","",IF(G131&gt;=$C$12,IF(B131="G마켓",ROUNDDOWN(MIN(G131*$D$12,$E$12),0),ROUNDUP(MIN(G131*$D$12,$E$12),0)),0))</f>
        <v/>
      </c>
      <c r="M131" s="19" t="n"/>
      <c r="N131" s="19">
        <f>IF(G131="","",MAX(I131,J131,K131,L131))</f>
        <v/>
      </c>
      <c r="O131" s="19">
        <f>IF(G131="","",G131-N131)</f>
        <v/>
      </c>
      <c r="P131" s="19" t="n"/>
      <c r="Q131" s="19">
        <f>IF(O131="","",IF(O131&gt;=$J$9,IF(B131="G마켓",ROUNDDOWN(MIN(O131*$K$9,$L$9),0),ROUNDUP(MIN(O131*$K$9,$L$9),0)),0))</f>
        <v/>
      </c>
      <c r="R131" s="19">
        <f>IF(O131="","",IF(O131&gt;=$J$10,IF(B131="G마켓",ROUNDDOWN(MIN(O131*$K$10,$L$10),0),ROUNDUP(MIN(O131*$K$10,$L$10),0)),0))</f>
        <v/>
      </c>
      <c r="S131" s="19">
        <f>IF(O131="","",IF(O131&gt;=$J$11,IF(B131="G마켓",ROUNDDOWN(MIN(O131*$K$11,$L$11),0),ROUNDUP(MIN(O131*$K$11,$L$11),0)),0))</f>
        <v/>
      </c>
      <c r="T131" s="19">
        <f>IF(O131="","",MAX(Q131,R131,S131))</f>
        <v/>
      </c>
      <c r="U131" s="19">
        <f>IF(O131="","",O131-T131)</f>
        <v/>
      </c>
      <c r="V131" s="19">
        <f>IF(O131="","",IF(B131="G마켓",ROUNDDOWN(MAX(Q131*$N$9,R131*$N$10,S131*$N$11),0),ROUNDUP(MAX(Q131*$N$9,R131*$N$10,S131*$N$11),0)))</f>
        <v/>
      </c>
      <c r="W131" s="19">
        <f>IF(G131="","",IF(B131="G마켓",ROUNDDOWN(G131-G131*$D$3-V131,0),ROUNDUP(G131-G131*$D$3-V131,0)))</f>
        <v/>
      </c>
    </row>
    <row r="132">
      <c r="B132" s="18" t="n"/>
      <c r="C132" s="18" t="n"/>
      <c r="D132" s="18" t="n"/>
      <c r="E132" s="19" t="n"/>
      <c r="F132" s="19" t="n"/>
      <c r="G132" s="19">
        <f>IF(E132="","",E132-N(F132))</f>
        <v/>
      </c>
      <c r="H132" s="19" t="n"/>
      <c r="I132" s="19">
        <f>IF(G132="","",IF(G132&gt;=$C$9,IF(B132="G마켓",ROUNDDOWN(MIN(G132*$D$9,$E$9),0),ROUNDUP(MIN(G132*$D$9,$E$9),0)),0))</f>
        <v/>
      </c>
      <c r="J132" s="19">
        <f>IF(G132="","",IF(G132&gt;=$C$10,IF(B132="G마켓",ROUNDDOWN(MIN(G132*$D$10,$E$10),0),ROUNDUP(MIN(G132*$D$10,$E$10),0)),0))</f>
        <v/>
      </c>
      <c r="K132" s="19">
        <f>IF(G132="","",IF(G132&gt;=$C$11,IF(B132="G마켓",ROUNDDOWN(MIN(G132*$D$11,$E$11),0),ROUNDUP(MIN(G132*$D$11,$E$11),0)),0))</f>
        <v/>
      </c>
      <c r="L132" s="19">
        <f>IF(G132="","",IF(G132&gt;=$C$12,IF(B132="G마켓",ROUNDDOWN(MIN(G132*$D$12,$E$12),0),ROUNDUP(MIN(G132*$D$12,$E$12),0)),0))</f>
        <v/>
      </c>
      <c r="M132" s="19" t="n"/>
      <c r="N132" s="19">
        <f>IF(G132="","",MAX(I132,J132,K132,L132))</f>
        <v/>
      </c>
      <c r="O132" s="19">
        <f>IF(G132="","",G132-N132)</f>
        <v/>
      </c>
      <c r="P132" s="19" t="n"/>
      <c r="Q132" s="19">
        <f>IF(O132="","",IF(O132&gt;=$J$9,IF(B132="G마켓",ROUNDDOWN(MIN(O132*$K$9,$L$9),0),ROUNDUP(MIN(O132*$K$9,$L$9),0)),0))</f>
        <v/>
      </c>
      <c r="R132" s="19">
        <f>IF(O132="","",IF(O132&gt;=$J$10,IF(B132="G마켓",ROUNDDOWN(MIN(O132*$K$10,$L$10),0),ROUNDUP(MIN(O132*$K$10,$L$10),0)),0))</f>
        <v/>
      </c>
      <c r="S132" s="19">
        <f>IF(O132="","",IF(O132&gt;=$J$11,IF(B132="G마켓",ROUNDDOWN(MIN(O132*$K$11,$L$11),0),ROUNDUP(MIN(O132*$K$11,$L$11),0)),0))</f>
        <v/>
      </c>
      <c r="T132" s="19">
        <f>IF(O132="","",MAX(Q132,R132,S132))</f>
        <v/>
      </c>
      <c r="U132" s="19">
        <f>IF(O132="","",O132-T132)</f>
        <v/>
      </c>
      <c r="V132" s="19">
        <f>IF(O132="","",IF(B132="G마켓",ROUNDDOWN(MAX(Q132*$N$9,R132*$N$10,S132*$N$11),0),ROUNDUP(MAX(Q132*$N$9,R132*$N$10,S132*$N$11),0)))</f>
        <v/>
      </c>
      <c r="W132" s="19">
        <f>IF(G132="","",IF(B132="G마켓",ROUNDDOWN(G132-G132*$D$3-V132,0),ROUNDUP(G132-G132*$D$3-V132,0)))</f>
        <v/>
      </c>
    </row>
    <row r="133">
      <c r="B133" s="18" t="n"/>
      <c r="C133" s="18" t="n"/>
      <c r="D133" s="18" t="n"/>
      <c r="E133" s="19" t="n"/>
      <c r="F133" s="19" t="n"/>
      <c r="G133" s="19">
        <f>IF(E133="","",E133-N(F133))</f>
        <v/>
      </c>
      <c r="H133" s="19" t="n"/>
      <c r="I133" s="19">
        <f>IF(G133="","",IF(G133&gt;=$C$9,IF(B133="G마켓",ROUNDDOWN(MIN(G133*$D$9,$E$9),0),ROUNDUP(MIN(G133*$D$9,$E$9),0)),0))</f>
        <v/>
      </c>
      <c r="J133" s="19">
        <f>IF(G133="","",IF(G133&gt;=$C$10,IF(B133="G마켓",ROUNDDOWN(MIN(G133*$D$10,$E$10),0),ROUNDUP(MIN(G133*$D$10,$E$10),0)),0))</f>
        <v/>
      </c>
      <c r="K133" s="19">
        <f>IF(G133="","",IF(G133&gt;=$C$11,IF(B133="G마켓",ROUNDDOWN(MIN(G133*$D$11,$E$11),0),ROUNDUP(MIN(G133*$D$11,$E$11),0)),0))</f>
        <v/>
      </c>
      <c r="L133" s="19">
        <f>IF(G133="","",IF(G133&gt;=$C$12,IF(B133="G마켓",ROUNDDOWN(MIN(G133*$D$12,$E$12),0),ROUNDUP(MIN(G133*$D$12,$E$12),0)),0))</f>
        <v/>
      </c>
      <c r="M133" s="19" t="n"/>
      <c r="N133" s="19">
        <f>IF(G133="","",MAX(I133,J133,K133,L133))</f>
        <v/>
      </c>
      <c r="O133" s="19">
        <f>IF(G133="","",G133-N133)</f>
        <v/>
      </c>
      <c r="P133" s="19" t="n"/>
      <c r="Q133" s="19">
        <f>IF(O133="","",IF(O133&gt;=$J$9,IF(B133="G마켓",ROUNDDOWN(MIN(O133*$K$9,$L$9),0),ROUNDUP(MIN(O133*$K$9,$L$9),0)),0))</f>
        <v/>
      </c>
      <c r="R133" s="19">
        <f>IF(O133="","",IF(O133&gt;=$J$10,IF(B133="G마켓",ROUNDDOWN(MIN(O133*$K$10,$L$10),0),ROUNDUP(MIN(O133*$K$10,$L$10),0)),0))</f>
        <v/>
      </c>
      <c r="S133" s="19">
        <f>IF(O133="","",IF(O133&gt;=$J$11,IF(B133="G마켓",ROUNDDOWN(MIN(O133*$K$11,$L$11),0),ROUNDUP(MIN(O133*$K$11,$L$11),0)),0))</f>
        <v/>
      </c>
      <c r="T133" s="19">
        <f>IF(O133="","",MAX(Q133,R133,S133))</f>
        <v/>
      </c>
      <c r="U133" s="19">
        <f>IF(O133="","",O133-T133)</f>
        <v/>
      </c>
      <c r="V133" s="19">
        <f>IF(O133="","",IF(B133="G마켓",ROUNDDOWN(MAX(Q133*$N$9,R133*$N$10,S133*$N$11),0),ROUNDUP(MAX(Q133*$N$9,R133*$N$10,S133*$N$11),0)))</f>
        <v/>
      </c>
      <c r="W133" s="19">
        <f>IF(G133="","",IF(B133="G마켓",ROUNDDOWN(G133-G133*$D$3-V133,0),ROUNDUP(G133-G133*$D$3-V133,0)))</f>
        <v/>
      </c>
    </row>
    <row r="134">
      <c r="B134" s="18" t="n"/>
      <c r="C134" s="18" t="n"/>
      <c r="D134" s="18" t="n"/>
      <c r="E134" s="19" t="n"/>
      <c r="F134" s="19" t="n"/>
      <c r="G134" s="19">
        <f>IF(E134="","",E134-N(F134))</f>
        <v/>
      </c>
      <c r="H134" s="19" t="n"/>
      <c r="I134" s="19">
        <f>IF(G134="","",IF(G134&gt;=$C$9,IF(B134="G마켓",ROUNDDOWN(MIN(G134*$D$9,$E$9),0),ROUNDUP(MIN(G134*$D$9,$E$9),0)),0))</f>
        <v/>
      </c>
      <c r="J134" s="19">
        <f>IF(G134="","",IF(G134&gt;=$C$10,IF(B134="G마켓",ROUNDDOWN(MIN(G134*$D$10,$E$10),0),ROUNDUP(MIN(G134*$D$10,$E$10),0)),0))</f>
        <v/>
      </c>
      <c r="K134" s="19">
        <f>IF(G134="","",IF(G134&gt;=$C$11,IF(B134="G마켓",ROUNDDOWN(MIN(G134*$D$11,$E$11),0),ROUNDUP(MIN(G134*$D$11,$E$11),0)),0))</f>
        <v/>
      </c>
      <c r="L134" s="19">
        <f>IF(G134="","",IF(G134&gt;=$C$12,IF(B134="G마켓",ROUNDDOWN(MIN(G134*$D$12,$E$12),0),ROUNDUP(MIN(G134*$D$12,$E$12),0)),0))</f>
        <v/>
      </c>
      <c r="M134" s="19" t="n"/>
      <c r="N134" s="19">
        <f>IF(G134="","",MAX(I134,J134,K134,L134))</f>
        <v/>
      </c>
      <c r="O134" s="19">
        <f>IF(G134="","",G134-N134)</f>
        <v/>
      </c>
      <c r="P134" s="19" t="n"/>
      <c r="Q134" s="19">
        <f>IF(O134="","",IF(O134&gt;=$J$9,IF(B134="G마켓",ROUNDDOWN(MIN(O134*$K$9,$L$9),0),ROUNDUP(MIN(O134*$K$9,$L$9),0)),0))</f>
        <v/>
      </c>
      <c r="R134" s="19">
        <f>IF(O134="","",IF(O134&gt;=$J$10,IF(B134="G마켓",ROUNDDOWN(MIN(O134*$K$10,$L$10),0),ROUNDUP(MIN(O134*$K$10,$L$10),0)),0))</f>
        <v/>
      </c>
      <c r="S134" s="19">
        <f>IF(O134="","",IF(O134&gt;=$J$11,IF(B134="G마켓",ROUNDDOWN(MIN(O134*$K$11,$L$11),0),ROUNDUP(MIN(O134*$K$11,$L$11),0)),0))</f>
        <v/>
      </c>
      <c r="T134" s="19">
        <f>IF(O134="","",MAX(Q134,R134,S134))</f>
        <v/>
      </c>
      <c r="U134" s="19">
        <f>IF(O134="","",O134-T134)</f>
        <v/>
      </c>
      <c r="V134" s="19">
        <f>IF(O134="","",IF(B134="G마켓",ROUNDDOWN(MAX(Q134*$N$9,R134*$N$10,S134*$N$11),0),ROUNDUP(MAX(Q134*$N$9,R134*$N$10,S134*$N$11),0)))</f>
        <v/>
      </c>
      <c r="W134" s="19">
        <f>IF(G134="","",IF(B134="G마켓",ROUNDDOWN(G134-G134*$D$3-V134,0),ROUNDUP(G134-G134*$D$3-V134,0)))</f>
        <v/>
      </c>
    </row>
    <row r="135">
      <c r="B135" s="18" t="n"/>
      <c r="C135" s="18" t="n"/>
      <c r="D135" s="18" t="n"/>
      <c r="E135" s="19" t="n"/>
      <c r="F135" s="19" t="n"/>
      <c r="G135" s="19">
        <f>IF(E135="","",E135-N(F135))</f>
        <v/>
      </c>
      <c r="H135" s="19" t="n"/>
      <c r="I135" s="19">
        <f>IF(G135="","",IF(G135&gt;=$C$9,IF(B135="G마켓",ROUNDDOWN(MIN(G135*$D$9,$E$9),0),ROUNDUP(MIN(G135*$D$9,$E$9),0)),0))</f>
        <v/>
      </c>
      <c r="J135" s="19">
        <f>IF(G135="","",IF(G135&gt;=$C$10,IF(B135="G마켓",ROUNDDOWN(MIN(G135*$D$10,$E$10),0),ROUNDUP(MIN(G135*$D$10,$E$10),0)),0))</f>
        <v/>
      </c>
      <c r="K135" s="19">
        <f>IF(G135="","",IF(G135&gt;=$C$11,IF(B135="G마켓",ROUNDDOWN(MIN(G135*$D$11,$E$11),0),ROUNDUP(MIN(G135*$D$11,$E$11),0)),0))</f>
        <v/>
      </c>
      <c r="L135" s="19">
        <f>IF(G135="","",IF(G135&gt;=$C$12,IF(B135="G마켓",ROUNDDOWN(MIN(G135*$D$12,$E$12),0),ROUNDUP(MIN(G135*$D$12,$E$12),0)),0))</f>
        <v/>
      </c>
      <c r="M135" s="19" t="n"/>
      <c r="N135" s="19">
        <f>IF(G135="","",MAX(I135,J135,K135,L135))</f>
        <v/>
      </c>
      <c r="O135" s="19">
        <f>IF(G135="","",G135-N135)</f>
        <v/>
      </c>
      <c r="P135" s="19" t="n"/>
      <c r="Q135" s="19">
        <f>IF(O135="","",IF(O135&gt;=$J$9,IF(B135="G마켓",ROUNDDOWN(MIN(O135*$K$9,$L$9),0),ROUNDUP(MIN(O135*$K$9,$L$9),0)),0))</f>
        <v/>
      </c>
      <c r="R135" s="19">
        <f>IF(O135="","",IF(O135&gt;=$J$10,IF(B135="G마켓",ROUNDDOWN(MIN(O135*$K$10,$L$10),0),ROUNDUP(MIN(O135*$K$10,$L$10),0)),0))</f>
        <v/>
      </c>
      <c r="S135" s="19">
        <f>IF(O135="","",IF(O135&gt;=$J$11,IF(B135="G마켓",ROUNDDOWN(MIN(O135*$K$11,$L$11),0),ROUNDUP(MIN(O135*$K$11,$L$11),0)),0))</f>
        <v/>
      </c>
      <c r="T135" s="19">
        <f>IF(O135="","",MAX(Q135,R135,S135))</f>
        <v/>
      </c>
      <c r="U135" s="19">
        <f>IF(O135="","",O135-T135)</f>
        <v/>
      </c>
      <c r="V135" s="19">
        <f>IF(O135="","",IF(B135="G마켓",ROUNDDOWN(MAX(Q135*$N$9,R135*$N$10,S135*$N$11),0),ROUNDUP(MAX(Q135*$N$9,R135*$N$10,S135*$N$11),0)))</f>
        <v/>
      </c>
      <c r="W135" s="19">
        <f>IF(G135="","",IF(B135="G마켓",ROUNDDOWN(G135-G135*$D$3-V135,0),ROUNDUP(G135-G135*$D$3-V135,0)))</f>
        <v/>
      </c>
    </row>
    <row r="136">
      <c r="B136" s="18" t="n"/>
      <c r="C136" s="18" t="n"/>
      <c r="D136" s="18" t="n"/>
      <c r="E136" s="19" t="n"/>
      <c r="F136" s="19" t="n"/>
      <c r="G136" s="19">
        <f>IF(E136="","",E136-N(F136))</f>
        <v/>
      </c>
      <c r="H136" s="19" t="n"/>
      <c r="I136" s="19">
        <f>IF(G136="","",IF(G136&gt;=$C$9,IF(B136="G마켓",ROUNDDOWN(MIN(G136*$D$9,$E$9),0),ROUNDUP(MIN(G136*$D$9,$E$9),0)),0))</f>
        <v/>
      </c>
      <c r="J136" s="19">
        <f>IF(G136="","",IF(G136&gt;=$C$10,IF(B136="G마켓",ROUNDDOWN(MIN(G136*$D$10,$E$10),0),ROUNDUP(MIN(G136*$D$10,$E$10),0)),0))</f>
        <v/>
      </c>
      <c r="K136" s="19">
        <f>IF(G136="","",IF(G136&gt;=$C$11,IF(B136="G마켓",ROUNDDOWN(MIN(G136*$D$11,$E$11),0),ROUNDUP(MIN(G136*$D$11,$E$11),0)),0))</f>
        <v/>
      </c>
      <c r="L136" s="19">
        <f>IF(G136="","",IF(G136&gt;=$C$12,IF(B136="G마켓",ROUNDDOWN(MIN(G136*$D$12,$E$12),0),ROUNDUP(MIN(G136*$D$12,$E$12),0)),0))</f>
        <v/>
      </c>
      <c r="M136" s="19" t="n"/>
      <c r="N136" s="19">
        <f>IF(G136="","",MAX(I136,J136,K136,L136))</f>
        <v/>
      </c>
      <c r="O136" s="19">
        <f>IF(G136="","",G136-N136)</f>
        <v/>
      </c>
      <c r="P136" s="19" t="n"/>
      <c r="Q136" s="19">
        <f>IF(O136="","",IF(O136&gt;=$J$9,IF(B136="G마켓",ROUNDDOWN(MIN(O136*$K$9,$L$9),0),ROUNDUP(MIN(O136*$K$9,$L$9),0)),0))</f>
        <v/>
      </c>
      <c r="R136" s="19">
        <f>IF(O136="","",IF(O136&gt;=$J$10,IF(B136="G마켓",ROUNDDOWN(MIN(O136*$K$10,$L$10),0),ROUNDUP(MIN(O136*$K$10,$L$10),0)),0))</f>
        <v/>
      </c>
      <c r="S136" s="19">
        <f>IF(O136="","",IF(O136&gt;=$J$11,IF(B136="G마켓",ROUNDDOWN(MIN(O136*$K$11,$L$11),0),ROUNDUP(MIN(O136*$K$11,$L$11),0)),0))</f>
        <v/>
      </c>
      <c r="T136" s="19">
        <f>IF(O136="","",MAX(Q136,R136,S136))</f>
        <v/>
      </c>
      <c r="U136" s="19">
        <f>IF(O136="","",O136-T136)</f>
        <v/>
      </c>
      <c r="V136" s="19">
        <f>IF(O136="","",IF(B136="G마켓",ROUNDDOWN(MAX(Q136*$N$9,R136*$N$10,S136*$N$11),0),ROUNDUP(MAX(Q136*$N$9,R136*$N$10,S136*$N$11),0)))</f>
        <v/>
      </c>
      <c r="W136" s="19">
        <f>IF(G136="","",IF(B136="G마켓",ROUNDDOWN(G136-G136*$D$3-V136,0),ROUNDUP(G136-G136*$D$3-V136,0)))</f>
        <v/>
      </c>
    </row>
    <row r="137">
      <c r="B137" s="18" t="n"/>
      <c r="C137" s="18" t="n"/>
      <c r="D137" s="18" t="n"/>
      <c r="E137" s="19" t="n"/>
      <c r="F137" s="19" t="n"/>
      <c r="G137" s="19">
        <f>IF(E137="","",E137-N(F137))</f>
        <v/>
      </c>
      <c r="H137" s="19" t="n"/>
      <c r="I137" s="19">
        <f>IF(G137="","",IF(G137&gt;=$C$9,IF(B137="G마켓",ROUNDDOWN(MIN(G137*$D$9,$E$9),0),ROUNDUP(MIN(G137*$D$9,$E$9),0)),0))</f>
        <v/>
      </c>
      <c r="J137" s="19">
        <f>IF(G137="","",IF(G137&gt;=$C$10,IF(B137="G마켓",ROUNDDOWN(MIN(G137*$D$10,$E$10),0),ROUNDUP(MIN(G137*$D$10,$E$10),0)),0))</f>
        <v/>
      </c>
      <c r="K137" s="19">
        <f>IF(G137="","",IF(G137&gt;=$C$11,IF(B137="G마켓",ROUNDDOWN(MIN(G137*$D$11,$E$11),0),ROUNDUP(MIN(G137*$D$11,$E$11),0)),0))</f>
        <v/>
      </c>
      <c r="L137" s="19">
        <f>IF(G137="","",IF(G137&gt;=$C$12,IF(B137="G마켓",ROUNDDOWN(MIN(G137*$D$12,$E$12),0),ROUNDUP(MIN(G137*$D$12,$E$12),0)),0))</f>
        <v/>
      </c>
      <c r="M137" s="19" t="n"/>
      <c r="N137" s="19">
        <f>IF(G137="","",MAX(I137,J137,K137,L137))</f>
        <v/>
      </c>
      <c r="O137" s="19">
        <f>IF(G137="","",G137-N137)</f>
        <v/>
      </c>
      <c r="P137" s="19" t="n"/>
      <c r="Q137" s="19">
        <f>IF(O137="","",IF(O137&gt;=$J$9,IF(B137="G마켓",ROUNDDOWN(MIN(O137*$K$9,$L$9),0),ROUNDUP(MIN(O137*$K$9,$L$9),0)),0))</f>
        <v/>
      </c>
      <c r="R137" s="19">
        <f>IF(O137="","",IF(O137&gt;=$J$10,IF(B137="G마켓",ROUNDDOWN(MIN(O137*$K$10,$L$10),0),ROUNDUP(MIN(O137*$K$10,$L$10),0)),0))</f>
        <v/>
      </c>
      <c r="S137" s="19">
        <f>IF(O137="","",IF(O137&gt;=$J$11,IF(B137="G마켓",ROUNDDOWN(MIN(O137*$K$11,$L$11),0),ROUNDUP(MIN(O137*$K$11,$L$11),0)),0))</f>
        <v/>
      </c>
      <c r="T137" s="19">
        <f>IF(O137="","",MAX(Q137,R137,S137))</f>
        <v/>
      </c>
      <c r="U137" s="19">
        <f>IF(O137="","",O137-T137)</f>
        <v/>
      </c>
      <c r="V137" s="19">
        <f>IF(O137="","",IF(B137="G마켓",ROUNDDOWN(MAX(Q137*$N$9,R137*$N$10,S137*$N$11),0),ROUNDUP(MAX(Q137*$N$9,R137*$N$10,S137*$N$11),0)))</f>
        <v/>
      </c>
      <c r="W137" s="19">
        <f>IF(G137="","",IF(B137="G마켓",ROUNDDOWN(G137-G137*$D$3-V137,0),ROUNDUP(G137-G137*$D$3-V137,0)))</f>
        <v/>
      </c>
    </row>
    <row r="138">
      <c r="B138" s="18" t="n"/>
      <c r="C138" s="18" t="n"/>
      <c r="D138" s="18" t="n"/>
      <c r="E138" s="19" t="n"/>
      <c r="F138" s="19" t="n"/>
      <c r="G138" s="19">
        <f>IF(E138="","",E138-N(F138))</f>
        <v/>
      </c>
      <c r="H138" s="19" t="n"/>
      <c r="I138" s="19">
        <f>IF(G138="","",IF(G138&gt;=$C$9,IF(B138="G마켓",ROUNDDOWN(MIN(G138*$D$9,$E$9),0),ROUNDUP(MIN(G138*$D$9,$E$9),0)),0))</f>
        <v/>
      </c>
      <c r="J138" s="19">
        <f>IF(G138="","",IF(G138&gt;=$C$10,IF(B138="G마켓",ROUNDDOWN(MIN(G138*$D$10,$E$10),0),ROUNDUP(MIN(G138*$D$10,$E$10),0)),0))</f>
        <v/>
      </c>
      <c r="K138" s="19">
        <f>IF(G138="","",IF(G138&gt;=$C$11,IF(B138="G마켓",ROUNDDOWN(MIN(G138*$D$11,$E$11),0),ROUNDUP(MIN(G138*$D$11,$E$11),0)),0))</f>
        <v/>
      </c>
      <c r="L138" s="19">
        <f>IF(G138="","",IF(G138&gt;=$C$12,IF(B138="G마켓",ROUNDDOWN(MIN(G138*$D$12,$E$12),0),ROUNDUP(MIN(G138*$D$12,$E$12),0)),0))</f>
        <v/>
      </c>
      <c r="M138" s="19" t="n"/>
      <c r="N138" s="19">
        <f>IF(G138="","",MAX(I138,J138,K138,L138))</f>
        <v/>
      </c>
      <c r="O138" s="19">
        <f>IF(G138="","",G138-N138)</f>
        <v/>
      </c>
      <c r="P138" s="19" t="n"/>
      <c r="Q138" s="19">
        <f>IF(O138="","",IF(O138&gt;=$J$9,IF(B138="G마켓",ROUNDDOWN(MIN(O138*$K$9,$L$9),0),ROUNDUP(MIN(O138*$K$9,$L$9),0)),0))</f>
        <v/>
      </c>
      <c r="R138" s="19">
        <f>IF(O138="","",IF(O138&gt;=$J$10,IF(B138="G마켓",ROUNDDOWN(MIN(O138*$K$10,$L$10),0),ROUNDUP(MIN(O138*$K$10,$L$10),0)),0))</f>
        <v/>
      </c>
      <c r="S138" s="19">
        <f>IF(O138="","",IF(O138&gt;=$J$11,IF(B138="G마켓",ROUNDDOWN(MIN(O138*$K$11,$L$11),0),ROUNDUP(MIN(O138*$K$11,$L$11),0)),0))</f>
        <v/>
      </c>
      <c r="T138" s="19">
        <f>IF(O138="","",MAX(Q138,R138,S138))</f>
        <v/>
      </c>
      <c r="U138" s="19">
        <f>IF(O138="","",O138-T138)</f>
        <v/>
      </c>
      <c r="V138" s="19">
        <f>IF(O138="","",IF(B138="G마켓",ROUNDDOWN(MAX(Q138*$N$9,R138*$N$10,S138*$N$11),0),ROUNDUP(MAX(Q138*$N$9,R138*$N$10,S138*$N$11),0)))</f>
        <v/>
      </c>
      <c r="W138" s="19">
        <f>IF(G138="","",IF(B138="G마켓",ROUNDDOWN(G138-G138*$D$3-V138,0),ROUNDUP(G138-G138*$D$3-V138,0)))</f>
        <v/>
      </c>
    </row>
    <row r="139">
      <c r="B139" s="18" t="n"/>
      <c r="C139" s="18" t="n"/>
      <c r="D139" s="18" t="n"/>
      <c r="E139" s="19" t="n"/>
      <c r="F139" s="19" t="n"/>
      <c r="G139" s="19">
        <f>IF(E139="","",E139-N(F139))</f>
        <v/>
      </c>
      <c r="H139" s="19" t="n"/>
      <c r="I139" s="19">
        <f>IF(G139="","",IF(G139&gt;=$C$9,IF(B139="G마켓",ROUNDDOWN(MIN(G139*$D$9,$E$9),0),ROUNDUP(MIN(G139*$D$9,$E$9),0)),0))</f>
        <v/>
      </c>
      <c r="J139" s="19">
        <f>IF(G139="","",IF(G139&gt;=$C$10,IF(B139="G마켓",ROUNDDOWN(MIN(G139*$D$10,$E$10),0),ROUNDUP(MIN(G139*$D$10,$E$10),0)),0))</f>
        <v/>
      </c>
      <c r="K139" s="19">
        <f>IF(G139="","",IF(G139&gt;=$C$11,IF(B139="G마켓",ROUNDDOWN(MIN(G139*$D$11,$E$11),0),ROUNDUP(MIN(G139*$D$11,$E$11),0)),0))</f>
        <v/>
      </c>
      <c r="L139" s="19">
        <f>IF(G139="","",IF(G139&gt;=$C$12,IF(B139="G마켓",ROUNDDOWN(MIN(G139*$D$12,$E$12),0),ROUNDUP(MIN(G139*$D$12,$E$12),0)),0))</f>
        <v/>
      </c>
      <c r="M139" s="19" t="n"/>
      <c r="N139" s="19">
        <f>IF(G139="","",MAX(I139,J139,K139,L139))</f>
        <v/>
      </c>
      <c r="O139" s="19">
        <f>IF(G139="","",G139-N139)</f>
        <v/>
      </c>
      <c r="P139" s="19" t="n"/>
      <c r="Q139" s="19">
        <f>IF(O139="","",IF(O139&gt;=$J$9,IF(B139="G마켓",ROUNDDOWN(MIN(O139*$K$9,$L$9),0),ROUNDUP(MIN(O139*$K$9,$L$9),0)),0))</f>
        <v/>
      </c>
      <c r="R139" s="19">
        <f>IF(O139="","",IF(O139&gt;=$J$10,IF(B139="G마켓",ROUNDDOWN(MIN(O139*$K$10,$L$10),0),ROUNDUP(MIN(O139*$K$10,$L$10),0)),0))</f>
        <v/>
      </c>
      <c r="S139" s="19">
        <f>IF(O139="","",IF(O139&gt;=$J$11,IF(B139="G마켓",ROUNDDOWN(MIN(O139*$K$11,$L$11),0),ROUNDUP(MIN(O139*$K$11,$L$11),0)),0))</f>
        <v/>
      </c>
      <c r="T139" s="19">
        <f>IF(O139="","",MAX(Q139,R139,S139))</f>
        <v/>
      </c>
      <c r="U139" s="19">
        <f>IF(O139="","",O139-T139)</f>
        <v/>
      </c>
      <c r="V139" s="19">
        <f>IF(O139="","",IF(B139="G마켓",ROUNDDOWN(MAX(Q139*$N$9,R139*$N$10,S139*$N$11),0),ROUNDUP(MAX(Q139*$N$9,R139*$N$10,S139*$N$11),0)))</f>
        <v/>
      </c>
      <c r="W139" s="19">
        <f>IF(G139="","",IF(B139="G마켓",ROUNDDOWN(G139-G139*$D$3-V139,0),ROUNDUP(G139-G139*$D$3-V139,0)))</f>
        <v/>
      </c>
    </row>
    <row r="140">
      <c r="B140" s="18" t="n"/>
      <c r="C140" s="18" t="n"/>
      <c r="D140" s="18" t="n"/>
      <c r="E140" s="19" t="n"/>
      <c r="F140" s="19" t="n"/>
      <c r="G140" s="19">
        <f>IF(E140="","",E140-N(F140))</f>
        <v/>
      </c>
      <c r="H140" s="19" t="n"/>
      <c r="I140" s="19">
        <f>IF(G140="","",IF(G140&gt;=$C$9,IF(B140="G마켓",ROUNDDOWN(MIN(G140*$D$9,$E$9),0),ROUNDUP(MIN(G140*$D$9,$E$9),0)),0))</f>
        <v/>
      </c>
      <c r="J140" s="19">
        <f>IF(G140="","",IF(G140&gt;=$C$10,IF(B140="G마켓",ROUNDDOWN(MIN(G140*$D$10,$E$10),0),ROUNDUP(MIN(G140*$D$10,$E$10),0)),0))</f>
        <v/>
      </c>
      <c r="K140" s="19">
        <f>IF(G140="","",IF(G140&gt;=$C$11,IF(B140="G마켓",ROUNDDOWN(MIN(G140*$D$11,$E$11),0),ROUNDUP(MIN(G140*$D$11,$E$11),0)),0))</f>
        <v/>
      </c>
      <c r="L140" s="19">
        <f>IF(G140="","",IF(G140&gt;=$C$12,IF(B140="G마켓",ROUNDDOWN(MIN(G140*$D$12,$E$12),0),ROUNDUP(MIN(G140*$D$12,$E$12),0)),0))</f>
        <v/>
      </c>
      <c r="M140" s="19" t="n"/>
      <c r="N140" s="19">
        <f>IF(G140="","",MAX(I140,J140,K140,L140))</f>
        <v/>
      </c>
      <c r="O140" s="19">
        <f>IF(G140="","",G140-N140)</f>
        <v/>
      </c>
      <c r="P140" s="19" t="n"/>
      <c r="Q140" s="19">
        <f>IF(O140="","",IF(O140&gt;=$J$9,IF(B140="G마켓",ROUNDDOWN(MIN(O140*$K$9,$L$9),0),ROUNDUP(MIN(O140*$K$9,$L$9),0)),0))</f>
        <v/>
      </c>
      <c r="R140" s="19">
        <f>IF(O140="","",IF(O140&gt;=$J$10,IF(B140="G마켓",ROUNDDOWN(MIN(O140*$K$10,$L$10),0),ROUNDUP(MIN(O140*$K$10,$L$10),0)),0))</f>
        <v/>
      </c>
      <c r="S140" s="19">
        <f>IF(O140="","",IF(O140&gt;=$J$11,IF(B140="G마켓",ROUNDDOWN(MIN(O140*$K$11,$L$11),0),ROUNDUP(MIN(O140*$K$11,$L$11),0)),0))</f>
        <v/>
      </c>
      <c r="T140" s="19">
        <f>IF(O140="","",MAX(Q140,R140,S140))</f>
        <v/>
      </c>
      <c r="U140" s="19">
        <f>IF(O140="","",O140-T140)</f>
        <v/>
      </c>
      <c r="V140" s="19">
        <f>IF(O140="","",IF(B140="G마켓",ROUNDDOWN(MAX(Q140*$N$9,R140*$N$10,S140*$N$11),0),ROUNDUP(MAX(Q140*$N$9,R140*$N$10,S140*$N$11),0)))</f>
        <v/>
      </c>
      <c r="W140" s="19">
        <f>IF(G140="","",IF(B140="G마켓",ROUNDDOWN(G140-G140*$D$3-V140,0),ROUNDUP(G140-G140*$D$3-V140,0)))</f>
        <v/>
      </c>
    </row>
    <row r="141">
      <c r="B141" s="18" t="n"/>
      <c r="C141" s="18" t="n"/>
      <c r="D141" s="18" t="n"/>
      <c r="E141" s="19" t="n"/>
      <c r="F141" s="19" t="n"/>
      <c r="G141" s="19">
        <f>IF(E141="","",E141-N(F141))</f>
        <v/>
      </c>
      <c r="H141" s="19" t="n"/>
      <c r="I141" s="19">
        <f>IF(G141="","",IF(G141&gt;=$C$9,IF(B141="G마켓",ROUNDDOWN(MIN(G141*$D$9,$E$9),0),ROUNDUP(MIN(G141*$D$9,$E$9),0)),0))</f>
        <v/>
      </c>
      <c r="J141" s="19">
        <f>IF(G141="","",IF(G141&gt;=$C$10,IF(B141="G마켓",ROUNDDOWN(MIN(G141*$D$10,$E$10),0),ROUNDUP(MIN(G141*$D$10,$E$10),0)),0))</f>
        <v/>
      </c>
      <c r="K141" s="19">
        <f>IF(G141="","",IF(G141&gt;=$C$11,IF(B141="G마켓",ROUNDDOWN(MIN(G141*$D$11,$E$11),0),ROUNDUP(MIN(G141*$D$11,$E$11),0)),0))</f>
        <v/>
      </c>
      <c r="L141" s="19">
        <f>IF(G141="","",IF(G141&gt;=$C$12,IF(B141="G마켓",ROUNDDOWN(MIN(G141*$D$12,$E$12),0),ROUNDUP(MIN(G141*$D$12,$E$12),0)),0))</f>
        <v/>
      </c>
      <c r="M141" s="19" t="n"/>
      <c r="N141" s="19">
        <f>IF(G141="","",MAX(I141,J141,K141,L141))</f>
        <v/>
      </c>
      <c r="O141" s="19">
        <f>IF(G141="","",G141-N141)</f>
        <v/>
      </c>
      <c r="P141" s="19" t="n"/>
      <c r="Q141" s="19">
        <f>IF(O141="","",IF(O141&gt;=$J$9,IF(B141="G마켓",ROUNDDOWN(MIN(O141*$K$9,$L$9),0),ROUNDUP(MIN(O141*$K$9,$L$9),0)),0))</f>
        <v/>
      </c>
      <c r="R141" s="19">
        <f>IF(O141="","",IF(O141&gt;=$J$10,IF(B141="G마켓",ROUNDDOWN(MIN(O141*$K$10,$L$10),0),ROUNDUP(MIN(O141*$K$10,$L$10),0)),0))</f>
        <v/>
      </c>
      <c r="S141" s="19">
        <f>IF(O141="","",IF(O141&gt;=$J$11,IF(B141="G마켓",ROUNDDOWN(MIN(O141*$K$11,$L$11),0),ROUNDUP(MIN(O141*$K$11,$L$11),0)),0))</f>
        <v/>
      </c>
      <c r="T141" s="19">
        <f>IF(O141="","",MAX(Q141,R141,S141))</f>
        <v/>
      </c>
      <c r="U141" s="19">
        <f>IF(O141="","",O141-T141)</f>
        <v/>
      </c>
      <c r="V141" s="19">
        <f>IF(O141="","",IF(B141="G마켓",ROUNDDOWN(MAX(Q141*$N$9,R141*$N$10,S141*$N$11),0),ROUNDUP(MAX(Q141*$N$9,R141*$N$10,S141*$N$11),0)))</f>
        <v/>
      </c>
      <c r="W141" s="19">
        <f>IF(G141="","",IF(B141="G마켓",ROUNDDOWN(G141-G141*$D$3-V141,0),ROUNDUP(G141-G141*$D$3-V141,0)))</f>
        <v/>
      </c>
    </row>
    <row r="142">
      <c r="B142" s="18" t="n"/>
      <c r="C142" s="18" t="n"/>
      <c r="D142" s="18" t="n"/>
      <c r="E142" s="19" t="n"/>
      <c r="F142" s="19" t="n"/>
      <c r="G142" s="19">
        <f>IF(E142="","",E142-N(F142))</f>
        <v/>
      </c>
      <c r="H142" s="19" t="n"/>
      <c r="I142" s="19">
        <f>IF(G142="","",IF(G142&gt;=$C$9,IF(B142="G마켓",ROUNDDOWN(MIN(G142*$D$9,$E$9),0),ROUNDUP(MIN(G142*$D$9,$E$9),0)),0))</f>
        <v/>
      </c>
      <c r="J142" s="19">
        <f>IF(G142="","",IF(G142&gt;=$C$10,IF(B142="G마켓",ROUNDDOWN(MIN(G142*$D$10,$E$10),0),ROUNDUP(MIN(G142*$D$10,$E$10),0)),0))</f>
        <v/>
      </c>
      <c r="K142" s="19">
        <f>IF(G142="","",IF(G142&gt;=$C$11,IF(B142="G마켓",ROUNDDOWN(MIN(G142*$D$11,$E$11),0),ROUNDUP(MIN(G142*$D$11,$E$11),0)),0))</f>
        <v/>
      </c>
      <c r="L142" s="19">
        <f>IF(G142="","",IF(G142&gt;=$C$12,IF(B142="G마켓",ROUNDDOWN(MIN(G142*$D$12,$E$12),0),ROUNDUP(MIN(G142*$D$12,$E$12),0)),0))</f>
        <v/>
      </c>
      <c r="M142" s="19" t="n"/>
      <c r="N142" s="19">
        <f>IF(G142="","",MAX(I142,J142,K142,L142))</f>
        <v/>
      </c>
      <c r="O142" s="19">
        <f>IF(G142="","",G142-N142)</f>
        <v/>
      </c>
      <c r="P142" s="19" t="n"/>
      <c r="Q142" s="19">
        <f>IF(O142="","",IF(O142&gt;=$J$9,IF(B142="G마켓",ROUNDDOWN(MIN(O142*$K$9,$L$9),0),ROUNDUP(MIN(O142*$K$9,$L$9),0)),0))</f>
        <v/>
      </c>
      <c r="R142" s="19">
        <f>IF(O142="","",IF(O142&gt;=$J$10,IF(B142="G마켓",ROUNDDOWN(MIN(O142*$K$10,$L$10),0),ROUNDUP(MIN(O142*$K$10,$L$10),0)),0))</f>
        <v/>
      </c>
      <c r="S142" s="19">
        <f>IF(O142="","",IF(O142&gt;=$J$11,IF(B142="G마켓",ROUNDDOWN(MIN(O142*$K$11,$L$11),0),ROUNDUP(MIN(O142*$K$11,$L$11),0)),0))</f>
        <v/>
      </c>
      <c r="T142" s="19">
        <f>IF(O142="","",MAX(Q142,R142,S142))</f>
        <v/>
      </c>
      <c r="U142" s="19">
        <f>IF(O142="","",O142-T142)</f>
        <v/>
      </c>
      <c r="V142" s="19">
        <f>IF(O142="","",IF(B142="G마켓",ROUNDDOWN(MAX(Q142*$N$9,R142*$N$10,S142*$N$11),0),ROUNDUP(MAX(Q142*$N$9,R142*$N$10,S142*$N$11),0)))</f>
        <v/>
      </c>
      <c r="W142" s="19">
        <f>IF(G142="","",IF(B142="G마켓",ROUNDDOWN(G142-G142*$D$3-V142,0),ROUNDUP(G142-G142*$D$3-V142,0)))</f>
        <v/>
      </c>
    </row>
    <row r="143">
      <c r="B143" s="18" t="n"/>
      <c r="C143" s="18" t="n"/>
      <c r="D143" s="18" t="n"/>
      <c r="E143" s="19" t="n"/>
      <c r="F143" s="19" t="n"/>
      <c r="G143" s="19">
        <f>IF(E143="","",E143-N(F143))</f>
        <v/>
      </c>
      <c r="H143" s="19" t="n"/>
      <c r="I143" s="19">
        <f>IF(G143="","",IF(G143&gt;=$C$9,IF(B143="G마켓",ROUNDDOWN(MIN(G143*$D$9,$E$9),0),ROUNDUP(MIN(G143*$D$9,$E$9),0)),0))</f>
        <v/>
      </c>
      <c r="J143" s="19">
        <f>IF(G143="","",IF(G143&gt;=$C$10,IF(B143="G마켓",ROUNDDOWN(MIN(G143*$D$10,$E$10),0),ROUNDUP(MIN(G143*$D$10,$E$10),0)),0))</f>
        <v/>
      </c>
      <c r="K143" s="19">
        <f>IF(G143="","",IF(G143&gt;=$C$11,IF(B143="G마켓",ROUNDDOWN(MIN(G143*$D$11,$E$11),0),ROUNDUP(MIN(G143*$D$11,$E$11),0)),0))</f>
        <v/>
      </c>
      <c r="L143" s="19">
        <f>IF(G143="","",IF(G143&gt;=$C$12,IF(B143="G마켓",ROUNDDOWN(MIN(G143*$D$12,$E$12),0),ROUNDUP(MIN(G143*$D$12,$E$12),0)),0))</f>
        <v/>
      </c>
      <c r="M143" s="19" t="n"/>
      <c r="N143" s="19">
        <f>IF(G143="","",MAX(I143,J143,K143,L143))</f>
        <v/>
      </c>
      <c r="O143" s="19">
        <f>IF(G143="","",G143-N143)</f>
        <v/>
      </c>
      <c r="P143" s="19" t="n"/>
      <c r="Q143" s="19">
        <f>IF(O143="","",IF(O143&gt;=$J$9,IF(B143="G마켓",ROUNDDOWN(MIN(O143*$K$9,$L$9),0),ROUNDUP(MIN(O143*$K$9,$L$9),0)),0))</f>
        <v/>
      </c>
      <c r="R143" s="19">
        <f>IF(O143="","",IF(O143&gt;=$J$10,IF(B143="G마켓",ROUNDDOWN(MIN(O143*$K$10,$L$10),0),ROUNDUP(MIN(O143*$K$10,$L$10),0)),0))</f>
        <v/>
      </c>
      <c r="S143" s="19">
        <f>IF(O143="","",IF(O143&gt;=$J$11,IF(B143="G마켓",ROUNDDOWN(MIN(O143*$K$11,$L$11),0),ROUNDUP(MIN(O143*$K$11,$L$11),0)),0))</f>
        <v/>
      </c>
      <c r="T143" s="19">
        <f>IF(O143="","",MAX(Q143,R143,S143))</f>
        <v/>
      </c>
      <c r="U143" s="19">
        <f>IF(O143="","",O143-T143)</f>
        <v/>
      </c>
      <c r="V143" s="19">
        <f>IF(O143="","",IF(B143="G마켓",ROUNDDOWN(MAX(Q143*$N$9,R143*$N$10,S143*$N$11),0),ROUNDUP(MAX(Q143*$N$9,R143*$N$10,S143*$N$11),0)))</f>
        <v/>
      </c>
      <c r="W143" s="19">
        <f>IF(G143="","",IF(B143="G마켓",ROUNDDOWN(G143-G143*$D$3-V143,0),ROUNDUP(G143-G143*$D$3-V143,0)))</f>
        <v/>
      </c>
    </row>
    <row r="144">
      <c r="B144" s="18" t="n"/>
      <c r="C144" s="18" t="n"/>
      <c r="D144" s="18" t="n"/>
      <c r="E144" s="19" t="n"/>
      <c r="F144" s="19" t="n"/>
      <c r="G144" s="19">
        <f>IF(E144="","",E144-N(F144))</f>
        <v/>
      </c>
      <c r="H144" s="19" t="n"/>
      <c r="I144" s="19">
        <f>IF(G144="","",IF(G144&gt;=$C$9,IF(B144="G마켓",ROUNDDOWN(MIN(G144*$D$9,$E$9),0),ROUNDUP(MIN(G144*$D$9,$E$9),0)),0))</f>
        <v/>
      </c>
      <c r="J144" s="19">
        <f>IF(G144="","",IF(G144&gt;=$C$10,IF(B144="G마켓",ROUNDDOWN(MIN(G144*$D$10,$E$10),0),ROUNDUP(MIN(G144*$D$10,$E$10),0)),0))</f>
        <v/>
      </c>
      <c r="K144" s="19">
        <f>IF(G144="","",IF(G144&gt;=$C$11,IF(B144="G마켓",ROUNDDOWN(MIN(G144*$D$11,$E$11),0),ROUNDUP(MIN(G144*$D$11,$E$11),0)),0))</f>
        <v/>
      </c>
      <c r="L144" s="19">
        <f>IF(G144="","",IF(G144&gt;=$C$12,IF(B144="G마켓",ROUNDDOWN(MIN(G144*$D$12,$E$12),0),ROUNDUP(MIN(G144*$D$12,$E$12),0)),0))</f>
        <v/>
      </c>
      <c r="M144" s="19" t="n"/>
      <c r="N144" s="19">
        <f>IF(G144="","",MAX(I144,J144,K144,L144))</f>
        <v/>
      </c>
      <c r="O144" s="19">
        <f>IF(G144="","",G144-N144)</f>
        <v/>
      </c>
      <c r="P144" s="19" t="n"/>
      <c r="Q144" s="19">
        <f>IF(O144="","",IF(O144&gt;=$J$9,IF(B144="G마켓",ROUNDDOWN(MIN(O144*$K$9,$L$9),0),ROUNDUP(MIN(O144*$K$9,$L$9),0)),0))</f>
        <v/>
      </c>
      <c r="R144" s="19">
        <f>IF(O144="","",IF(O144&gt;=$J$10,IF(B144="G마켓",ROUNDDOWN(MIN(O144*$K$10,$L$10),0),ROUNDUP(MIN(O144*$K$10,$L$10),0)),0))</f>
        <v/>
      </c>
      <c r="S144" s="19">
        <f>IF(O144="","",IF(O144&gt;=$J$11,IF(B144="G마켓",ROUNDDOWN(MIN(O144*$K$11,$L$11),0),ROUNDUP(MIN(O144*$K$11,$L$11),0)),0))</f>
        <v/>
      </c>
      <c r="T144" s="19">
        <f>IF(O144="","",MAX(Q144,R144,S144))</f>
        <v/>
      </c>
      <c r="U144" s="19">
        <f>IF(O144="","",O144-T144)</f>
        <v/>
      </c>
      <c r="V144" s="19">
        <f>IF(O144="","",IF(B144="G마켓",ROUNDDOWN(MAX(Q144*$N$9,R144*$N$10,S144*$N$11),0),ROUNDUP(MAX(Q144*$N$9,R144*$N$10,S144*$N$11),0)))</f>
        <v/>
      </c>
      <c r="W144" s="19">
        <f>IF(G144="","",IF(B144="G마켓",ROUNDDOWN(G144-G144*$D$3-V144,0),ROUNDUP(G144-G144*$D$3-V144,0)))</f>
        <v/>
      </c>
    </row>
    <row r="145">
      <c r="B145" s="18" t="n"/>
      <c r="C145" s="18" t="n"/>
      <c r="D145" s="18" t="n"/>
      <c r="E145" s="19" t="n"/>
      <c r="F145" s="19" t="n"/>
      <c r="G145" s="19">
        <f>IF(E145="","",E145-N(F145))</f>
        <v/>
      </c>
      <c r="H145" s="19" t="n"/>
      <c r="I145" s="19">
        <f>IF(G145="","",IF(G145&gt;=$C$9,IF(B145="G마켓",ROUNDDOWN(MIN(G145*$D$9,$E$9),0),ROUNDUP(MIN(G145*$D$9,$E$9),0)),0))</f>
        <v/>
      </c>
      <c r="J145" s="19">
        <f>IF(G145="","",IF(G145&gt;=$C$10,IF(B145="G마켓",ROUNDDOWN(MIN(G145*$D$10,$E$10),0),ROUNDUP(MIN(G145*$D$10,$E$10),0)),0))</f>
        <v/>
      </c>
      <c r="K145" s="19">
        <f>IF(G145="","",IF(G145&gt;=$C$11,IF(B145="G마켓",ROUNDDOWN(MIN(G145*$D$11,$E$11),0),ROUNDUP(MIN(G145*$D$11,$E$11),0)),0))</f>
        <v/>
      </c>
      <c r="L145" s="19">
        <f>IF(G145="","",IF(G145&gt;=$C$12,IF(B145="G마켓",ROUNDDOWN(MIN(G145*$D$12,$E$12),0),ROUNDUP(MIN(G145*$D$12,$E$12),0)),0))</f>
        <v/>
      </c>
      <c r="M145" s="19" t="n"/>
      <c r="N145" s="19">
        <f>IF(G145="","",MAX(I145,J145,K145,L145))</f>
        <v/>
      </c>
      <c r="O145" s="19">
        <f>IF(G145="","",G145-N145)</f>
        <v/>
      </c>
      <c r="P145" s="19" t="n"/>
      <c r="Q145" s="19">
        <f>IF(O145="","",IF(O145&gt;=$J$9,IF(B145="G마켓",ROUNDDOWN(MIN(O145*$K$9,$L$9),0),ROUNDUP(MIN(O145*$K$9,$L$9),0)),0))</f>
        <v/>
      </c>
      <c r="R145" s="19">
        <f>IF(O145="","",IF(O145&gt;=$J$10,IF(B145="G마켓",ROUNDDOWN(MIN(O145*$K$10,$L$10),0),ROUNDUP(MIN(O145*$K$10,$L$10),0)),0))</f>
        <v/>
      </c>
      <c r="S145" s="19">
        <f>IF(O145="","",IF(O145&gt;=$J$11,IF(B145="G마켓",ROUNDDOWN(MIN(O145*$K$11,$L$11),0),ROUNDUP(MIN(O145*$K$11,$L$11),0)),0))</f>
        <v/>
      </c>
      <c r="T145" s="19">
        <f>IF(O145="","",MAX(Q145,R145,S145))</f>
        <v/>
      </c>
      <c r="U145" s="19">
        <f>IF(O145="","",O145-T145)</f>
        <v/>
      </c>
      <c r="V145" s="19">
        <f>IF(O145="","",IF(B145="G마켓",ROUNDDOWN(MAX(Q145*$N$9,R145*$N$10,S145*$N$11),0),ROUNDUP(MAX(Q145*$N$9,R145*$N$10,S145*$N$11),0)))</f>
        <v/>
      </c>
      <c r="W145" s="19">
        <f>IF(G145="","",IF(B145="G마켓",ROUNDDOWN(G145-G145*$D$3-V145,0),ROUNDUP(G145-G145*$D$3-V145,0)))</f>
        <v/>
      </c>
    </row>
    <row r="146">
      <c r="B146" s="18" t="n"/>
      <c r="C146" s="18" t="n"/>
      <c r="D146" s="18" t="n"/>
      <c r="E146" s="19" t="n"/>
      <c r="F146" s="19" t="n"/>
      <c r="G146" s="19">
        <f>IF(E146="","",E146-N(F146))</f>
        <v/>
      </c>
      <c r="H146" s="19" t="n"/>
      <c r="I146" s="19">
        <f>IF(G146="","",IF(G146&gt;=$C$9,IF(B146="G마켓",ROUNDDOWN(MIN(G146*$D$9,$E$9),0),ROUNDUP(MIN(G146*$D$9,$E$9),0)),0))</f>
        <v/>
      </c>
      <c r="J146" s="19">
        <f>IF(G146="","",IF(G146&gt;=$C$10,IF(B146="G마켓",ROUNDDOWN(MIN(G146*$D$10,$E$10),0),ROUNDUP(MIN(G146*$D$10,$E$10),0)),0))</f>
        <v/>
      </c>
      <c r="K146" s="19">
        <f>IF(G146="","",IF(G146&gt;=$C$11,IF(B146="G마켓",ROUNDDOWN(MIN(G146*$D$11,$E$11),0),ROUNDUP(MIN(G146*$D$11,$E$11),0)),0))</f>
        <v/>
      </c>
      <c r="L146" s="19">
        <f>IF(G146="","",IF(G146&gt;=$C$12,IF(B146="G마켓",ROUNDDOWN(MIN(G146*$D$12,$E$12),0),ROUNDUP(MIN(G146*$D$12,$E$12),0)),0))</f>
        <v/>
      </c>
      <c r="M146" s="19" t="n"/>
      <c r="N146" s="19">
        <f>IF(G146="","",MAX(I146,J146,K146,L146))</f>
        <v/>
      </c>
      <c r="O146" s="19">
        <f>IF(G146="","",G146-N146)</f>
        <v/>
      </c>
      <c r="P146" s="19" t="n"/>
      <c r="Q146" s="19">
        <f>IF(O146="","",IF(O146&gt;=$J$9,IF(B146="G마켓",ROUNDDOWN(MIN(O146*$K$9,$L$9),0),ROUNDUP(MIN(O146*$K$9,$L$9),0)),0))</f>
        <v/>
      </c>
      <c r="R146" s="19">
        <f>IF(O146="","",IF(O146&gt;=$J$10,IF(B146="G마켓",ROUNDDOWN(MIN(O146*$K$10,$L$10),0),ROUNDUP(MIN(O146*$K$10,$L$10),0)),0))</f>
        <v/>
      </c>
      <c r="S146" s="19">
        <f>IF(O146="","",IF(O146&gt;=$J$11,IF(B146="G마켓",ROUNDDOWN(MIN(O146*$K$11,$L$11),0),ROUNDUP(MIN(O146*$K$11,$L$11),0)),0))</f>
        <v/>
      </c>
      <c r="T146" s="19">
        <f>IF(O146="","",MAX(Q146,R146,S146))</f>
        <v/>
      </c>
      <c r="U146" s="19">
        <f>IF(O146="","",O146-T146)</f>
        <v/>
      </c>
      <c r="V146" s="19">
        <f>IF(O146="","",IF(B146="G마켓",ROUNDDOWN(MAX(Q146*$N$9,R146*$N$10,S146*$N$11),0),ROUNDUP(MAX(Q146*$N$9,R146*$N$10,S146*$N$11),0)))</f>
        <v/>
      </c>
      <c r="W146" s="19">
        <f>IF(G146="","",IF(B146="G마켓",ROUNDDOWN(G146-G146*$D$3-V146,0),ROUNDUP(G146-G146*$D$3-V146,0)))</f>
        <v/>
      </c>
    </row>
    <row r="147">
      <c r="B147" s="18" t="n"/>
      <c r="C147" s="18" t="n"/>
      <c r="D147" s="18" t="n"/>
      <c r="E147" s="19" t="n"/>
      <c r="F147" s="19" t="n"/>
      <c r="G147" s="19">
        <f>IF(E147="","",E147-N(F147))</f>
        <v/>
      </c>
      <c r="H147" s="19" t="n"/>
      <c r="I147" s="19">
        <f>IF(G147="","",IF(G147&gt;=$C$9,IF(B147="G마켓",ROUNDDOWN(MIN(G147*$D$9,$E$9),0),ROUNDUP(MIN(G147*$D$9,$E$9),0)),0))</f>
        <v/>
      </c>
      <c r="J147" s="19">
        <f>IF(G147="","",IF(G147&gt;=$C$10,IF(B147="G마켓",ROUNDDOWN(MIN(G147*$D$10,$E$10),0),ROUNDUP(MIN(G147*$D$10,$E$10),0)),0))</f>
        <v/>
      </c>
      <c r="K147" s="19">
        <f>IF(G147="","",IF(G147&gt;=$C$11,IF(B147="G마켓",ROUNDDOWN(MIN(G147*$D$11,$E$11),0),ROUNDUP(MIN(G147*$D$11,$E$11),0)),0))</f>
        <v/>
      </c>
      <c r="L147" s="19">
        <f>IF(G147="","",IF(G147&gt;=$C$12,IF(B147="G마켓",ROUNDDOWN(MIN(G147*$D$12,$E$12),0),ROUNDUP(MIN(G147*$D$12,$E$12),0)),0))</f>
        <v/>
      </c>
      <c r="M147" s="19" t="n"/>
      <c r="N147" s="19">
        <f>IF(G147="","",MAX(I147,J147,K147,L147))</f>
        <v/>
      </c>
      <c r="O147" s="19">
        <f>IF(G147="","",G147-N147)</f>
        <v/>
      </c>
      <c r="P147" s="19" t="n"/>
      <c r="Q147" s="19">
        <f>IF(O147="","",IF(O147&gt;=$J$9,IF(B147="G마켓",ROUNDDOWN(MIN(O147*$K$9,$L$9),0),ROUNDUP(MIN(O147*$K$9,$L$9),0)),0))</f>
        <v/>
      </c>
      <c r="R147" s="19">
        <f>IF(O147="","",IF(O147&gt;=$J$10,IF(B147="G마켓",ROUNDDOWN(MIN(O147*$K$10,$L$10),0),ROUNDUP(MIN(O147*$K$10,$L$10),0)),0))</f>
        <v/>
      </c>
      <c r="S147" s="19">
        <f>IF(O147="","",IF(O147&gt;=$J$11,IF(B147="G마켓",ROUNDDOWN(MIN(O147*$K$11,$L$11),0),ROUNDUP(MIN(O147*$K$11,$L$11),0)),0))</f>
        <v/>
      </c>
      <c r="T147" s="19">
        <f>IF(O147="","",MAX(Q147,R147,S147))</f>
        <v/>
      </c>
      <c r="U147" s="19">
        <f>IF(O147="","",O147-T147)</f>
        <v/>
      </c>
      <c r="V147" s="19">
        <f>IF(O147="","",IF(B147="G마켓",ROUNDDOWN(MAX(Q147*$N$9,R147*$N$10,S147*$N$11),0),ROUNDUP(MAX(Q147*$N$9,R147*$N$10,S147*$N$11),0)))</f>
        <v/>
      </c>
      <c r="W147" s="19">
        <f>IF(G147="","",IF(B147="G마켓",ROUNDDOWN(G147-G147*$D$3-V147,0),ROUNDUP(G147-G147*$D$3-V147,0)))</f>
        <v/>
      </c>
    </row>
    <row r="148">
      <c r="B148" s="18" t="n"/>
      <c r="C148" s="18" t="n"/>
      <c r="D148" s="18" t="n"/>
      <c r="E148" s="19" t="n"/>
      <c r="F148" s="19" t="n"/>
      <c r="G148" s="19">
        <f>IF(E148="","",E148-N(F148))</f>
        <v/>
      </c>
      <c r="H148" s="19" t="n"/>
      <c r="I148" s="19">
        <f>IF(G148="","",IF(G148&gt;=$C$9,IF(B148="G마켓",ROUNDDOWN(MIN(G148*$D$9,$E$9),0),ROUNDUP(MIN(G148*$D$9,$E$9),0)),0))</f>
        <v/>
      </c>
      <c r="J148" s="19">
        <f>IF(G148="","",IF(G148&gt;=$C$10,IF(B148="G마켓",ROUNDDOWN(MIN(G148*$D$10,$E$10),0),ROUNDUP(MIN(G148*$D$10,$E$10),0)),0))</f>
        <v/>
      </c>
      <c r="K148" s="19">
        <f>IF(G148="","",IF(G148&gt;=$C$11,IF(B148="G마켓",ROUNDDOWN(MIN(G148*$D$11,$E$11),0),ROUNDUP(MIN(G148*$D$11,$E$11),0)),0))</f>
        <v/>
      </c>
      <c r="L148" s="19">
        <f>IF(G148="","",IF(G148&gt;=$C$12,IF(B148="G마켓",ROUNDDOWN(MIN(G148*$D$12,$E$12),0),ROUNDUP(MIN(G148*$D$12,$E$12),0)),0))</f>
        <v/>
      </c>
      <c r="M148" s="19" t="n"/>
      <c r="N148" s="19">
        <f>IF(G148="","",MAX(I148,J148,K148,L148))</f>
        <v/>
      </c>
      <c r="O148" s="19">
        <f>IF(G148="","",G148-N148)</f>
        <v/>
      </c>
      <c r="P148" s="19" t="n"/>
      <c r="Q148" s="19">
        <f>IF(O148="","",IF(O148&gt;=$J$9,IF(B148="G마켓",ROUNDDOWN(MIN(O148*$K$9,$L$9),0),ROUNDUP(MIN(O148*$K$9,$L$9),0)),0))</f>
        <v/>
      </c>
      <c r="R148" s="19">
        <f>IF(O148="","",IF(O148&gt;=$J$10,IF(B148="G마켓",ROUNDDOWN(MIN(O148*$K$10,$L$10),0),ROUNDUP(MIN(O148*$K$10,$L$10),0)),0))</f>
        <v/>
      </c>
      <c r="S148" s="19">
        <f>IF(O148="","",IF(O148&gt;=$J$11,IF(B148="G마켓",ROUNDDOWN(MIN(O148*$K$11,$L$11),0),ROUNDUP(MIN(O148*$K$11,$L$11),0)),0))</f>
        <v/>
      </c>
      <c r="T148" s="19">
        <f>IF(O148="","",MAX(Q148,R148,S148))</f>
        <v/>
      </c>
      <c r="U148" s="19">
        <f>IF(O148="","",O148-T148)</f>
        <v/>
      </c>
      <c r="V148" s="19">
        <f>IF(O148="","",IF(B148="G마켓",ROUNDDOWN(MAX(Q148*$N$9,R148*$N$10,S148*$N$11),0),ROUNDUP(MAX(Q148*$N$9,R148*$N$10,S148*$N$11),0)))</f>
        <v/>
      </c>
      <c r="W148" s="19">
        <f>IF(G148="","",IF(B148="G마켓",ROUNDDOWN(G148-G148*$D$3-V148,0),ROUNDUP(G148-G148*$D$3-V148,0)))</f>
        <v/>
      </c>
    </row>
    <row r="149">
      <c r="B149" s="18" t="n"/>
      <c r="C149" s="18" t="n"/>
      <c r="D149" s="18" t="n"/>
      <c r="E149" s="19" t="n"/>
      <c r="F149" s="19" t="n"/>
      <c r="G149" s="19">
        <f>IF(E149="","",E149-N(F149))</f>
        <v/>
      </c>
      <c r="H149" s="19" t="n"/>
      <c r="I149" s="19">
        <f>IF(G149="","",IF(G149&gt;=$C$9,IF(B149="G마켓",ROUNDDOWN(MIN(G149*$D$9,$E$9),0),ROUNDUP(MIN(G149*$D$9,$E$9),0)),0))</f>
        <v/>
      </c>
      <c r="J149" s="19">
        <f>IF(G149="","",IF(G149&gt;=$C$10,IF(B149="G마켓",ROUNDDOWN(MIN(G149*$D$10,$E$10),0),ROUNDUP(MIN(G149*$D$10,$E$10),0)),0))</f>
        <v/>
      </c>
      <c r="K149" s="19">
        <f>IF(G149="","",IF(G149&gt;=$C$11,IF(B149="G마켓",ROUNDDOWN(MIN(G149*$D$11,$E$11),0),ROUNDUP(MIN(G149*$D$11,$E$11),0)),0))</f>
        <v/>
      </c>
      <c r="L149" s="19">
        <f>IF(G149="","",IF(G149&gt;=$C$12,IF(B149="G마켓",ROUNDDOWN(MIN(G149*$D$12,$E$12),0),ROUNDUP(MIN(G149*$D$12,$E$12),0)),0))</f>
        <v/>
      </c>
      <c r="M149" s="19" t="n"/>
      <c r="N149" s="19">
        <f>IF(G149="","",MAX(I149,J149,K149,L149))</f>
        <v/>
      </c>
      <c r="O149" s="19">
        <f>IF(G149="","",G149-N149)</f>
        <v/>
      </c>
      <c r="P149" s="19" t="n"/>
      <c r="Q149" s="19">
        <f>IF(O149="","",IF(O149&gt;=$J$9,IF(B149="G마켓",ROUNDDOWN(MIN(O149*$K$9,$L$9),0),ROUNDUP(MIN(O149*$K$9,$L$9),0)),0))</f>
        <v/>
      </c>
      <c r="R149" s="19">
        <f>IF(O149="","",IF(O149&gt;=$J$10,IF(B149="G마켓",ROUNDDOWN(MIN(O149*$K$10,$L$10),0),ROUNDUP(MIN(O149*$K$10,$L$10),0)),0))</f>
        <v/>
      </c>
      <c r="S149" s="19">
        <f>IF(O149="","",IF(O149&gt;=$J$11,IF(B149="G마켓",ROUNDDOWN(MIN(O149*$K$11,$L$11),0),ROUNDUP(MIN(O149*$K$11,$L$11),0)),0))</f>
        <v/>
      </c>
      <c r="T149" s="19">
        <f>IF(O149="","",MAX(Q149,R149,S149))</f>
        <v/>
      </c>
      <c r="U149" s="19">
        <f>IF(O149="","",O149-T149)</f>
        <v/>
      </c>
      <c r="V149" s="19">
        <f>IF(O149="","",IF(B149="G마켓",ROUNDDOWN(MAX(Q149*$N$9,R149*$N$10,S149*$N$11),0),ROUNDUP(MAX(Q149*$N$9,R149*$N$10,S149*$N$11),0)))</f>
        <v/>
      </c>
      <c r="W149" s="19">
        <f>IF(G149="","",IF(B149="G마켓",ROUNDDOWN(G149-G149*$D$3-V149,0),ROUNDUP(G149-G149*$D$3-V149,0)))</f>
        <v/>
      </c>
    </row>
    <row r="150">
      <c r="B150" s="18" t="n"/>
      <c r="C150" s="18" t="n"/>
      <c r="D150" s="18" t="n"/>
      <c r="E150" s="19" t="n"/>
      <c r="F150" s="19" t="n"/>
      <c r="G150" s="19">
        <f>IF(E150="","",E150-N(F150))</f>
        <v/>
      </c>
      <c r="H150" s="19" t="n"/>
      <c r="I150" s="19">
        <f>IF(G150="","",IF(G150&gt;=$C$9,IF(B150="G마켓",ROUNDDOWN(MIN(G150*$D$9,$E$9),0),ROUNDUP(MIN(G150*$D$9,$E$9),0)),0))</f>
        <v/>
      </c>
      <c r="J150" s="19">
        <f>IF(G150="","",IF(G150&gt;=$C$10,IF(B150="G마켓",ROUNDDOWN(MIN(G150*$D$10,$E$10),0),ROUNDUP(MIN(G150*$D$10,$E$10),0)),0))</f>
        <v/>
      </c>
      <c r="K150" s="19">
        <f>IF(G150="","",IF(G150&gt;=$C$11,IF(B150="G마켓",ROUNDDOWN(MIN(G150*$D$11,$E$11),0),ROUNDUP(MIN(G150*$D$11,$E$11),0)),0))</f>
        <v/>
      </c>
      <c r="L150" s="19">
        <f>IF(G150="","",IF(G150&gt;=$C$12,IF(B150="G마켓",ROUNDDOWN(MIN(G150*$D$12,$E$12),0),ROUNDUP(MIN(G150*$D$12,$E$12),0)),0))</f>
        <v/>
      </c>
      <c r="M150" s="19" t="n"/>
      <c r="N150" s="19">
        <f>IF(G150="","",MAX(I150,J150,K150,L150))</f>
        <v/>
      </c>
      <c r="O150" s="19">
        <f>IF(G150="","",G150-N150)</f>
        <v/>
      </c>
      <c r="P150" s="19" t="n"/>
      <c r="Q150" s="19">
        <f>IF(O150="","",IF(O150&gt;=$J$9,IF(B150="G마켓",ROUNDDOWN(MIN(O150*$K$9,$L$9),0),ROUNDUP(MIN(O150*$K$9,$L$9),0)),0))</f>
        <v/>
      </c>
      <c r="R150" s="19">
        <f>IF(O150="","",IF(O150&gt;=$J$10,IF(B150="G마켓",ROUNDDOWN(MIN(O150*$K$10,$L$10),0),ROUNDUP(MIN(O150*$K$10,$L$10),0)),0))</f>
        <v/>
      </c>
      <c r="S150" s="19">
        <f>IF(O150="","",IF(O150&gt;=$J$11,IF(B150="G마켓",ROUNDDOWN(MIN(O150*$K$11,$L$11),0),ROUNDUP(MIN(O150*$K$11,$L$11),0)),0))</f>
        <v/>
      </c>
      <c r="T150" s="19">
        <f>IF(O150="","",MAX(Q150,R150,S150))</f>
        <v/>
      </c>
      <c r="U150" s="19">
        <f>IF(O150="","",O150-T150)</f>
        <v/>
      </c>
      <c r="V150" s="19">
        <f>IF(O150="","",IF(B150="G마켓",ROUNDDOWN(MAX(Q150*$N$9,R150*$N$10,S150*$N$11),0),ROUNDUP(MAX(Q150*$N$9,R150*$N$10,S150*$N$11),0)))</f>
        <v/>
      </c>
      <c r="W150" s="19">
        <f>IF(G150="","",IF(B150="G마켓",ROUNDDOWN(G150-G150*$D$3-V150,0),ROUNDUP(G150-G150*$D$3-V150,0)))</f>
        <v/>
      </c>
    </row>
    <row r="151">
      <c r="B151" s="18" t="n"/>
      <c r="C151" s="18" t="n"/>
      <c r="D151" s="18" t="n"/>
      <c r="E151" s="19" t="n"/>
      <c r="F151" s="19" t="n"/>
      <c r="G151" s="19">
        <f>IF(E151="","",E151-N(F151))</f>
        <v/>
      </c>
      <c r="H151" s="19" t="n"/>
      <c r="I151" s="19">
        <f>IF(G151="","",IF(G151&gt;=$C$9,IF(B151="G마켓",ROUNDDOWN(MIN(G151*$D$9,$E$9),0),ROUNDUP(MIN(G151*$D$9,$E$9),0)),0))</f>
        <v/>
      </c>
      <c r="J151" s="19">
        <f>IF(G151="","",IF(G151&gt;=$C$10,IF(B151="G마켓",ROUNDDOWN(MIN(G151*$D$10,$E$10),0),ROUNDUP(MIN(G151*$D$10,$E$10),0)),0))</f>
        <v/>
      </c>
      <c r="K151" s="19">
        <f>IF(G151="","",IF(G151&gt;=$C$11,IF(B151="G마켓",ROUNDDOWN(MIN(G151*$D$11,$E$11),0),ROUNDUP(MIN(G151*$D$11,$E$11),0)),0))</f>
        <v/>
      </c>
      <c r="L151" s="19">
        <f>IF(G151="","",IF(G151&gt;=$C$12,IF(B151="G마켓",ROUNDDOWN(MIN(G151*$D$12,$E$12),0),ROUNDUP(MIN(G151*$D$12,$E$12),0)),0))</f>
        <v/>
      </c>
      <c r="M151" s="19" t="n"/>
      <c r="N151" s="19">
        <f>IF(G151="","",MAX(I151,J151,K151,L151))</f>
        <v/>
      </c>
      <c r="O151" s="19">
        <f>IF(G151="","",G151-N151)</f>
        <v/>
      </c>
      <c r="P151" s="19" t="n"/>
      <c r="Q151" s="19">
        <f>IF(O151="","",IF(O151&gt;=$J$9,IF(B151="G마켓",ROUNDDOWN(MIN(O151*$K$9,$L$9),0),ROUNDUP(MIN(O151*$K$9,$L$9),0)),0))</f>
        <v/>
      </c>
      <c r="R151" s="19">
        <f>IF(O151="","",IF(O151&gt;=$J$10,IF(B151="G마켓",ROUNDDOWN(MIN(O151*$K$10,$L$10),0),ROUNDUP(MIN(O151*$K$10,$L$10),0)),0))</f>
        <v/>
      </c>
      <c r="S151" s="19">
        <f>IF(O151="","",IF(O151&gt;=$J$11,IF(B151="G마켓",ROUNDDOWN(MIN(O151*$K$11,$L$11),0),ROUNDUP(MIN(O151*$K$11,$L$11),0)),0))</f>
        <v/>
      </c>
      <c r="T151" s="19">
        <f>IF(O151="","",MAX(Q151,R151,S151))</f>
        <v/>
      </c>
      <c r="U151" s="19">
        <f>IF(O151="","",O151-T151)</f>
        <v/>
      </c>
      <c r="V151" s="19">
        <f>IF(O151="","",IF(B151="G마켓",ROUNDDOWN(MAX(Q151*$N$9,R151*$N$10,S151*$N$11),0),ROUNDUP(MAX(Q151*$N$9,R151*$N$10,S151*$N$11),0)))</f>
        <v/>
      </c>
      <c r="W151" s="19">
        <f>IF(G151="","",IF(B151="G마켓",ROUNDDOWN(G151-G151*$D$3-V151,0),ROUNDUP(G151-G151*$D$3-V151,0)))</f>
        <v/>
      </c>
    </row>
    <row r="152">
      <c r="B152" s="18" t="n"/>
      <c r="C152" s="18" t="n"/>
      <c r="D152" s="18" t="n"/>
      <c r="E152" s="19" t="n"/>
      <c r="F152" s="19" t="n"/>
      <c r="G152" s="19">
        <f>IF(E152="","",E152-N(F152))</f>
        <v/>
      </c>
      <c r="H152" s="19" t="n"/>
      <c r="I152" s="19">
        <f>IF(G152="","",IF(G152&gt;=$C$9,IF(B152="G마켓",ROUNDDOWN(MIN(G152*$D$9,$E$9),0),ROUNDUP(MIN(G152*$D$9,$E$9),0)),0))</f>
        <v/>
      </c>
      <c r="J152" s="19">
        <f>IF(G152="","",IF(G152&gt;=$C$10,IF(B152="G마켓",ROUNDDOWN(MIN(G152*$D$10,$E$10),0),ROUNDUP(MIN(G152*$D$10,$E$10),0)),0))</f>
        <v/>
      </c>
      <c r="K152" s="19">
        <f>IF(G152="","",IF(G152&gt;=$C$11,IF(B152="G마켓",ROUNDDOWN(MIN(G152*$D$11,$E$11),0),ROUNDUP(MIN(G152*$D$11,$E$11),0)),0))</f>
        <v/>
      </c>
      <c r="L152" s="19">
        <f>IF(G152="","",IF(G152&gt;=$C$12,IF(B152="G마켓",ROUNDDOWN(MIN(G152*$D$12,$E$12),0),ROUNDUP(MIN(G152*$D$12,$E$12),0)),0))</f>
        <v/>
      </c>
      <c r="M152" s="19" t="n"/>
      <c r="N152" s="19">
        <f>IF(G152="","",MAX(I152,J152,K152,L152))</f>
        <v/>
      </c>
      <c r="O152" s="19">
        <f>IF(G152="","",G152-N152)</f>
        <v/>
      </c>
      <c r="P152" s="19" t="n"/>
      <c r="Q152" s="19">
        <f>IF(O152="","",IF(O152&gt;=$J$9,IF(B152="G마켓",ROUNDDOWN(MIN(O152*$K$9,$L$9),0),ROUNDUP(MIN(O152*$K$9,$L$9),0)),0))</f>
        <v/>
      </c>
      <c r="R152" s="19">
        <f>IF(O152="","",IF(O152&gt;=$J$10,IF(B152="G마켓",ROUNDDOWN(MIN(O152*$K$10,$L$10),0),ROUNDUP(MIN(O152*$K$10,$L$10),0)),0))</f>
        <v/>
      </c>
      <c r="S152" s="19">
        <f>IF(O152="","",IF(O152&gt;=$J$11,IF(B152="G마켓",ROUNDDOWN(MIN(O152*$K$11,$L$11),0),ROUNDUP(MIN(O152*$K$11,$L$11),0)),0))</f>
        <v/>
      </c>
      <c r="T152" s="19">
        <f>IF(O152="","",MAX(Q152,R152,S152))</f>
        <v/>
      </c>
      <c r="U152" s="19">
        <f>IF(O152="","",O152-T152)</f>
        <v/>
      </c>
      <c r="V152" s="19">
        <f>IF(O152="","",IF(B152="G마켓",ROUNDDOWN(MAX(Q152*$N$9,R152*$N$10,S152*$N$11),0),ROUNDUP(MAX(Q152*$N$9,R152*$N$10,S152*$N$11),0)))</f>
        <v/>
      </c>
      <c r="W152" s="19">
        <f>IF(G152="","",IF(B152="G마켓",ROUNDDOWN(G152-G152*$D$3-V152,0),ROUNDUP(G152-G152*$D$3-V152,0)))</f>
        <v/>
      </c>
    </row>
    <row r="153">
      <c r="B153" s="18" t="n"/>
      <c r="C153" s="18" t="n"/>
      <c r="D153" s="18" t="n"/>
      <c r="E153" s="19" t="n"/>
      <c r="F153" s="19" t="n"/>
      <c r="G153" s="19">
        <f>IF(E153="","",E153-N(F153))</f>
        <v/>
      </c>
      <c r="H153" s="19" t="n"/>
      <c r="I153" s="19">
        <f>IF(G153="","",IF(G153&gt;=$C$9,IF(B153="G마켓",ROUNDDOWN(MIN(G153*$D$9,$E$9),0),ROUNDUP(MIN(G153*$D$9,$E$9),0)),0))</f>
        <v/>
      </c>
      <c r="J153" s="19">
        <f>IF(G153="","",IF(G153&gt;=$C$10,IF(B153="G마켓",ROUNDDOWN(MIN(G153*$D$10,$E$10),0),ROUNDUP(MIN(G153*$D$10,$E$10),0)),0))</f>
        <v/>
      </c>
      <c r="K153" s="19">
        <f>IF(G153="","",IF(G153&gt;=$C$11,IF(B153="G마켓",ROUNDDOWN(MIN(G153*$D$11,$E$11),0),ROUNDUP(MIN(G153*$D$11,$E$11),0)),0))</f>
        <v/>
      </c>
      <c r="L153" s="19">
        <f>IF(G153="","",IF(G153&gt;=$C$12,IF(B153="G마켓",ROUNDDOWN(MIN(G153*$D$12,$E$12),0),ROUNDUP(MIN(G153*$D$12,$E$12),0)),0))</f>
        <v/>
      </c>
      <c r="M153" s="19" t="n"/>
      <c r="N153" s="19">
        <f>IF(G153="","",MAX(I153,J153,K153,L153))</f>
        <v/>
      </c>
      <c r="O153" s="19">
        <f>IF(G153="","",G153-N153)</f>
        <v/>
      </c>
      <c r="P153" s="19" t="n"/>
      <c r="Q153" s="19">
        <f>IF(O153="","",IF(O153&gt;=$J$9,IF(B153="G마켓",ROUNDDOWN(MIN(O153*$K$9,$L$9),0),ROUNDUP(MIN(O153*$K$9,$L$9),0)),0))</f>
        <v/>
      </c>
      <c r="R153" s="19">
        <f>IF(O153="","",IF(O153&gt;=$J$10,IF(B153="G마켓",ROUNDDOWN(MIN(O153*$K$10,$L$10),0),ROUNDUP(MIN(O153*$K$10,$L$10),0)),0))</f>
        <v/>
      </c>
      <c r="S153" s="19">
        <f>IF(O153="","",IF(O153&gt;=$J$11,IF(B153="G마켓",ROUNDDOWN(MIN(O153*$K$11,$L$11),0),ROUNDUP(MIN(O153*$K$11,$L$11),0)),0))</f>
        <v/>
      </c>
      <c r="T153" s="19">
        <f>IF(O153="","",MAX(Q153,R153,S153))</f>
        <v/>
      </c>
      <c r="U153" s="19">
        <f>IF(O153="","",O153-T153)</f>
        <v/>
      </c>
      <c r="V153" s="19">
        <f>IF(O153="","",IF(B153="G마켓",ROUNDDOWN(MAX(Q153*$N$9,R153*$N$10,S153*$N$11),0),ROUNDUP(MAX(Q153*$N$9,R153*$N$10,S153*$N$11),0)))</f>
        <v/>
      </c>
      <c r="W153" s="19">
        <f>IF(G153="","",IF(B153="G마켓",ROUNDDOWN(G153-G153*$D$3-V153,0),ROUNDUP(G153-G153*$D$3-V153,0)))</f>
        <v/>
      </c>
    </row>
    <row r="154">
      <c r="B154" s="18" t="n"/>
      <c r="C154" s="18" t="n"/>
      <c r="D154" s="18" t="n"/>
      <c r="E154" s="19" t="n"/>
      <c r="F154" s="19" t="n"/>
      <c r="G154" s="19">
        <f>IF(E154="","",E154-N(F154))</f>
        <v/>
      </c>
      <c r="H154" s="19" t="n"/>
      <c r="I154" s="19">
        <f>IF(G154="","",IF(G154&gt;=$C$9,IF(B154="G마켓",ROUNDDOWN(MIN(G154*$D$9,$E$9),0),ROUNDUP(MIN(G154*$D$9,$E$9),0)),0))</f>
        <v/>
      </c>
      <c r="J154" s="19">
        <f>IF(G154="","",IF(G154&gt;=$C$10,IF(B154="G마켓",ROUNDDOWN(MIN(G154*$D$10,$E$10),0),ROUNDUP(MIN(G154*$D$10,$E$10),0)),0))</f>
        <v/>
      </c>
      <c r="K154" s="19">
        <f>IF(G154="","",IF(G154&gt;=$C$11,IF(B154="G마켓",ROUNDDOWN(MIN(G154*$D$11,$E$11),0),ROUNDUP(MIN(G154*$D$11,$E$11),0)),0))</f>
        <v/>
      </c>
      <c r="L154" s="19">
        <f>IF(G154="","",IF(G154&gt;=$C$12,IF(B154="G마켓",ROUNDDOWN(MIN(G154*$D$12,$E$12),0),ROUNDUP(MIN(G154*$D$12,$E$12),0)),0))</f>
        <v/>
      </c>
      <c r="M154" s="19" t="n"/>
      <c r="N154" s="19">
        <f>IF(G154="","",MAX(I154,J154,K154,L154))</f>
        <v/>
      </c>
      <c r="O154" s="19">
        <f>IF(G154="","",G154-N154)</f>
        <v/>
      </c>
      <c r="P154" s="19" t="n"/>
      <c r="Q154" s="19">
        <f>IF(O154="","",IF(O154&gt;=$J$9,IF(B154="G마켓",ROUNDDOWN(MIN(O154*$K$9,$L$9),0),ROUNDUP(MIN(O154*$K$9,$L$9),0)),0))</f>
        <v/>
      </c>
      <c r="R154" s="19">
        <f>IF(O154="","",IF(O154&gt;=$J$10,IF(B154="G마켓",ROUNDDOWN(MIN(O154*$K$10,$L$10),0),ROUNDUP(MIN(O154*$K$10,$L$10),0)),0))</f>
        <v/>
      </c>
      <c r="S154" s="19">
        <f>IF(O154="","",IF(O154&gt;=$J$11,IF(B154="G마켓",ROUNDDOWN(MIN(O154*$K$11,$L$11),0),ROUNDUP(MIN(O154*$K$11,$L$11),0)),0))</f>
        <v/>
      </c>
      <c r="T154" s="19">
        <f>IF(O154="","",MAX(Q154,R154,S154))</f>
        <v/>
      </c>
      <c r="U154" s="19">
        <f>IF(O154="","",O154-T154)</f>
        <v/>
      </c>
      <c r="V154" s="19">
        <f>IF(O154="","",IF(B154="G마켓",ROUNDDOWN(MAX(Q154*$N$9,R154*$N$10,S154*$N$11),0),ROUNDUP(MAX(Q154*$N$9,R154*$N$10,S154*$N$11),0)))</f>
        <v/>
      </c>
      <c r="W154" s="19">
        <f>IF(G154="","",IF(B154="G마켓",ROUNDDOWN(G154-G154*$D$3-V154,0),ROUNDUP(G154-G154*$D$3-V154,0)))</f>
        <v/>
      </c>
    </row>
    <row r="155">
      <c r="B155" s="18" t="n"/>
      <c r="C155" s="18" t="n"/>
      <c r="D155" s="18" t="n"/>
      <c r="E155" s="19" t="n"/>
      <c r="F155" s="19" t="n"/>
      <c r="G155" s="19">
        <f>IF(E155="","",E155-N(F155))</f>
        <v/>
      </c>
      <c r="H155" s="19" t="n"/>
      <c r="I155" s="19">
        <f>IF(G155="","",IF(G155&gt;=$C$9,IF(B155="G마켓",ROUNDDOWN(MIN(G155*$D$9,$E$9),0),ROUNDUP(MIN(G155*$D$9,$E$9),0)),0))</f>
        <v/>
      </c>
      <c r="J155" s="19">
        <f>IF(G155="","",IF(G155&gt;=$C$10,IF(B155="G마켓",ROUNDDOWN(MIN(G155*$D$10,$E$10),0),ROUNDUP(MIN(G155*$D$10,$E$10),0)),0))</f>
        <v/>
      </c>
      <c r="K155" s="19">
        <f>IF(G155="","",IF(G155&gt;=$C$11,IF(B155="G마켓",ROUNDDOWN(MIN(G155*$D$11,$E$11),0),ROUNDUP(MIN(G155*$D$11,$E$11),0)),0))</f>
        <v/>
      </c>
      <c r="L155" s="19">
        <f>IF(G155="","",IF(G155&gt;=$C$12,IF(B155="G마켓",ROUNDDOWN(MIN(G155*$D$12,$E$12),0),ROUNDUP(MIN(G155*$D$12,$E$12),0)),0))</f>
        <v/>
      </c>
      <c r="M155" s="19" t="n"/>
      <c r="N155" s="19">
        <f>IF(G155="","",MAX(I155,J155,K155,L155))</f>
        <v/>
      </c>
      <c r="O155" s="19">
        <f>IF(G155="","",G155-N155)</f>
        <v/>
      </c>
      <c r="P155" s="19" t="n"/>
      <c r="Q155" s="19">
        <f>IF(O155="","",IF(O155&gt;=$J$9,IF(B155="G마켓",ROUNDDOWN(MIN(O155*$K$9,$L$9),0),ROUNDUP(MIN(O155*$K$9,$L$9),0)),0))</f>
        <v/>
      </c>
      <c r="R155" s="19">
        <f>IF(O155="","",IF(O155&gt;=$J$10,IF(B155="G마켓",ROUNDDOWN(MIN(O155*$K$10,$L$10),0),ROUNDUP(MIN(O155*$K$10,$L$10),0)),0))</f>
        <v/>
      </c>
      <c r="S155" s="19">
        <f>IF(O155="","",IF(O155&gt;=$J$11,IF(B155="G마켓",ROUNDDOWN(MIN(O155*$K$11,$L$11),0),ROUNDUP(MIN(O155*$K$11,$L$11),0)),0))</f>
        <v/>
      </c>
      <c r="T155" s="19">
        <f>IF(O155="","",MAX(Q155,R155,S155))</f>
        <v/>
      </c>
      <c r="U155" s="19">
        <f>IF(O155="","",O155-T155)</f>
        <v/>
      </c>
      <c r="V155" s="19">
        <f>IF(O155="","",IF(B155="G마켓",ROUNDDOWN(MAX(Q155*$N$9,R155*$N$10,S155*$N$11),0),ROUNDUP(MAX(Q155*$N$9,R155*$N$10,S155*$N$11),0)))</f>
        <v/>
      </c>
      <c r="W155" s="19">
        <f>IF(G155="","",IF(B155="G마켓",ROUNDDOWN(G155-G155*$D$3-V155,0),ROUNDUP(G155-G155*$D$3-V155,0)))</f>
        <v/>
      </c>
    </row>
    <row r="156">
      <c r="B156" s="18" t="n"/>
      <c r="C156" s="18" t="n"/>
      <c r="D156" s="18" t="n"/>
      <c r="E156" s="19" t="n"/>
      <c r="F156" s="19" t="n"/>
      <c r="G156" s="19">
        <f>IF(E156="","",E156-N(F156))</f>
        <v/>
      </c>
      <c r="H156" s="19" t="n"/>
      <c r="I156" s="19">
        <f>IF(G156="","",IF(G156&gt;=$C$9,IF(B156="G마켓",ROUNDDOWN(MIN(G156*$D$9,$E$9),0),ROUNDUP(MIN(G156*$D$9,$E$9),0)),0))</f>
        <v/>
      </c>
      <c r="J156" s="19">
        <f>IF(G156="","",IF(G156&gt;=$C$10,IF(B156="G마켓",ROUNDDOWN(MIN(G156*$D$10,$E$10),0),ROUNDUP(MIN(G156*$D$10,$E$10),0)),0))</f>
        <v/>
      </c>
      <c r="K156" s="19">
        <f>IF(G156="","",IF(G156&gt;=$C$11,IF(B156="G마켓",ROUNDDOWN(MIN(G156*$D$11,$E$11),0),ROUNDUP(MIN(G156*$D$11,$E$11),0)),0))</f>
        <v/>
      </c>
      <c r="L156" s="19">
        <f>IF(G156="","",IF(G156&gt;=$C$12,IF(B156="G마켓",ROUNDDOWN(MIN(G156*$D$12,$E$12),0),ROUNDUP(MIN(G156*$D$12,$E$12),0)),0))</f>
        <v/>
      </c>
      <c r="M156" s="19" t="n"/>
      <c r="N156" s="19">
        <f>IF(G156="","",MAX(I156,J156,K156,L156))</f>
        <v/>
      </c>
      <c r="O156" s="19">
        <f>IF(G156="","",G156-N156)</f>
        <v/>
      </c>
      <c r="P156" s="19" t="n"/>
      <c r="Q156" s="19">
        <f>IF(O156="","",IF(O156&gt;=$J$9,IF(B156="G마켓",ROUNDDOWN(MIN(O156*$K$9,$L$9),0),ROUNDUP(MIN(O156*$K$9,$L$9),0)),0))</f>
        <v/>
      </c>
      <c r="R156" s="19">
        <f>IF(O156="","",IF(O156&gt;=$J$10,IF(B156="G마켓",ROUNDDOWN(MIN(O156*$K$10,$L$10),0),ROUNDUP(MIN(O156*$K$10,$L$10),0)),0))</f>
        <v/>
      </c>
      <c r="S156" s="19">
        <f>IF(O156="","",IF(O156&gt;=$J$11,IF(B156="G마켓",ROUNDDOWN(MIN(O156*$K$11,$L$11),0),ROUNDUP(MIN(O156*$K$11,$L$11),0)),0))</f>
        <v/>
      </c>
      <c r="T156" s="19">
        <f>IF(O156="","",MAX(Q156,R156,S156))</f>
        <v/>
      </c>
      <c r="U156" s="19">
        <f>IF(O156="","",O156-T156)</f>
        <v/>
      </c>
      <c r="V156" s="19">
        <f>IF(O156="","",IF(B156="G마켓",ROUNDDOWN(MAX(Q156*$N$9,R156*$N$10,S156*$N$11),0),ROUNDUP(MAX(Q156*$N$9,R156*$N$10,S156*$N$11),0)))</f>
        <v/>
      </c>
      <c r="W156" s="19">
        <f>IF(G156="","",IF(B156="G마켓",ROUNDDOWN(G156-G156*$D$3-V156,0),ROUNDUP(G156-G156*$D$3-V156,0)))</f>
        <v/>
      </c>
    </row>
    <row r="157">
      <c r="B157" s="18" t="n"/>
      <c r="C157" s="18" t="n"/>
      <c r="D157" s="18" t="n"/>
      <c r="E157" s="19" t="n"/>
      <c r="F157" s="19" t="n"/>
      <c r="G157" s="19">
        <f>IF(E157="","",E157-N(F157))</f>
        <v/>
      </c>
      <c r="H157" s="19" t="n"/>
      <c r="I157" s="19">
        <f>IF(G157="","",IF(G157&gt;=$C$9,IF(B157="G마켓",ROUNDDOWN(MIN(G157*$D$9,$E$9),0),ROUNDUP(MIN(G157*$D$9,$E$9),0)),0))</f>
        <v/>
      </c>
      <c r="J157" s="19">
        <f>IF(G157="","",IF(G157&gt;=$C$10,IF(B157="G마켓",ROUNDDOWN(MIN(G157*$D$10,$E$10),0),ROUNDUP(MIN(G157*$D$10,$E$10),0)),0))</f>
        <v/>
      </c>
      <c r="K157" s="19">
        <f>IF(G157="","",IF(G157&gt;=$C$11,IF(B157="G마켓",ROUNDDOWN(MIN(G157*$D$11,$E$11),0),ROUNDUP(MIN(G157*$D$11,$E$11),0)),0))</f>
        <v/>
      </c>
      <c r="L157" s="19">
        <f>IF(G157="","",IF(G157&gt;=$C$12,IF(B157="G마켓",ROUNDDOWN(MIN(G157*$D$12,$E$12),0),ROUNDUP(MIN(G157*$D$12,$E$12),0)),0))</f>
        <v/>
      </c>
      <c r="M157" s="19" t="n"/>
      <c r="N157" s="19">
        <f>IF(G157="","",MAX(I157,J157,K157,L157))</f>
        <v/>
      </c>
      <c r="O157" s="19">
        <f>IF(G157="","",G157-N157)</f>
        <v/>
      </c>
      <c r="P157" s="19" t="n"/>
      <c r="Q157" s="19">
        <f>IF(O157="","",IF(O157&gt;=$J$9,IF(B157="G마켓",ROUNDDOWN(MIN(O157*$K$9,$L$9),0),ROUNDUP(MIN(O157*$K$9,$L$9),0)),0))</f>
        <v/>
      </c>
      <c r="R157" s="19">
        <f>IF(O157="","",IF(O157&gt;=$J$10,IF(B157="G마켓",ROUNDDOWN(MIN(O157*$K$10,$L$10),0),ROUNDUP(MIN(O157*$K$10,$L$10),0)),0))</f>
        <v/>
      </c>
      <c r="S157" s="19">
        <f>IF(O157="","",IF(O157&gt;=$J$11,IF(B157="G마켓",ROUNDDOWN(MIN(O157*$K$11,$L$11),0),ROUNDUP(MIN(O157*$K$11,$L$11),0)),0))</f>
        <v/>
      </c>
      <c r="T157" s="19">
        <f>IF(O157="","",MAX(Q157,R157,S157))</f>
        <v/>
      </c>
      <c r="U157" s="19">
        <f>IF(O157="","",O157-T157)</f>
        <v/>
      </c>
      <c r="V157" s="19">
        <f>IF(O157="","",IF(B157="G마켓",ROUNDDOWN(MAX(Q157*$N$9,R157*$N$10,S157*$N$11),0),ROUNDUP(MAX(Q157*$N$9,R157*$N$10,S157*$N$11),0)))</f>
        <v/>
      </c>
      <c r="W157" s="19">
        <f>IF(G157="","",IF(B157="G마켓",ROUNDDOWN(G157-G157*$D$3-V157,0),ROUNDUP(G157-G157*$D$3-V157,0)))</f>
        <v/>
      </c>
    </row>
    <row r="158">
      <c r="B158" s="18" t="n"/>
      <c r="C158" s="18" t="n"/>
      <c r="D158" s="18" t="n"/>
      <c r="E158" s="19" t="n"/>
      <c r="F158" s="19" t="n"/>
      <c r="G158" s="19">
        <f>IF(E158="","",E158-N(F158))</f>
        <v/>
      </c>
      <c r="H158" s="19" t="n"/>
      <c r="I158" s="19">
        <f>IF(G158="","",IF(G158&gt;=$C$9,IF(B158="G마켓",ROUNDDOWN(MIN(G158*$D$9,$E$9),0),ROUNDUP(MIN(G158*$D$9,$E$9),0)),0))</f>
        <v/>
      </c>
      <c r="J158" s="19">
        <f>IF(G158="","",IF(G158&gt;=$C$10,IF(B158="G마켓",ROUNDDOWN(MIN(G158*$D$10,$E$10),0),ROUNDUP(MIN(G158*$D$10,$E$10),0)),0))</f>
        <v/>
      </c>
      <c r="K158" s="19">
        <f>IF(G158="","",IF(G158&gt;=$C$11,IF(B158="G마켓",ROUNDDOWN(MIN(G158*$D$11,$E$11),0),ROUNDUP(MIN(G158*$D$11,$E$11),0)),0))</f>
        <v/>
      </c>
      <c r="L158" s="19">
        <f>IF(G158="","",IF(G158&gt;=$C$12,IF(B158="G마켓",ROUNDDOWN(MIN(G158*$D$12,$E$12),0),ROUNDUP(MIN(G158*$D$12,$E$12),0)),0))</f>
        <v/>
      </c>
      <c r="M158" s="19" t="n"/>
      <c r="N158" s="19">
        <f>IF(G158="","",MAX(I158,J158,K158,L158))</f>
        <v/>
      </c>
      <c r="O158" s="19">
        <f>IF(G158="","",G158-N158)</f>
        <v/>
      </c>
      <c r="P158" s="19" t="n"/>
      <c r="Q158" s="19">
        <f>IF(O158="","",IF(O158&gt;=$J$9,IF(B158="G마켓",ROUNDDOWN(MIN(O158*$K$9,$L$9),0),ROUNDUP(MIN(O158*$K$9,$L$9),0)),0))</f>
        <v/>
      </c>
      <c r="R158" s="19">
        <f>IF(O158="","",IF(O158&gt;=$J$10,IF(B158="G마켓",ROUNDDOWN(MIN(O158*$K$10,$L$10),0),ROUNDUP(MIN(O158*$K$10,$L$10),0)),0))</f>
        <v/>
      </c>
      <c r="S158" s="19">
        <f>IF(O158="","",IF(O158&gt;=$J$11,IF(B158="G마켓",ROUNDDOWN(MIN(O158*$K$11,$L$11),0),ROUNDUP(MIN(O158*$K$11,$L$11),0)),0))</f>
        <v/>
      </c>
      <c r="T158" s="19">
        <f>IF(O158="","",MAX(Q158,R158,S158))</f>
        <v/>
      </c>
      <c r="U158" s="19">
        <f>IF(O158="","",O158-T158)</f>
        <v/>
      </c>
      <c r="V158" s="19">
        <f>IF(O158="","",IF(B158="G마켓",ROUNDDOWN(MAX(Q158*$N$9,R158*$N$10,S158*$N$11),0),ROUNDUP(MAX(Q158*$N$9,R158*$N$10,S158*$N$11),0)))</f>
        <v/>
      </c>
      <c r="W158" s="19">
        <f>IF(G158="","",IF(B158="G마켓",ROUNDDOWN(G158-G158*$D$3-V158,0),ROUNDUP(G158-G158*$D$3-V158,0)))</f>
        <v/>
      </c>
    </row>
    <row r="159">
      <c r="B159" s="18" t="n"/>
      <c r="C159" s="18" t="n"/>
      <c r="D159" s="18" t="n"/>
      <c r="E159" s="19" t="n"/>
      <c r="F159" s="19" t="n"/>
      <c r="G159" s="19">
        <f>IF(E159="","",E159-N(F159))</f>
        <v/>
      </c>
      <c r="H159" s="19" t="n"/>
      <c r="I159" s="19">
        <f>IF(G159="","",IF(G159&gt;=$C$9,IF(B159="G마켓",ROUNDDOWN(MIN(G159*$D$9,$E$9),0),ROUNDUP(MIN(G159*$D$9,$E$9),0)),0))</f>
        <v/>
      </c>
      <c r="J159" s="19">
        <f>IF(G159="","",IF(G159&gt;=$C$10,IF(B159="G마켓",ROUNDDOWN(MIN(G159*$D$10,$E$10),0),ROUNDUP(MIN(G159*$D$10,$E$10),0)),0))</f>
        <v/>
      </c>
      <c r="K159" s="19">
        <f>IF(G159="","",IF(G159&gt;=$C$11,IF(B159="G마켓",ROUNDDOWN(MIN(G159*$D$11,$E$11),0),ROUNDUP(MIN(G159*$D$11,$E$11),0)),0))</f>
        <v/>
      </c>
      <c r="L159" s="19">
        <f>IF(G159="","",IF(G159&gt;=$C$12,IF(B159="G마켓",ROUNDDOWN(MIN(G159*$D$12,$E$12),0),ROUNDUP(MIN(G159*$D$12,$E$12),0)),0))</f>
        <v/>
      </c>
      <c r="M159" s="19" t="n"/>
      <c r="N159" s="19">
        <f>IF(G159="","",MAX(I159,J159,K159,L159))</f>
        <v/>
      </c>
      <c r="O159" s="19">
        <f>IF(G159="","",G159-N159)</f>
        <v/>
      </c>
      <c r="P159" s="19" t="n"/>
      <c r="Q159" s="19">
        <f>IF(O159="","",IF(O159&gt;=$J$9,IF(B159="G마켓",ROUNDDOWN(MIN(O159*$K$9,$L$9),0),ROUNDUP(MIN(O159*$K$9,$L$9),0)),0))</f>
        <v/>
      </c>
      <c r="R159" s="19">
        <f>IF(O159="","",IF(O159&gt;=$J$10,IF(B159="G마켓",ROUNDDOWN(MIN(O159*$K$10,$L$10),0),ROUNDUP(MIN(O159*$K$10,$L$10),0)),0))</f>
        <v/>
      </c>
      <c r="S159" s="19">
        <f>IF(O159="","",IF(O159&gt;=$J$11,IF(B159="G마켓",ROUNDDOWN(MIN(O159*$K$11,$L$11),0),ROUNDUP(MIN(O159*$K$11,$L$11),0)),0))</f>
        <v/>
      </c>
      <c r="T159" s="19">
        <f>IF(O159="","",MAX(Q159,R159,S159))</f>
        <v/>
      </c>
      <c r="U159" s="19">
        <f>IF(O159="","",O159-T159)</f>
        <v/>
      </c>
      <c r="V159" s="19">
        <f>IF(O159="","",IF(B159="G마켓",ROUNDDOWN(MAX(Q159*$N$9,R159*$N$10,S159*$N$11),0),ROUNDUP(MAX(Q159*$N$9,R159*$N$10,S159*$N$11),0)))</f>
        <v/>
      </c>
      <c r="W159" s="19">
        <f>IF(G159="","",IF(B159="G마켓",ROUNDDOWN(G159-G159*$D$3-V159,0),ROUNDUP(G159-G159*$D$3-V159,0)))</f>
        <v/>
      </c>
    </row>
    <row r="160">
      <c r="B160" s="18" t="n"/>
      <c r="C160" s="18" t="n"/>
      <c r="D160" s="18" t="n"/>
      <c r="E160" s="19" t="n"/>
      <c r="F160" s="19" t="n"/>
      <c r="G160" s="19">
        <f>IF(E160="","",E160-N(F160))</f>
        <v/>
      </c>
      <c r="H160" s="19" t="n"/>
      <c r="I160" s="19">
        <f>IF(G160="","",IF(G160&gt;=$C$9,IF(B160="G마켓",ROUNDDOWN(MIN(G160*$D$9,$E$9),0),ROUNDUP(MIN(G160*$D$9,$E$9),0)),0))</f>
        <v/>
      </c>
      <c r="J160" s="19">
        <f>IF(G160="","",IF(G160&gt;=$C$10,IF(B160="G마켓",ROUNDDOWN(MIN(G160*$D$10,$E$10),0),ROUNDUP(MIN(G160*$D$10,$E$10),0)),0))</f>
        <v/>
      </c>
      <c r="K160" s="19">
        <f>IF(G160="","",IF(G160&gt;=$C$11,IF(B160="G마켓",ROUNDDOWN(MIN(G160*$D$11,$E$11),0),ROUNDUP(MIN(G160*$D$11,$E$11),0)),0))</f>
        <v/>
      </c>
      <c r="L160" s="19">
        <f>IF(G160="","",IF(G160&gt;=$C$12,IF(B160="G마켓",ROUNDDOWN(MIN(G160*$D$12,$E$12),0),ROUNDUP(MIN(G160*$D$12,$E$12),0)),0))</f>
        <v/>
      </c>
      <c r="M160" s="19" t="n"/>
      <c r="N160" s="19">
        <f>IF(G160="","",MAX(I160,J160,K160,L160))</f>
        <v/>
      </c>
      <c r="O160" s="19">
        <f>IF(G160="","",G160-N160)</f>
        <v/>
      </c>
      <c r="P160" s="19" t="n"/>
      <c r="Q160" s="19">
        <f>IF(O160="","",IF(O160&gt;=$J$9,IF(B160="G마켓",ROUNDDOWN(MIN(O160*$K$9,$L$9),0),ROUNDUP(MIN(O160*$K$9,$L$9),0)),0))</f>
        <v/>
      </c>
      <c r="R160" s="19">
        <f>IF(O160="","",IF(O160&gt;=$J$10,IF(B160="G마켓",ROUNDDOWN(MIN(O160*$K$10,$L$10),0),ROUNDUP(MIN(O160*$K$10,$L$10),0)),0))</f>
        <v/>
      </c>
      <c r="S160" s="19">
        <f>IF(O160="","",IF(O160&gt;=$J$11,IF(B160="G마켓",ROUNDDOWN(MIN(O160*$K$11,$L$11),0),ROUNDUP(MIN(O160*$K$11,$L$11),0)),0))</f>
        <v/>
      </c>
      <c r="T160" s="19">
        <f>IF(O160="","",MAX(Q160,R160,S160))</f>
        <v/>
      </c>
      <c r="U160" s="19">
        <f>IF(O160="","",O160-T160)</f>
        <v/>
      </c>
      <c r="V160" s="19">
        <f>IF(O160="","",IF(B160="G마켓",ROUNDDOWN(MAX(Q160*$N$9,R160*$N$10,S160*$N$11),0),ROUNDUP(MAX(Q160*$N$9,R160*$N$10,S160*$N$11),0)))</f>
        <v/>
      </c>
      <c r="W160" s="19">
        <f>IF(G160="","",IF(B160="G마켓",ROUNDDOWN(G160-G160*$D$3-V160,0),ROUNDUP(G160-G160*$D$3-V160,0)))</f>
        <v/>
      </c>
    </row>
    <row r="161">
      <c r="B161" s="18" t="n"/>
      <c r="C161" s="18" t="n"/>
      <c r="D161" s="18" t="n"/>
      <c r="E161" s="19" t="n"/>
      <c r="F161" s="19" t="n"/>
      <c r="G161" s="19">
        <f>IF(E161="","",E161-N(F161))</f>
        <v/>
      </c>
      <c r="H161" s="19" t="n"/>
      <c r="I161" s="19">
        <f>IF(G161="","",IF(G161&gt;=$C$9,IF(B161="G마켓",ROUNDDOWN(MIN(G161*$D$9,$E$9),0),ROUNDUP(MIN(G161*$D$9,$E$9),0)),0))</f>
        <v/>
      </c>
      <c r="J161" s="19">
        <f>IF(G161="","",IF(G161&gt;=$C$10,IF(B161="G마켓",ROUNDDOWN(MIN(G161*$D$10,$E$10),0),ROUNDUP(MIN(G161*$D$10,$E$10),0)),0))</f>
        <v/>
      </c>
      <c r="K161" s="19">
        <f>IF(G161="","",IF(G161&gt;=$C$11,IF(B161="G마켓",ROUNDDOWN(MIN(G161*$D$11,$E$11),0),ROUNDUP(MIN(G161*$D$11,$E$11),0)),0))</f>
        <v/>
      </c>
      <c r="L161" s="19">
        <f>IF(G161="","",IF(G161&gt;=$C$12,IF(B161="G마켓",ROUNDDOWN(MIN(G161*$D$12,$E$12),0),ROUNDUP(MIN(G161*$D$12,$E$12),0)),0))</f>
        <v/>
      </c>
      <c r="M161" s="19" t="n"/>
      <c r="N161" s="19">
        <f>IF(G161="","",MAX(I161,J161,K161,L161))</f>
        <v/>
      </c>
      <c r="O161" s="19">
        <f>IF(G161="","",G161-N161)</f>
        <v/>
      </c>
      <c r="P161" s="19" t="n"/>
      <c r="Q161" s="19">
        <f>IF(O161="","",IF(O161&gt;=$J$9,IF(B161="G마켓",ROUNDDOWN(MIN(O161*$K$9,$L$9),0),ROUNDUP(MIN(O161*$K$9,$L$9),0)),0))</f>
        <v/>
      </c>
      <c r="R161" s="19">
        <f>IF(O161="","",IF(O161&gt;=$J$10,IF(B161="G마켓",ROUNDDOWN(MIN(O161*$K$10,$L$10),0),ROUNDUP(MIN(O161*$K$10,$L$10),0)),0))</f>
        <v/>
      </c>
      <c r="S161" s="19">
        <f>IF(O161="","",IF(O161&gt;=$J$11,IF(B161="G마켓",ROUNDDOWN(MIN(O161*$K$11,$L$11),0),ROUNDUP(MIN(O161*$K$11,$L$11),0)),0))</f>
        <v/>
      </c>
      <c r="T161" s="19">
        <f>IF(O161="","",MAX(Q161,R161,S161))</f>
        <v/>
      </c>
      <c r="U161" s="19">
        <f>IF(O161="","",O161-T161)</f>
        <v/>
      </c>
      <c r="V161" s="19">
        <f>IF(O161="","",IF(B161="G마켓",ROUNDDOWN(MAX(Q161*$N$9,R161*$N$10,S161*$N$11),0),ROUNDUP(MAX(Q161*$N$9,R161*$N$10,S161*$N$11),0)))</f>
        <v/>
      </c>
      <c r="W161" s="19">
        <f>IF(G161="","",IF(B161="G마켓",ROUNDDOWN(G161-G161*$D$3-V161,0),ROUNDUP(G161-G161*$D$3-V161,0)))</f>
        <v/>
      </c>
    </row>
    <row r="162">
      <c r="B162" s="18" t="n"/>
      <c r="C162" s="18" t="n"/>
      <c r="D162" s="18" t="n"/>
      <c r="E162" s="19" t="n"/>
      <c r="F162" s="19" t="n"/>
      <c r="G162" s="19">
        <f>IF(E162="","",E162-N(F162))</f>
        <v/>
      </c>
      <c r="H162" s="19" t="n"/>
      <c r="I162" s="19">
        <f>IF(G162="","",IF(G162&gt;=$C$9,IF(B162="G마켓",ROUNDDOWN(MIN(G162*$D$9,$E$9),0),ROUNDUP(MIN(G162*$D$9,$E$9),0)),0))</f>
        <v/>
      </c>
      <c r="J162" s="19">
        <f>IF(G162="","",IF(G162&gt;=$C$10,IF(B162="G마켓",ROUNDDOWN(MIN(G162*$D$10,$E$10),0),ROUNDUP(MIN(G162*$D$10,$E$10),0)),0))</f>
        <v/>
      </c>
      <c r="K162" s="19">
        <f>IF(G162="","",IF(G162&gt;=$C$11,IF(B162="G마켓",ROUNDDOWN(MIN(G162*$D$11,$E$11),0),ROUNDUP(MIN(G162*$D$11,$E$11),0)),0))</f>
        <v/>
      </c>
      <c r="L162" s="19">
        <f>IF(G162="","",IF(G162&gt;=$C$12,IF(B162="G마켓",ROUNDDOWN(MIN(G162*$D$12,$E$12),0),ROUNDUP(MIN(G162*$D$12,$E$12),0)),0))</f>
        <v/>
      </c>
      <c r="M162" s="19" t="n"/>
      <c r="N162" s="19">
        <f>IF(G162="","",MAX(I162,J162,K162,L162))</f>
        <v/>
      </c>
      <c r="O162" s="19">
        <f>IF(G162="","",G162-N162)</f>
        <v/>
      </c>
      <c r="P162" s="19" t="n"/>
      <c r="Q162" s="19">
        <f>IF(O162="","",IF(O162&gt;=$J$9,IF(B162="G마켓",ROUNDDOWN(MIN(O162*$K$9,$L$9),0),ROUNDUP(MIN(O162*$K$9,$L$9),0)),0))</f>
        <v/>
      </c>
      <c r="R162" s="19">
        <f>IF(O162="","",IF(O162&gt;=$J$10,IF(B162="G마켓",ROUNDDOWN(MIN(O162*$K$10,$L$10),0),ROUNDUP(MIN(O162*$K$10,$L$10),0)),0))</f>
        <v/>
      </c>
      <c r="S162" s="19">
        <f>IF(O162="","",IF(O162&gt;=$J$11,IF(B162="G마켓",ROUNDDOWN(MIN(O162*$K$11,$L$11),0),ROUNDUP(MIN(O162*$K$11,$L$11),0)),0))</f>
        <v/>
      </c>
      <c r="T162" s="19">
        <f>IF(O162="","",MAX(Q162,R162,S162))</f>
        <v/>
      </c>
      <c r="U162" s="19">
        <f>IF(O162="","",O162-T162)</f>
        <v/>
      </c>
      <c r="V162" s="19">
        <f>IF(O162="","",IF(B162="G마켓",ROUNDDOWN(MAX(Q162*$N$9,R162*$N$10,S162*$N$11),0),ROUNDUP(MAX(Q162*$N$9,R162*$N$10,S162*$N$11),0)))</f>
        <v/>
      </c>
      <c r="W162" s="19">
        <f>IF(G162="","",IF(B162="G마켓",ROUNDDOWN(G162-G162*$D$3-V162,0),ROUNDUP(G162-G162*$D$3-V162,0)))</f>
        <v/>
      </c>
    </row>
    <row r="163">
      <c r="B163" s="18" t="n"/>
      <c r="C163" s="18" t="n"/>
      <c r="D163" s="18" t="n"/>
      <c r="E163" s="19" t="n"/>
      <c r="F163" s="19" t="n"/>
      <c r="G163" s="19">
        <f>IF(E163="","",E163-N(F163))</f>
        <v/>
      </c>
      <c r="H163" s="19" t="n"/>
      <c r="I163" s="19">
        <f>IF(G163="","",IF(G163&gt;=$C$9,IF(B163="G마켓",ROUNDDOWN(MIN(G163*$D$9,$E$9),0),ROUNDUP(MIN(G163*$D$9,$E$9),0)),0))</f>
        <v/>
      </c>
      <c r="J163" s="19">
        <f>IF(G163="","",IF(G163&gt;=$C$10,IF(B163="G마켓",ROUNDDOWN(MIN(G163*$D$10,$E$10),0),ROUNDUP(MIN(G163*$D$10,$E$10),0)),0))</f>
        <v/>
      </c>
      <c r="K163" s="19">
        <f>IF(G163="","",IF(G163&gt;=$C$11,IF(B163="G마켓",ROUNDDOWN(MIN(G163*$D$11,$E$11),0),ROUNDUP(MIN(G163*$D$11,$E$11),0)),0))</f>
        <v/>
      </c>
      <c r="L163" s="19">
        <f>IF(G163="","",IF(G163&gt;=$C$12,IF(B163="G마켓",ROUNDDOWN(MIN(G163*$D$12,$E$12),0),ROUNDUP(MIN(G163*$D$12,$E$12),0)),0))</f>
        <v/>
      </c>
      <c r="M163" s="19" t="n"/>
      <c r="N163" s="19">
        <f>IF(G163="","",MAX(I163,J163,K163,L163))</f>
        <v/>
      </c>
      <c r="O163" s="19">
        <f>IF(G163="","",G163-N163)</f>
        <v/>
      </c>
      <c r="P163" s="19" t="n"/>
      <c r="Q163" s="19">
        <f>IF(O163="","",IF(O163&gt;=$J$9,IF(B163="G마켓",ROUNDDOWN(MIN(O163*$K$9,$L$9),0),ROUNDUP(MIN(O163*$K$9,$L$9),0)),0))</f>
        <v/>
      </c>
      <c r="R163" s="19">
        <f>IF(O163="","",IF(O163&gt;=$J$10,IF(B163="G마켓",ROUNDDOWN(MIN(O163*$K$10,$L$10),0),ROUNDUP(MIN(O163*$K$10,$L$10),0)),0))</f>
        <v/>
      </c>
      <c r="S163" s="19">
        <f>IF(O163="","",IF(O163&gt;=$J$11,IF(B163="G마켓",ROUNDDOWN(MIN(O163*$K$11,$L$11),0),ROUNDUP(MIN(O163*$K$11,$L$11),0)),0))</f>
        <v/>
      </c>
      <c r="T163" s="19">
        <f>IF(O163="","",MAX(Q163,R163,S163))</f>
        <v/>
      </c>
      <c r="U163" s="19">
        <f>IF(O163="","",O163-T163)</f>
        <v/>
      </c>
      <c r="V163" s="19">
        <f>IF(O163="","",IF(B163="G마켓",ROUNDDOWN(MAX(Q163*$N$9,R163*$N$10,S163*$N$11),0),ROUNDUP(MAX(Q163*$N$9,R163*$N$10,S163*$N$11),0)))</f>
        <v/>
      </c>
      <c r="W163" s="19">
        <f>IF(G163="","",IF(B163="G마켓",ROUNDDOWN(G163-G163*$D$3-V163,0),ROUNDUP(G163-G163*$D$3-V163,0)))</f>
        <v/>
      </c>
    </row>
    <row r="164">
      <c r="B164" s="18" t="n"/>
      <c r="C164" s="18" t="n"/>
      <c r="D164" s="18" t="n"/>
      <c r="E164" s="19" t="n"/>
      <c r="F164" s="19" t="n"/>
      <c r="G164" s="19">
        <f>IF(E164="","",E164-N(F164))</f>
        <v/>
      </c>
      <c r="H164" s="19" t="n"/>
      <c r="I164" s="19">
        <f>IF(G164="","",IF(G164&gt;=$C$9,IF(B164="G마켓",ROUNDDOWN(MIN(G164*$D$9,$E$9),0),ROUNDUP(MIN(G164*$D$9,$E$9),0)),0))</f>
        <v/>
      </c>
      <c r="J164" s="19">
        <f>IF(G164="","",IF(G164&gt;=$C$10,IF(B164="G마켓",ROUNDDOWN(MIN(G164*$D$10,$E$10),0),ROUNDUP(MIN(G164*$D$10,$E$10),0)),0))</f>
        <v/>
      </c>
      <c r="K164" s="19">
        <f>IF(G164="","",IF(G164&gt;=$C$11,IF(B164="G마켓",ROUNDDOWN(MIN(G164*$D$11,$E$11),0),ROUNDUP(MIN(G164*$D$11,$E$11),0)),0))</f>
        <v/>
      </c>
      <c r="L164" s="19">
        <f>IF(G164="","",IF(G164&gt;=$C$12,IF(B164="G마켓",ROUNDDOWN(MIN(G164*$D$12,$E$12),0),ROUNDUP(MIN(G164*$D$12,$E$12),0)),0))</f>
        <v/>
      </c>
      <c r="M164" s="19" t="n"/>
      <c r="N164" s="19">
        <f>IF(G164="","",MAX(I164,J164,K164,L164))</f>
        <v/>
      </c>
      <c r="O164" s="19">
        <f>IF(G164="","",G164-N164)</f>
        <v/>
      </c>
      <c r="P164" s="19" t="n"/>
      <c r="Q164" s="19">
        <f>IF(O164="","",IF(O164&gt;=$J$9,IF(B164="G마켓",ROUNDDOWN(MIN(O164*$K$9,$L$9),0),ROUNDUP(MIN(O164*$K$9,$L$9),0)),0))</f>
        <v/>
      </c>
      <c r="R164" s="19">
        <f>IF(O164="","",IF(O164&gt;=$J$10,IF(B164="G마켓",ROUNDDOWN(MIN(O164*$K$10,$L$10),0),ROUNDUP(MIN(O164*$K$10,$L$10),0)),0))</f>
        <v/>
      </c>
      <c r="S164" s="19">
        <f>IF(O164="","",IF(O164&gt;=$J$11,IF(B164="G마켓",ROUNDDOWN(MIN(O164*$K$11,$L$11),0),ROUNDUP(MIN(O164*$K$11,$L$11),0)),0))</f>
        <v/>
      </c>
      <c r="T164" s="19">
        <f>IF(O164="","",MAX(Q164,R164,S164))</f>
        <v/>
      </c>
      <c r="U164" s="19">
        <f>IF(O164="","",O164-T164)</f>
        <v/>
      </c>
      <c r="V164" s="19">
        <f>IF(O164="","",IF(B164="G마켓",ROUNDDOWN(MAX(Q164*$N$9,R164*$N$10,S164*$N$11),0),ROUNDUP(MAX(Q164*$N$9,R164*$N$10,S164*$N$11),0)))</f>
        <v/>
      </c>
      <c r="W164" s="19">
        <f>IF(G164="","",IF(B164="G마켓",ROUNDDOWN(G164-G164*$D$3-V164,0),ROUNDUP(G164-G164*$D$3-V164,0)))</f>
        <v/>
      </c>
    </row>
    <row r="165">
      <c r="B165" s="18" t="n"/>
      <c r="C165" s="18" t="n"/>
      <c r="D165" s="18" t="n"/>
      <c r="E165" s="19" t="n"/>
      <c r="F165" s="19" t="n"/>
      <c r="G165" s="19">
        <f>IF(E165="","",E165-N(F165))</f>
        <v/>
      </c>
      <c r="H165" s="19" t="n"/>
      <c r="I165" s="19">
        <f>IF(G165="","",IF(G165&gt;=$C$9,IF(B165="G마켓",ROUNDDOWN(MIN(G165*$D$9,$E$9),0),ROUNDUP(MIN(G165*$D$9,$E$9),0)),0))</f>
        <v/>
      </c>
      <c r="J165" s="19">
        <f>IF(G165="","",IF(G165&gt;=$C$10,IF(B165="G마켓",ROUNDDOWN(MIN(G165*$D$10,$E$10),0),ROUNDUP(MIN(G165*$D$10,$E$10),0)),0))</f>
        <v/>
      </c>
      <c r="K165" s="19">
        <f>IF(G165="","",IF(G165&gt;=$C$11,IF(B165="G마켓",ROUNDDOWN(MIN(G165*$D$11,$E$11),0),ROUNDUP(MIN(G165*$D$11,$E$11),0)),0))</f>
        <v/>
      </c>
      <c r="L165" s="19">
        <f>IF(G165="","",IF(G165&gt;=$C$12,IF(B165="G마켓",ROUNDDOWN(MIN(G165*$D$12,$E$12),0),ROUNDUP(MIN(G165*$D$12,$E$12),0)),0))</f>
        <v/>
      </c>
      <c r="M165" s="19" t="n"/>
      <c r="N165" s="19">
        <f>IF(G165="","",MAX(I165,J165,K165,L165))</f>
        <v/>
      </c>
      <c r="O165" s="19">
        <f>IF(G165="","",G165-N165)</f>
        <v/>
      </c>
      <c r="P165" s="19" t="n"/>
      <c r="Q165" s="19">
        <f>IF(O165="","",IF(O165&gt;=$J$9,IF(B165="G마켓",ROUNDDOWN(MIN(O165*$K$9,$L$9),0),ROUNDUP(MIN(O165*$K$9,$L$9),0)),0))</f>
        <v/>
      </c>
      <c r="R165" s="19">
        <f>IF(O165="","",IF(O165&gt;=$J$10,IF(B165="G마켓",ROUNDDOWN(MIN(O165*$K$10,$L$10),0),ROUNDUP(MIN(O165*$K$10,$L$10),0)),0))</f>
        <v/>
      </c>
      <c r="S165" s="19">
        <f>IF(O165="","",IF(O165&gt;=$J$11,IF(B165="G마켓",ROUNDDOWN(MIN(O165*$K$11,$L$11),0),ROUNDUP(MIN(O165*$K$11,$L$11),0)),0))</f>
        <v/>
      </c>
      <c r="T165" s="19">
        <f>IF(O165="","",MAX(Q165,R165,S165))</f>
        <v/>
      </c>
      <c r="U165" s="19">
        <f>IF(O165="","",O165-T165)</f>
        <v/>
      </c>
      <c r="V165" s="19">
        <f>IF(O165="","",IF(B165="G마켓",ROUNDDOWN(MAX(Q165*$N$9,R165*$N$10,S165*$N$11),0),ROUNDUP(MAX(Q165*$N$9,R165*$N$10,S165*$N$11),0)))</f>
        <v/>
      </c>
      <c r="W165" s="19">
        <f>IF(G165="","",IF(B165="G마켓",ROUNDDOWN(G165-G165*$D$3-V165,0),ROUNDUP(G165-G165*$D$3-V165,0)))</f>
        <v/>
      </c>
    </row>
    <row r="166">
      <c r="B166" s="18" t="n"/>
      <c r="C166" s="18" t="n"/>
      <c r="D166" s="18" t="n"/>
      <c r="E166" s="19" t="n"/>
      <c r="F166" s="19" t="n"/>
      <c r="G166" s="19">
        <f>IF(E166="","",E166-N(F166))</f>
        <v/>
      </c>
      <c r="H166" s="19" t="n"/>
      <c r="I166" s="19">
        <f>IF(G166="","",IF(G166&gt;=$C$9,IF(B166="G마켓",ROUNDDOWN(MIN(G166*$D$9,$E$9),0),ROUNDUP(MIN(G166*$D$9,$E$9),0)),0))</f>
        <v/>
      </c>
      <c r="J166" s="19">
        <f>IF(G166="","",IF(G166&gt;=$C$10,IF(B166="G마켓",ROUNDDOWN(MIN(G166*$D$10,$E$10),0),ROUNDUP(MIN(G166*$D$10,$E$10),0)),0))</f>
        <v/>
      </c>
      <c r="K166" s="19">
        <f>IF(G166="","",IF(G166&gt;=$C$11,IF(B166="G마켓",ROUNDDOWN(MIN(G166*$D$11,$E$11),0),ROUNDUP(MIN(G166*$D$11,$E$11),0)),0))</f>
        <v/>
      </c>
      <c r="L166" s="19">
        <f>IF(G166="","",IF(G166&gt;=$C$12,IF(B166="G마켓",ROUNDDOWN(MIN(G166*$D$12,$E$12),0),ROUNDUP(MIN(G166*$D$12,$E$12),0)),0))</f>
        <v/>
      </c>
      <c r="M166" s="19" t="n"/>
      <c r="N166" s="19">
        <f>IF(G166="","",MAX(I166,J166,K166,L166))</f>
        <v/>
      </c>
      <c r="O166" s="19">
        <f>IF(G166="","",G166-N166)</f>
        <v/>
      </c>
      <c r="P166" s="19" t="n"/>
      <c r="Q166" s="19">
        <f>IF(O166="","",IF(O166&gt;=$J$9,IF(B166="G마켓",ROUNDDOWN(MIN(O166*$K$9,$L$9),0),ROUNDUP(MIN(O166*$K$9,$L$9),0)),0))</f>
        <v/>
      </c>
      <c r="R166" s="19">
        <f>IF(O166="","",IF(O166&gt;=$J$10,IF(B166="G마켓",ROUNDDOWN(MIN(O166*$K$10,$L$10),0),ROUNDUP(MIN(O166*$K$10,$L$10),0)),0))</f>
        <v/>
      </c>
      <c r="S166" s="19">
        <f>IF(O166="","",IF(O166&gt;=$J$11,IF(B166="G마켓",ROUNDDOWN(MIN(O166*$K$11,$L$11),0),ROUNDUP(MIN(O166*$K$11,$L$11),0)),0))</f>
        <v/>
      </c>
      <c r="T166" s="19">
        <f>IF(O166="","",MAX(Q166,R166,S166))</f>
        <v/>
      </c>
      <c r="U166" s="19">
        <f>IF(O166="","",O166-T166)</f>
        <v/>
      </c>
      <c r="V166" s="19">
        <f>IF(O166="","",IF(B166="G마켓",ROUNDDOWN(MAX(Q166*$N$9,R166*$N$10,S166*$N$11),0),ROUNDUP(MAX(Q166*$N$9,R166*$N$10,S166*$N$11),0)))</f>
        <v/>
      </c>
      <c r="W166" s="19">
        <f>IF(G166="","",IF(B166="G마켓",ROUNDDOWN(G166-G166*$D$3-V166,0),ROUNDUP(G166-G166*$D$3-V166,0)))</f>
        <v/>
      </c>
    </row>
    <row r="167">
      <c r="B167" s="18" t="n"/>
      <c r="C167" s="18" t="n"/>
      <c r="D167" s="18" t="n"/>
      <c r="E167" s="19" t="n"/>
      <c r="F167" s="19" t="n"/>
      <c r="G167" s="19">
        <f>IF(E167="","",E167-N(F167))</f>
        <v/>
      </c>
      <c r="H167" s="19" t="n"/>
      <c r="I167" s="19">
        <f>IF(G167="","",IF(G167&gt;=$C$9,IF(B167="G마켓",ROUNDDOWN(MIN(G167*$D$9,$E$9),0),ROUNDUP(MIN(G167*$D$9,$E$9),0)),0))</f>
        <v/>
      </c>
      <c r="J167" s="19">
        <f>IF(G167="","",IF(G167&gt;=$C$10,IF(B167="G마켓",ROUNDDOWN(MIN(G167*$D$10,$E$10),0),ROUNDUP(MIN(G167*$D$10,$E$10),0)),0))</f>
        <v/>
      </c>
      <c r="K167" s="19">
        <f>IF(G167="","",IF(G167&gt;=$C$11,IF(B167="G마켓",ROUNDDOWN(MIN(G167*$D$11,$E$11),0),ROUNDUP(MIN(G167*$D$11,$E$11),0)),0))</f>
        <v/>
      </c>
      <c r="L167" s="19">
        <f>IF(G167="","",IF(G167&gt;=$C$12,IF(B167="G마켓",ROUNDDOWN(MIN(G167*$D$12,$E$12),0),ROUNDUP(MIN(G167*$D$12,$E$12),0)),0))</f>
        <v/>
      </c>
      <c r="M167" s="19" t="n"/>
      <c r="N167" s="19">
        <f>IF(G167="","",MAX(I167,J167,K167,L167))</f>
        <v/>
      </c>
      <c r="O167" s="19">
        <f>IF(G167="","",G167-N167)</f>
        <v/>
      </c>
      <c r="P167" s="19" t="n"/>
      <c r="Q167" s="19">
        <f>IF(O167="","",IF(O167&gt;=$J$9,IF(B167="G마켓",ROUNDDOWN(MIN(O167*$K$9,$L$9),0),ROUNDUP(MIN(O167*$K$9,$L$9),0)),0))</f>
        <v/>
      </c>
      <c r="R167" s="19">
        <f>IF(O167="","",IF(O167&gt;=$J$10,IF(B167="G마켓",ROUNDDOWN(MIN(O167*$K$10,$L$10),0),ROUNDUP(MIN(O167*$K$10,$L$10),0)),0))</f>
        <v/>
      </c>
      <c r="S167" s="19">
        <f>IF(O167="","",IF(O167&gt;=$J$11,IF(B167="G마켓",ROUNDDOWN(MIN(O167*$K$11,$L$11),0),ROUNDUP(MIN(O167*$K$11,$L$11),0)),0))</f>
        <v/>
      </c>
      <c r="T167" s="19">
        <f>IF(O167="","",MAX(Q167,R167,S167))</f>
        <v/>
      </c>
      <c r="U167" s="19">
        <f>IF(O167="","",O167-T167)</f>
        <v/>
      </c>
      <c r="V167" s="19">
        <f>IF(O167="","",IF(B167="G마켓",ROUNDDOWN(MAX(Q167*$N$9,R167*$N$10,S167*$N$11),0),ROUNDUP(MAX(Q167*$N$9,R167*$N$10,S167*$N$11),0)))</f>
        <v/>
      </c>
      <c r="W167" s="19">
        <f>IF(G167="","",IF(B167="G마켓",ROUNDDOWN(G167-G167*$D$3-V167,0),ROUNDUP(G167-G167*$D$3-V167,0)))</f>
        <v/>
      </c>
    </row>
    <row r="168">
      <c r="B168" s="18" t="n"/>
      <c r="C168" s="18" t="n"/>
      <c r="D168" s="18" t="n"/>
      <c r="E168" s="19" t="n"/>
      <c r="F168" s="19" t="n"/>
      <c r="G168" s="19">
        <f>IF(E168="","",E168-N(F168))</f>
        <v/>
      </c>
      <c r="H168" s="19" t="n"/>
      <c r="I168" s="19">
        <f>IF(G168="","",IF(G168&gt;=$C$9,IF(B168="G마켓",ROUNDDOWN(MIN(G168*$D$9,$E$9),0),ROUNDUP(MIN(G168*$D$9,$E$9),0)),0))</f>
        <v/>
      </c>
      <c r="J168" s="19">
        <f>IF(G168="","",IF(G168&gt;=$C$10,IF(B168="G마켓",ROUNDDOWN(MIN(G168*$D$10,$E$10),0),ROUNDUP(MIN(G168*$D$10,$E$10),0)),0))</f>
        <v/>
      </c>
      <c r="K168" s="19">
        <f>IF(G168="","",IF(G168&gt;=$C$11,IF(B168="G마켓",ROUNDDOWN(MIN(G168*$D$11,$E$11),0),ROUNDUP(MIN(G168*$D$11,$E$11),0)),0))</f>
        <v/>
      </c>
      <c r="L168" s="19">
        <f>IF(G168="","",IF(G168&gt;=$C$12,IF(B168="G마켓",ROUNDDOWN(MIN(G168*$D$12,$E$12),0),ROUNDUP(MIN(G168*$D$12,$E$12),0)),0))</f>
        <v/>
      </c>
      <c r="M168" s="19" t="n"/>
      <c r="N168" s="19">
        <f>IF(G168="","",MAX(I168,J168,K168,L168))</f>
        <v/>
      </c>
      <c r="O168" s="19">
        <f>IF(G168="","",G168-N168)</f>
        <v/>
      </c>
      <c r="P168" s="19" t="n"/>
      <c r="Q168" s="19">
        <f>IF(O168="","",IF(O168&gt;=$J$9,IF(B168="G마켓",ROUNDDOWN(MIN(O168*$K$9,$L$9),0),ROUNDUP(MIN(O168*$K$9,$L$9),0)),0))</f>
        <v/>
      </c>
      <c r="R168" s="19">
        <f>IF(O168="","",IF(O168&gt;=$J$10,IF(B168="G마켓",ROUNDDOWN(MIN(O168*$K$10,$L$10),0),ROUNDUP(MIN(O168*$K$10,$L$10),0)),0))</f>
        <v/>
      </c>
      <c r="S168" s="19">
        <f>IF(O168="","",IF(O168&gt;=$J$11,IF(B168="G마켓",ROUNDDOWN(MIN(O168*$K$11,$L$11),0),ROUNDUP(MIN(O168*$K$11,$L$11),0)),0))</f>
        <v/>
      </c>
      <c r="T168" s="19">
        <f>IF(O168="","",MAX(Q168,R168,S168))</f>
        <v/>
      </c>
      <c r="U168" s="19">
        <f>IF(O168="","",O168-T168)</f>
        <v/>
      </c>
      <c r="V168" s="19">
        <f>IF(O168="","",IF(B168="G마켓",ROUNDDOWN(MAX(Q168*$N$9,R168*$N$10,S168*$N$11),0),ROUNDUP(MAX(Q168*$N$9,R168*$N$10,S168*$N$11),0)))</f>
        <v/>
      </c>
      <c r="W168" s="19">
        <f>IF(G168="","",IF(B168="G마켓",ROUNDDOWN(G168-G168*$D$3-V168,0),ROUNDUP(G168-G168*$D$3-V168,0)))</f>
        <v/>
      </c>
    </row>
    <row r="169">
      <c r="B169" s="18" t="n"/>
      <c r="C169" s="18" t="n"/>
      <c r="D169" s="18" t="n"/>
      <c r="E169" s="19" t="n"/>
      <c r="F169" s="19" t="n"/>
      <c r="G169" s="19">
        <f>IF(E169="","",E169-N(F169))</f>
        <v/>
      </c>
      <c r="H169" s="19" t="n"/>
      <c r="I169" s="19">
        <f>IF(G169="","",IF(G169&gt;=$C$9,IF(B169="G마켓",ROUNDDOWN(MIN(G169*$D$9,$E$9),0),ROUNDUP(MIN(G169*$D$9,$E$9),0)),0))</f>
        <v/>
      </c>
      <c r="J169" s="19">
        <f>IF(G169="","",IF(G169&gt;=$C$10,IF(B169="G마켓",ROUNDDOWN(MIN(G169*$D$10,$E$10),0),ROUNDUP(MIN(G169*$D$10,$E$10),0)),0))</f>
        <v/>
      </c>
      <c r="K169" s="19">
        <f>IF(G169="","",IF(G169&gt;=$C$11,IF(B169="G마켓",ROUNDDOWN(MIN(G169*$D$11,$E$11),0),ROUNDUP(MIN(G169*$D$11,$E$11),0)),0))</f>
        <v/>
      </c>
      <c r="L169" s="19">
        <f>IF(G169="","",IF(G169&gt;=$C$12,IF(B169="G마켓",ROUNDDOWN(MIN(G169*$D$12,$E$12),0),ROUNDUP(MIN(G169*$D$12,$E$12),0)),0))</f>
        <v/>
      </c>
      <c r="M169" s="19" t="n"/>
      <c r="N169" s="19">
        <f>IF(G169="","",MAX(I169,J169,K169,L169))</f>
        <v/>
      </c>
      <c r="O169" s="19">
        <f>IF(G169="","",G169-N169)</f>
        <v/>
      </c>
      <c r="P169" s="19" t="n"/>
      <c r="Q169" s="19">
        <f>IF(O169="","",IF(O169&gt;=$J$9,IF(B169="G마켓",ROUNDDOWN(MIN(O169*$K$9,$L$9),0),ROUNDUP(MIN(O169*$K$9,$L$9),0)),0))</f>
        <v/>
      </c>
      <c r="R169" s="19">
        <f>IF(O169="","",IF(O169&gt;=$J$10,IF(B169="G마켓",ROUNDDOWN(MIN(O169*$K$10,$L$10),0),ROUNDUP(MIN(O169*$K$10,$L$10),0)),0))</f>
        <v/>
      </c>
      <c r="S169" s="19">
        <f>IF(O169="","",IF(O169&gt;=$J$11,IF(B169="G마켓",ROUNDDOWN(MIN(O169*$K$11,$L$11),0),ROUNDUP(MIN(O169*$K$11,$L$11),0)),0))</f>
        <v/>
      </c>
      <c r="T169" s="19">
        <f>IF(O169="","",MAX(Q169,R169,S169))</f>
        <v/>
      </c>
      <c r="U169" s="19">
        <f>IF(O169="","",O169-T169)</f>
        <v/>
      </c>
      <c r="V169" s="19">
        <f>IF(O169="","",IF(B169="G마켓",ROUNDDOWN(MAX(Q169*$N$9,R169*$N$10,S169*$N$11),0),ROUNDUP(MAX(Q169*$N$9,R169*$N$10,S169*$N$11),0)))</f>
        <v/>
      </c>
      <c r="W169" s="19">
        <f>IF(G169="","",IF(B169="G마켓",ROUNDDOWN(G169-G169*$D$3-V169,0),ROUNDUP(G169-G169*$D$3-V169,0)))</f>
        <v/>
      </c>
    </row>
    <row r="170">
      <c r="B170" s="18" t="n"/>
      <c r="C170" s="18" t="n"/>
      <c r="D170" s="18" t="n"/>
      <c r="E170" s="19" t="n"/>
      <c r="F170" s="19" t="n"/>
      <c r="G170" s="19">
        <f>IF(E170="","",E170-N(F170))</f>
        <v/>
      </c>
      <c r="H170" s="19" t="n"/>
      <c r="I170" s="19">
        <f>IF(G170="","",IF(G170&gt;=$C$9,IF(B170="G마켓",ROUNDDOWN(MIN(G170*$D$9,$E$9),0),ROUNDUP(MIN(G170*$D$9,$E$9),0)),0))</f>
        <v/>
      </c>
      <c r="J170" s="19">
        <f>IF(G170="","",IF(G170&gt;=$C$10,IF(B170="G마켓",ROUNDDOWN(MIN(G170*$D$10,$E$10),0),ROUNDUP(MIN(G170*$D$10,$E$10),0)),0))</f>
        <v/>
      </c>
      <c r="K170" s="19">
        <f>IF(G170="","",IF(G170&gt;=$C$11,IF(B170="G마켓",ROUNDDOWN(MIN(G170*$D$11,$E$11),0),ROUNDUP(MIN(G170*$D$11,$E$11),0)),0))</f>
        <v/>
      </c>
      <c r="L170" s="19">
        <f>IF(G170="","",IF(G170&gt;=$C$12,IF(B170="G마켓",ROUNDDOWN(MIN(G170*$D$12,$E$12),0),ROUNDUP(MIN(G170*$D$12,$E$12),0)),0))</f>
        <v/>
      </c>
      <c r="M170" s="19" t="n"/>
      <c r="N170" s="19">
        <f>IF(G170="","",MAX(I170,J170,K170,L170))</f>
        <v/>
      </c>
      <c r="O170" s="19">
        <f>IF(G170="","",G170-N170)</f>
        <v/>
      </c>
      <c r="P170" s="19" t="n"/>
      <c r="Q170" s="19">
        <f>IF(O170="","",IF(O170&gt;=$J$9,IF(B170="G마켓",ROUNDDOWN(MIN(O170*$K$9,$L$9),0),ROUNDUP(MIN(O170*$K$9,$L$9),0)),0))</f>
        <v/>
      </c>
      <c r="R170" s="19">
        <f>IF(O170="","",IF(O170&gt;=$J$10,IF(B170="G마켓",ROUNDDOWN(MIN(O170*$K$10,$L$10),0),ROUNDUP(MIN(O170*$K$10,$L$10),0)),0))</f>
        <v/>
      </c>
      <c r="S170" s="19">
        <f>IF(O170="","",IF(O170&gt;=$J$11,IF(B170="G마켓",ROUNDDOWN(MIN(O170*$K$11,$L$11),0),ROUNDUP(MIN(O170*$K$11,$L$11),0)),0))</f>
        <v/>
      </c>
      <c r="T170" s="19">
        <f>IF(O170="","",MAX(Q170,R170,S170))</f>
        <v/>
      </c>
      <c r="U170" s="19">
        <f>IF(O170="","",O170-T170)</f>
        <v/>
      </c>
      <c r="V170" s="19">
        <f>IF(O170="","",IF(B170="G마켓",ROUNDDOWN(MAX(Q170*$N$9,R170*$N$10,S170*$N$11),0),ROUNDUP(MAX(Q170*$N$9,R170*$N$10,S170*$N$11),0)))</f>
        <v/>
      </c>
      <c r="W170" s="19">
        <f>IF(G170="","",IF(B170="G마켓",ROUNDDOWN(G170-G170*$D$3-V170,0),ROUNDUP(G170-G170*$D$3-V170,0)))</f>
        <v/>
      </c>
    </row>
    <row r="171">
      <c r="B171" s="18" t="n"/>
      <c r="C171" s="18" t="n"/>
      <c r="D171" s="18" t="n"/>
      <c r="E171" s="19" t="n"/>
      <c r="F171" s="19" t="n"/>
      <c r="G171" s="19">
        <f>IF(E171="","",E171-N(F171))</f>
        <v/>
      </c>
      <c r="H171" s="19" t="n"/>
      <c r="I171" s="19">
        <f>IF(G171="","",IF(G171&gt;=$C$9,IF(B171="G마켓",ROUNDDOWN(MIN(G171*$D$9,$E$9),0),ROUNDUP(MIN(G171*$D$9,$E$9),0)),0))</f>
        <v/>
      </c>
      <c r="J171" s="19">
        <f>IF(G171="","",IF(G171&gt;=$C$10,IF(B171="G마켓",ROUNDDOWN(MIN(G171*$D$10,$E$10),0),ROUNDUP(MIN(G171*$D$10,$E$10),0)),0))</f>
        <v/>
      </c>
      <c r="K171" s="19">
        <f>IF(G171="","",IF(G171&gt;=$C$11,IF(B171="G마켓",ROUNDDOWN(MIN(G171*$D$11,$E$11),0),ROUNDUP(MIN(G171*$D$11,$E$11),0)),0))</f>
        <v/>
      </c>
      <c r="L171" s="19">
        <f>IF(G171="","",IF(G171&gt;=$C$12,IF(B171="G마켓",ROUNDDOWN(MIN(G171*$D$12,$E$12),0),ROUNDUP(MIN(G171*$D$12,$E$12),0)),0))</f>
        <v/>
      </c>
      <c r="M171" s="19" t="n"/>
      <c r="N171" s="19">
        <f>IF(G171="","",MAX(I171,J171,K171,L171))</f>
        <v/>
      </c>
      <c r="O171" s="19">
        <f>IF(G171="","",G171-N171)</f>
        <v/>
      </c>
      <c r="P171" s="19" t="n"/>
      <c r="Q171" s="19">
        <f>IF(O171="","",IF(O171&gt;=$J$9,IF(B171="G마켓",ROUNDDOWN(MIN(O171*$K$9,$L$9),0),ROUNDUP(MIN(O171*$K$9,$L$9),0)),0))</f>
        <v/>
      </c>
      <c r="R171" s="19">
        <f>IF(O171="","",IF(O171&gt;=$J$10,IF(B171="G마켓",ROUNDDOWN(MIN(O171*$K$10,$L$10),0),ROUNDUP(MIN(O171*$K$10,$L$10),0)),0))</f>
        <v/>
      </c>
      <c r="S171" s="19">
        <f>IF(O171="","",IF(O171&gt;=$J$11,IF(B171="G마켓",ROUNDDOWN(MIN(O171*$K$11,$L$11),0),ROUNDUP(MIN(O171*$K$11,$L$11),0)),0))</f>
        <v/>
      </c>
      <c r="T171" s="19">
        <f>IF(O171="","",MAX(Q171,R171,S171))</f>
        <v/>
      </c>
      <c r="U171" s="19">
        <f>IF(O171="","",O171-T171)</f>
        <v/>
      </c>
      <c r="V171" s="19">
        <f>IF(O171="","",IF(B171="G마켓",ROUNDDOWN(MAX(Q171*$N$9,R171*$N$10,S171*$N$11),0),ROUNDUP(MAX(Q171*$N$9,R171*$N$10,S171*$N$11),0)))</f>
        <v/>
      </c>
      <c r="W171" s="19">
        <f>IF(G171="","",IF(B171="G마켓",ROUNDDOWN(G171-G171*$D$3-V171,0),ROUNDUP(G171-G171*$D$3-V171,0)))</f>
        <v/>
      </c>
    </row>
    <row r="172">
      <c r="B172" s="18" t="n"/>
      <c r="C172" s="18" t="n"/>
      <c r="D172" s="18" t="n"/>
      <c r="E172" s="19" t="n"/>
      <c r="F172" s="19" t="n"/>
      <c r="G172" s="19">
        <f>IF(E172="","",E172-N(F172))</f>
        <v/>
      </c>
      <c r="H172" s="19" t="n"/>
      <c r="I172" s="19">
        <f>IF(G172="","",IF(G172&gt;=$C$9,IF(B172="G마켓",ROUNDDOWN(MIN(G172*$D$9,$E$9),0),ROUNDUP(MIN(G172*$D$9,$E$9),0)),0))</f>
        <v/>
      </c>
      <c r="J172" s="19">
        <f>IF(G172="","",IF(G172&gt;=$C$10,IF(B172="G마켓",ROUNDDOWN(MIN(G172*$D$10,$E$10),0),ROUNDUP(MIN(G172*$D$10,$E$10),0)),0))</f>
        <v/>
      </c>
      <c r="K172" s="19">
        <f>IF(G172="","",IF(G172&gt;=$C$11,IF(B172="G마켓",ROUNDDOWN(MIN(G172*$D$11,$E$11),0),ROUNDUP(MIN(G172*$D$11,$E$11),0)),0))</f>
        <v/>
      </c>
      <c r="L172" s="19">
        <f>IF(G172="","",IF(G172&gt;=$C$12,IF(B172="G마켓",ROUNDDOWN(MIN(G172*$D$12,$E$12),0),ROUNDUP(MIN(G172*$D$12,$E$12),0)),0))</f>
        <v/>
      </c>
      <c r="M172" s="19" t="n"/>
      <c r="N172" s="19">
        <f>IF(G172="","",MAX(I172,J172,K172,L172))</f>
        <v/>
      </c>
      <c r="O172" s="19">
        <f>IF(G172="","",G172-N172)</f>
        <v/>
      </c>
      <c r="P172" s="19" t="n"/>
      <c r="Q172" s="19">
        <f>IF(O172="","",IF(O172&gt;=$J$9,IF(B172="G마켓",ROUNDDOWN(MIN(O172*$K$9,$L$9),0),ROUNDUP(MIN(O172*$K$9,$L$9),0)),0))</f>
        <v/>
      </c>
      <c r="R172" s="19">
        <f>IF(O172="","",IF(O172&gt;=$J$10,IF(B172="G마켓",ROUNDDOWN(MIN(O172*$K$10,$L$10),0),ROUNDUP(MIN(O172*$K$10,$L$10),0)),0))</f>
        <v/>
      </c>
      <c r="S172" s="19">
        <f>IF(O172="","",IF(O172&gt;=$J$11,IF(B172="G마켓",ROUNDDOWN(MIN(O172*$K$11,$L$11),0),ROUNDUP(MIN(O172*$K$11,$L$11),0)),0))</f>
        <v/>
      </c>
      <c r="T172" s="19">
        <f>IF(O172="","",MAX(Q172,R172,S172))</f>
        <v/>
      </c>
      <c r="U172" s="19">
        <f>IF(O172="","",O172-T172)</f>
        <v/>
      </c>
      <c r="V172" s="19">
        <f>IF(O172="","",IF(B172="G마켓",ROUNDDOWN(MAX(Q172*$N$9,R172*$N$10,S172*$N$11),0),ROUNDUP(MAX(Q172*$N$9,R172*$N$10,S172*$N$11),0)))</f>
        <v/>
      </c>
      <c r="W172" s="19">
        <f>IF(G172="","",IF(B172="G마켓",ROUNDDOWN(G172-G172*$D$3-V172,0),ROUNDUP(G172-G172*$D$3-V172,0)))</f>
        <v/>
      </c>
    </row>
    <row r="173">
      <c r="B173" s="18" t="n"/>
      <c r="C173" s="18" t="n"/>
      <c r="D173" s="18" t="n"/>
      <c r="E173" s="19" t="n"/>
      <c r="F173" s="19" t="n"/>
      <c r="G173" s="19">
        <f>IF(E173="","",E173-N(F173))</f>
        <v/>
      </c>
      <c r="H173" s="19" t="n"/>
      <c r="I173" s="19">
        <f>IF(G173="","",IF(G173&gt;=$C$9,IF(B173="G마켓",ROUNDDOWN(MIN(G173*$D$9,$E$9),0),ROUNDUP(MIN(G173*$D$9,$E$9),0)),0))</f>
        <v/>
      </c>
      <c r="J173" s="19">
        <f>IF(G173="","",IF(G173&gt;=$C$10,IF(B173="G마켓",ROUNDDOWN(MIN(G173*$D$10,$E$10),0),ROUNDUP(MIN(G173*$D$10,$E$10),0)),0))</f>
        <v/>
      </c>
      <c r="K173" s="19">
        <f>IF(G173="","",IF(G173&gt;=$C$11,IF(B173="G마켓",ROUNDDOWN(MIN(G173*$D$11,$E$11),0),ROUNDUP(MIN(G173*$D$11,$E$11),0)),0))</f>
        <v/>
      </c>
      <c r="L173" s="19">
        <f>IF(G173="","",IF(G173&gt;=$C$12,IF(B173="G마켓",ROUNDDOWN(MIN(G173*$D$12,$E$12),0),ROUNDUP(MIN(G173*$D$12,$E$12),0)),0))</f>
        <v/>
      </c>
      <c r="M173" s="19" t="n"/>
      <c r="N173" s="19">
        <f>IF(G173="","",MAX(I173,J173,K173,L173))</f>
        <v/>
      </c>
      <c r="O173" s="19">
        <f>IF(G173="","",G173-N173)</f>
        <v/>
      </c>
      <c r="P173" s="19" t="n"/>
      <c r="Q173" s="19">
        <f>IF(O173="","",IF(O173&gt;=$J$9,IF(B173="G마켓",ROUNDDOWN(MIN(O173*$K$9,$L$9),0),ROUNDUP(MIN(O173*$K$9,$L$9),0)),0))</f>
        <v/>
      </c>
      <c r="R173" s="19">
        <f>IF(O173="","",IF(O173&gt;=$J$10,IF(B173="G마켓",ROUNDDOWN(MIN(O173*$K$10,$L$10),0),ROUNDUP(MIN(O173*$K$10,$L$10),0)),0))</f>
        <v/>
      </c>
      <c r="S173" s="19">
        <f>IF(O173="","",IF(O173&gt;=$J$11,IF(B173="G마켓",ROUNDDOWN(MIN(O173*$K$11,$L$11),0),ROUNDUP(MIN(O173*$K$11,$L$11),0)),0))</f>
        <v/>
      </c>
      <c r="T173" s="19">
        <f>IF(O173="","",MAX(Q173,R173,S173))</f>
        <v/>
      </c>
      <c r="U173" s="19">
        <f>IF(O173="","",O173-T173)</f>
        <v/>
      </c>
      <c r="V173" s="19">
        <f>IF(O173="","",IF(B173="G마켓",ROUNDDOWN(MAX(Q173*$N$9,R173*$N$10,S173*$N$11),0),ROUNDUP(MAX(Q173*$N$9,R173*$N$10,S173*$N$11),0)))</f>
        <v/>
      </c>
      <c r="W173" s="19">
        <f>IF(G173="","",IF(B173="G마켓",ROUNDDOWN(G173-G173*$D$3-V173,0),ROUNDUP(G173-G173*$D$3-V173,0)))</f>
        <v/>
      </c>
    </row>
    <row r="174">
      <c r="B174" s="18" t="n"/>
      <c r="C174" s="18" t="n"/>
      <c r="D174" s="18" t="n"/>
      <c r="E174" s="19" t="n"/>
      <c r="F174" s="19" t="n"/>
      <c r="G174" s="19">
        <f>IF(E174="","",E174-N(F174))</f>
        <v/>
      </c>
      <c r="H174" s="19" t="n"/>
      <c r="I174" s="19">
        <f>IF(G174="","",IF(G174&gt;=$C$9,IF(B174="G마켓",ROUNDDOWN(MIN(G174*$D$9,$E$9),0),ROUNDUP(MIN(G174*$D$9,$E$9),0)),0))</f>
        <v/>
      </c>
      <c r="J174" s="19">
        <f>IF(G174="","",IF(G174&gt;=$C$10,IF(B174="G마켓",ROUNDDOWN(MIN(G174*$D$10,$E$10),0),ROUNDUP(MIN(G174*$D$10,$E$10),0)),0))</f>
        <v/>
      </c>
      <c r="K174" s="19">
        <f>IF(G174="","",IF(G174&gt;=$C$11,IF(B174="G마켓",ROUNDDOWN(MIN(G174*$D$11,$E$11),0),ROUNDUP(MIN(G174*$D$11,$E$11),0)),0))</f>
        <v/>
      </c>
      <c r="L174" s="19">
        <f>IF(G174="","",IF(G174&gt;=$C$12,IF(B174="G마켓",ROUNDDOWN(MIN(G174*$D$12,$E$12),0),ROUNDUP(MIN(G174*$D$12,$E$12),0)),0))</f>
        <v/>
      </c>
      <c r="M174" s="19" t="n"/>
      <c r="N174" s="19">
        <f>IF(G174="","",MAX(I174,J174,K174,L174))</f>
        <v/>
      </c>
      <c r="O174" s="19">
        <f>IF(G174="","",G174-N174)</f>
        <v/>
      </c>
      <c r="P174" s="19" t="n"/>
      <c r="Q174" s="19">
        <f>IF(O174="","",IF(O174&gt;=$J$9,IF(B174="G마켓",ROUNDDOWN(MIN(O174*$K$9,$L$9),0),ROUNDUP(MIN(O174*$K$9,$L$9),0)),0))</f>
        <v/>
      </c>
      <c r="R174" s="19">
        <f>IF(O174="","",IF(O174&gt;=$J$10,IF(B174="G마켓",ROUNDDOWN(MIN(O174*$K$10,$L$10),0),ROUNDUP(MIN(O174*$K$10,$L$10),0)),0))</f>
        <v/>
      </c>
      <c r="S174" s="19">
        <f>IF(O174="","",IF(O174&gt;=$J$11,IF(B174="G마켓",ROUNDDOWN(MIN(O174*$K$11,$L$11),0),ROUNDUP(MIN(O174*$K$11,$L$11),0)),0))</f>
        <v/>
      </c>
      <c r="T174" s="19">
        <f>IF(O174="","",MAX(Q174,R174,S174))</f>
        <v/>
      </c>
      <c r="U174" s="19">
        <f>IF(O174="","",O174-T174)</f>
        <v/>
      </c>
      <c r="V174" s="19">
        <f>IF(O174="","",IF(B174="G마켓",ROUNDDOWN(MAX(Q174*$N$9,R174*$N$10,S174*$N$11),0),ROUNDUP(MAX(Q174*$N$9,R174*$N$10,S174*$N$11),0)))</f>
        <v/>
      </c>
      <c r="W174" s="19">
        <f>IF(G174="","",IF(B174="G마켓",ROUNDDOWN(G174-G174*$D$3-V174,0),ROUNDUP(G174-G174*$D$3-V174,0)))</f>
        <v/>
      </c>
    </row>
    <row r="175">
      <c r="B175" s="18" t="n"/>
      <c r="C175" s="18" t="n"/>
      <c r="D175" s="18" t="n"/>
      <c r="E175" s="19" t="n"/>
      <c r="F175" s="19" t="n"/>
      <c r="G175" s="19">
        <f>IF(E175="","",E175-N(F175))</f>
        <v/>
      </c>
      <c r="H175" s="19" t="n"/>
      <c r="I175" s="19">
        <f>IF(G175="","",IF(G175&gt;=$C$9,IF(B175="G마켓",ROUNDDOWN(MIN(G175*$D$9,$E$9),0),ROUNDUP(MIN(G175*$D$9,$E$9),0)),0))</f>
        <v/>
      </c>
      <c r="J175" s="19">
        <f>IF(G175="","",IF(G175&gt;=$C$10,IF(B175="G마켓",ROUNDDOWN(MIN(G175*$D$10,$E$10),0),ROUNDUP(MIN(G175*$D$10,$E$10),0)),0))</f>
        <v/>
      </c>
      <c r="K175" s="19">
        <f>IF(G175="","",IF(G175&gt;=$C$11,IF(B175="G마켓",ROUNDDOWN(MIN(G175*$D$11,$E$11),0),ROUNDUP(MIN(G175*$D$11,$E$11),0)),0))</f>
        <v/>
      </c>
      <c r="L175" s="19">
        <f>IF(G175="","",IF(G175&gt;=$C$12,IF(B175="G마켓",ROUNDDOWN(MIN(G175*$D$12,$E$12),0),ROUNDUP(MIN(G175*$D$12,$E$12),0)),0))</f>
        <v/>
      </c>
      <c r="M175" s="19" t="n"/>
      <c r="N175" s="19">
        <f>IF(G175="","",MAX(I175,J175,K175,L175))</f>
        <v/>
      </c>
      <c r="O175" s="19">
        <f>IF(G175="","",G175-N175)</f>
        <v/>
      </c>
      <c r="P175" s="19" t="n"/>
      <c r="Q175" s="19">
        <f>IF(O175="","",IF(O175&gt;=$J$9,IF(B175="G마켓",ROUNDDOWN(MIN(O175*$K$9,$L$9),0),ROUNDUP(MIN(O175*$K$9,$L$9),0)),0))</f>
        <v/>
      </c>
      <c r="R175" s="19">
        <f>IF(O175="","",IF(O175&gt;=$J$10,IF(B175="G마켓",ROUNDDOWN(MIN(O175*$K$10,$L$10),0),ROUNDUP(MIN(O175*$K$10,$L$10),0)),0))</f>
        <v/>
      </c>
      <c r="S175" s="19">
        <f>IF(O175="","",IF(O175&gt;=$J$11,IF(B175="G마켓",ROUNDDOWN(MIN(O175*$K$11,$L$11),0),ROUNDUP(MIN(O175*$K$11,$L$11),0)),0))</f>
        <v/>
      </c>
      <c r="T175" s="19">
        <f>IF(O175="","",MAX(Q175,R175,S175))</f>
        <v/>
      </c>
      <c r="U175" s="19">
        <f>IF(O175="","",O175-T175)</f>
        <v/>
      </c>
      <c r="V175" s="19">
        <f>IF(O175="","",IF(B175="G마켓",ROUNDDOWN(MAX(Q175*$N$9,R175*$N$10,S175*$N$11),0),ROUNDUP(MAX(Q175*$N$9,R175*$N$10,S175*$N$11),0)))</f>
        <v/>
      </c>
      <c r="W175" s="19">
        <f>IF(G175="","",IF(B175="G마켓",ROUNDDOWN(G175-G175*$D$3-V175,0),ROUNDUP(G175-G175*$D$3-V175,0)))</f>
        <v/>
      </c>
    </row>
    <row r="176">
      <c r="B176" s="18" t="n"/>
      <c r="C176" s="18" t="n"/>
      <c r="D176" s="18" t="n"/>
      <c r="E176" s="19" t="n"/>
      <c r="F176" s="19" t="n"/>
      <c r="G176" s="19">
        <f>IF(E176="","",E176-N(F176))</f>
        <v/>
      </c>
      <c r="H176" s="19" t="n"/>
      <c r="I176" s="19">
        <f>IF(G176="","",IF(G176&gt;=$C$9,IF(B176="G마켓",ROUNDDOWN(MIN(G176*$D$9,$E$9),0),ROUNDUP(MIN(G176*$D$9,$E$9),0)),0))</f>
        <v/>
      </c>
      <c r="J176" s="19">
        <f>IF(G176="","",IF(G176&gt;=$C$10,IF(B176="G마켓",ROUNDDOWN(MIN(G176*$D$10,$E$10),0),ROUNDUP(MIN(G176*$D$10,$E$10),0)),0))</f>
        <v/>
      </c>
      <c r="K176" s="19">
        <f>IF(G176="","",IF(G176&gt;=$C$11,IF(B176="G마켓",ROUNDDOWN(MIN(G176*$D$11,$E$11),0),ROUNDUP(MIN(G176*$D$11,$E$11),0)),0))</f>
        <v/>
      </c>
      <c r="L176" s="19">
        <f>IF(G176="","",IF(G176&gt;=$C$12,IF(B176="G마켓",ROUNDDOWN(MIN(G176*$D$12,$E$12),0),ROUNDUP(MIN(G176*$D$12,$E$12),0)),0))</f>
        <v/>
      </c>
      <c r="M176" s="19" t="n"/>
      <c r="N176" s="19">
        <f>IF(G176="","",MAX(I176,J176,K176,L176))</f>
        <v/>
      </c>
      <c r="O176" s="19">
        <f>IF(G176="","",G176-N176)</f>
        <v/>
      </c>
      <c r="P176" s="19" t="n"/>
      <c r="Q176" s="19">
        <f>IF(O176="","",IF(O176&gt;=$J$9,IF(B176="G마켓",ROUNDDOWN(MIN(O176*$K$9,$L$9),0),ROUNDUP(MIN(O176*$K$9,$L$9),0)),0))</f>
        <v/>
      </c>
      <c r="R176" s="19">
        <f>IF(O176="","",IF(O176&gt;=$J$10,IF(B176="G마켓",ROUNDDOWN(MIN(O176*$K$10,$L$10),0),ROUNDUP(MIN(O176*$K$10,$L$10),0)),0))</f>
        <v/>
      </c>
      <c r="S176" s="19">
        <f>IF(O176="","",IF(O176&gt;=$J$11,IF(B176="G마켓",ROUNDDOWN(MIN(O176*$K$11,$L$11),0),ROUNDUP(MIN(O176*$K$11,$L$11),0)),0))</f>
        <v/>
      </c>
      <c r="T176" s="19">
        <f>IF(O176="","",MAX(Q176,R176,S176))</f>
        <v/>
      </c>
      <c r="U176" s="19">
        <f>IF(O176="","",O176-T176)</f>
        <v/>
      </c>
      <c r="V176" s="19">
        <f>IF(O176="","",IF(B176="G마켓",ROUNDDOWN(MAX(Q176*$N$9,R176*$N$10,S176*$N$11),0),ROUNDUP(MAX(Q176*$N$9,R176*$N$10,S176*$N$11),0)))</f>
        <v/>
      </c>
      <c r="W176" s="19">
        <f>IF(G176="","",IF(B176="G마켓",ROUNDDOWN(G176-G176*$D$3-V176,0),ROUNDUP(G176-G176*$D$3-V176,0)))</f>
        <v/>
      </c>
    </row>
    <row r="177">
      <c r="B177" s="18" t="n"/>
      <c r="C177" s="18" t="n"/>
      <c r="D177" s="18" t="n"/>
      <c r="E177" s="19" t="n"/>
      <c r="F177" s="19" t="n"/>
      <c r="G177" s="19">
        <f>IF(E177="","",E177-N(F177))</f>
        <v/>
      </c>
      <c r="H177" s="19" t="n"/>
      <c r="I177" s="19">
        <f>IF(G177="","",IF(G177&gt;=$C$9,IF(B177="G마켓",ROUNDDOWN(MIN(G177*$D$9,$E$9),0),ROUNDUP(MIN(G177*$D$9,$E$9),0)),0))</f>
        <v/>
      </c>
      <c r="J177" s="19">
        <f>IF(G177="","",IF(G177&gt;=$C$10,IF(B177="G마켓",ROUNDDOWN(MIN(G177*$D$10,$E$10),0),ROUNDUP(MIN(G177*$D$10,$E$10),0)),0))</f>
        <v/>
      </c>
      <c r="K177" s="19">
        <f>IF(G177="","",IF(G177&gt;=$C$11,IF(B177="G마켓",ROUNDDOWN(MIN(G177*$D$11,$E$11),0),ROUNDUP(MIN(G177*$D$11,$E$11),0)),0))</f>
        <v/>
      </c>
      <c r="L177" s="19">
        <f>IF(G177="","",IF(G177&gt;=$C$12,IF(B177="G마켓",ROUNDDOWN(MIN(G177*$D$12,$E$12),0),ROUNDUP(MIN(G177*$D$12,$E$12),0)),0))</f>
        <v/>
      </c>
      <c r="M177" s="19" t="n"/>
      <c r="N177" s="19">
        <f>IF(G177="","",MAX(I177,J177,K177,L177))</f>
        <v/>
      </c>
      <c r="O177" s="19">
        <f>IF(G177="","",G177-N177)</f>
        <v/>
      </c>
      <c r="P177" s="19" t="n"/>
      <c r="Q177" s="19">
        <f>IF(O177="","",IF(O177&gt;=$J$9,IF(B177="G마켓",ROUNDDOWN(MIN(O177*$K$9,$L$9),0),ROUNDUP(MIN(O177*$K$9,$L$9),0)),0))</f>
        <v/>
      </c>
      <c r="R177" s="19">
        <f>IF(O177="","",IF(O177&gt;=$J$10,IF(B177="G마켓",ROUNDDOWN(MIN(O177*$K$10,$L$10),0),ROUNDUP(MIN(O177*$K$10,$L$10),0)),0))</f>
        <v/>
      </c>
      <c r="S177" s="19">
        <f>IF(O177="","",IF(O177&gt;=$J$11,IF(B177="G마켓",ROUNDDOWN(MIN(O177*$K$11,$L$11),0),ROUNDUP(MIN(O177*$K$11,$L$11),0)),0))</f>
        <v/>
      </c>
      <c r="T177" s="19">
        <f>IF(O177="","",MAX(Q177,R177,S177))</f>
        <v/>
      </c>
      <c r="U177" s="19">
        <f>IF(O177="","",O177-T177)</f>
        <v/>
      </c>
      <c r="V177" s="19">
        <f>IF(O177="","",IF(B177="G마켓",ROUNDDOWN(MAX(Q177*$N$9,R177*$N$10,S177*$N$11),0),ROUNDUP(MAX(Q177*$N$9,R177*$N$10,S177*$N$11),0)))</f>
        <v/>
      </c>
      <c r="W177" s="19">
        <f>IF(G177="","",IF(B177="G마켓",ROUNDDOWN(G177-G177*$D$3-V177,0),ROUNDUP(G177-G177*$D$3-V177,0)))</f>
        <v/>
      </c>
    </row>
    <row r="178">
      <c r="B178" s="18" t="n"/>
      <c r="C178" s="18" t="n"/>
      <c r="D178" s="18" t="n"/>
      <c r="E178" s="19" t="n"/>
      <c r="F178" s="19" t="n"/>
      <c r="G178" s="19">
        <f>IF(E178="","",E178-N(F178))</f>
        <v/>
      </c>
      <c r="H178" s="19" t="n"/>
      <c r="I178" s="19">
        <f>IF(G178="","",IF(G178&gt;=$C$9,IF(B178="G마켓",ROUNDDOWN(MIN(G178*$D$9,$E$9),0),ROUNDUP(MIN(G178*$D$9,$E$9),0)),0))</f>
        <v/>
      </c>
      <c r="J178" s="19">
        <f>IF(G178="","",IF(G178&gt;=$C$10,IF(B178="G마켓",ROUNDDOWN(MIN(G178*$D$10,$E$10),0),ROUNDUP(MIN(G178*$D$10,$E$10),0)),0))</f>
        <v/>
      </c>
      <c r="K178" s="19">
        <f>IF(G178="","",IF(G178&gt;=$C$11,IF(B178="G마켓",ROUNDDOWN(MIN(G178*$D$11,$E$11),0),ROUNDUP(MIN(G178*$D$11,$E$11),0)),0))</f>
        <v/>
      </c>
      <c r="L178" s="19">
        <f>IF(G178="","",IF(G178&gt;=$C$12,IF(B178="G마켓",ROUNDDOWN(MIN(G178*$D$12,$E$12),0),ROUNDUP(MIN(G178*$D$12,$E$12),0)),0))</f>
        <v/>
      </c>
      <c r="M178" s="19" t="n"/>
      <c r="N178" s="19">
        <f>IF(G178="","",MAX(I178,J178,K178,L178))</f>
        <v/>
      </c>
      <c r="O178" s="19">
        <f>IF(G178="","",G178-N178)</f>
        <v/>
      </c>
      <c r="P178" s="19" t="n"/>
      <c r="Q178" s="19">
        <f>IF(O178="","",IF(O178&gt;=$J$9,IF(B178="G마켓",ROUNDDOWN(MIN(O178*$K$9,$L$9),0),ROUNDUP(MIN(O178*$K$9,$L$9),0)),0))</f>
        <v/>
      </c>
      <c r="R178" s="19">
        <f>IF(O178="","",IF(O178&gt;=$J$10,IF(B178="G마켓",ROUNDDOWN(MIN(O178*$K$10,$L$10),0),ROUNDUP(MIN(O178*$K$10,$L$10),0)),0))</f>
        <v/>
      </c>
      <c r="S178" s="19">
        <f>IF(O178="","",IF(O178&gt;=$J$11,IF(B178="G마켓",ROUNDDOWN(MIN(O178*$K$11,$L$11),0),ROUNDUP(MIN(O178*$K$11,$L$11),0)),0))</f>
        <v/>
      </c>
      <c r="T178" s="19">
        <f>IF(O178="","",MAX(Q178,R178,S178))</f>
        <v/>
      </c>
      <c r="U178" s="19">
        <f>IF(O178="","",O178-T178)</f>
        <v/>
      </c>
      <c r="V178" s="19">
        <f>IF(O178="","",IF(B178="G마켓",ROUNDDOWN(MAX(Q178*$N$9,R178*$N$10,S178*$N$11),0),ROUNDUP(MAX(Q178*$N$9,R178*$N$10,S178*$N$11),0)))</f>
        <v/>
      </c>
      <c r="W178" s="19">
        <f>IF(G178="","",IF(B178="G마켓",ROUNDDOWN(G178-G178*$D$3-V178,0),ROUNDUP(G178-G178*$D$3-V178,0)))</f>
        <v/>
      </c>
    </row>
    <row r="179">
      <c r="B179" s="18" t="n"/>
      <c r="C179" s="18" t="n"/>
      <c r="D179" s="18" t="n"/>
      <c r="E179" s="19" t="n"/>
      <c r="F179" s="19" t="n"/>
      <c r="G179" s="19">
        <f>IF(E179="","",E179-N(F179))</f>
        <v/>
      </c>
      <c r="H179" s="19" t="n"/>
      <c r="I179" s="19">
        <f>IF(G179="","",IF(G179&gt;=$C$9,IF(B179="G마켓",ROUNDDOWN(MIN(G179*$D$9,$E$9),0),ROUNDUP(MIN(G179*$D$9,$E$9),0)),0))</f>
        <v/>
      </c>
      <c r="J179" s="19">
        <f>IF(G179="","",IF(G179&gt;=$C$10,IF(B179="G마켓",ROUNDDOWN(MIN(G179*$D$10,$E$10),0),ROUNDUP(MIN(G179*$D$10,$E$10),0)),0))</f>
        <v/>
      </c>
      <c r="K179" s="19">
        <f>IF(G179="","",IF(G179&gt;=$C$11,IF(B179="G마켓",ROUNDDOWN(MIN(G179*$D$11,$E$11),0),ROUNDUP(MIN(G179*$D$11,$E$11),0)),0))</f>
        <v/>
      </c>
      <c r="L179" s="19">
        <f>IF(G179="","",IF(G179&gt;=$C$12,IF(B179="G마켓",ROUNDDOWN(MIN(G179*$D$12,$E$12),0),ROUNDUP(MIN(G179*$D$12,$E$12),0)),0))</f>
        <v/>
      </c>
      <c r="M179" s="19" t="n"/>
      <c r="N179" s="19">
        <f>IF(G179="","",MAX(I179,J179,K179,L179))</f>
        <v/>
      </c>
      <c r="O179" s="19">
        <f>IF(G179="","",G179-N179)</f>
        <v/>
      </c>
      <c r="P179" s="19" t="n"/>
      <c r="Q179" s="19">
        <f>IF(O179="","",IF(O179&gt;=$J$9,IF(B179="G마켓",ROUNDDOWN(MIN(O179*$K$9,$L$9),0),ROUNDUP(MIN(O179*$K$9,$L$9),0)),0))</f>
        <v/>
      </c>
      <c r="R179" s="19">
        <f>IF(O179="","",IF(O179&gt;=$J$10,IF(B179="G마켓",ROUNDDOWN(MIN(O179*$K$10,$L$10),0),ROUNDUP(MIN(O179*$K$10,$L$10),0)),0))</f>
        <v/>
      </c>
      <c r="S179" s="19">
        <f>IF(O179="","",IF(O179&gt;=$J$11,IF(B179="G마켓",ROUNDDOWN(MIN(O179*$K$11,$L$11),0),ROUNDUP(MIN(O179*$K$11,$L$11),0)),0))</f>
        <v/>
      </c>
      <c r="T179" s="19">
        <f>IF(O179="","",MAX(Q179,R179,S179))</f>
        <v/>
      </c>
      <c r="U179" s="19">
        <f>IF(O179="","",O179-T179)</f>
        <v/>
      </c>
      <c r="V179" s="19">
        <f>IF(O179="","",IF(B179="G마켓",ROUNDDOWN(MAX(Q179*$N$9,R179*$N$10,S179*$N$11),0),ROUNDUP(MAX(Q179*$N$9,R179*$N$10,S179*$N$11),0)))</f>
        <v/>
      </c>
      <c r="W179" s="19">
        <f>IF(G179="","",IF(B179="G마켓",ROUNDDOWN(G179-G179*$D$3-V179,0),ROUNDUP(G179-G179*$D$3-V179,0)))</f>
        <v/>
      </c>
    </row>
    <row r="180">
      <c r="B180" s="18" t="n"/>
      <c r="C180" s="18" t="n"/>
      <c r="D180" s="18" t="n"/>
      <c r="E180" s="19" t="n"/>
      <c r="F180" s="19" t="n"/>
      <c r="G180" s="19">
        <f>IF(E180="","",E180-N(F180))</f>
        <v/>
      </c>
      <c r="H180" s="19" t="n"/>
      <c r="I180" s="19">
        <f>IF(G180="","",IF(G180&gt;=$C$9,IF(B180="G마켓",ROUNDDOWN(MIN(G180*$D$9,$E$9),0),ROUNDUP(MIN(G180*$D$9,$E$9),0)),0))</f>
        <v/>
      </c>
      <c r="J180" s="19">
        <f>IF(G180="","",IF(G180&gt;=$C$10,IF(B180="G마켓",ROUNDDOWN(MIN(G180*$D$10,$E$10),0),ROUNDUP(MIN(G180*$D$10,$E$10),0)),0))</f>
        <v/>
      </c>
      <c r="K180" s="19">
        <f>IF(G180="","",IF(G180&gt;=$C$11,IF(B180="G마켓",ROUNDDOWN(MIN(G180*$D$11,$E$11),0),ROUNDUP(MIN(G180*$D$11,$E$11),0)),0))</f>
        <v/>
      </c>
      <c r="L180" s="19">
        <f>IF(G180="","",IF(G180&gt;=$C$12,IF(B180="G마켓",ROUNDDOWN(MIN(G180*$D$12,$E$12),0),ROUNDUP(MIN(G180*$D$12,$E$12),0)),0))</f>
        <v/>
      </c>
      <c r="M180" s="19" t="n"/>
      <c r="N180" s="19">
        <f>IF(G180="","",MAX(I180,J180,K180,L180))</f>
        <v/>
      </c>
      <c r="O180" s="19">
        <f>IF(G180="","",G180-N180)</f>
        <v/>
      </c>
      <c r="P180" s="19" t="n"/>
      <c r="Q180" s="19">
        <f>IF(O180="","",IF(O180&gt;=$J$9,IF(B180="G마켓",ROUNDDOWN(MIN(O180*$K$9,$L$9),0),ROUNDUP(MIN(O180*$K$9,$L$9),0)),0))</f>
        <v/>
      </c>
      <c r="R180" s="19">
        <f>IF(O180="","",IF(O180&gt;=$J$10,IF(B180="G마켓",ROUNDDOWN(MIN(O180*$K$10,$L$10),0),ROUNDUP(MIN(O180*$K$10,$L$10),0)),0))</f>
        <v/>
      </c>
      <c r="S180" s="19">
        <f>IF(O180="","",IF(O180&gt;=$J$11,IF(B180="G마켓",ROUNDDOWN(MIN(O180*$K$11,$L$11),0),ROUNDUP(MIN(O180*$K$11,$L$11),0)),0))</f>
        <v/>
      </c>
      <c r="T180" s="19">
        <f>IF(O180="","",MAX(Q180,R180,S180))</f>
        <v/>
      </c>
      <c r="U180" s="19">
        <f>IF(O180="","",O180-T180)</f>
        <v/>
      </c>
      <c r="V180" s="19">
        <f>IF(O180="","",IF(B180="G마켓",ROUNDDOWN(MAX(Q180*$N$9,R180*$N$10,S180*$N$11),0),ROUNDUP(MAX(Q180*$N$9,R180*$N$10,S180*$N$11),0)))</f>
        <v/>
      </c>
      <c r="W180" s="19">
        <f>IF(G180="","",IF(B180="G마켓",ROUNDDOWN(G180-G180*$D$3-V180,0),ROUNDUP(G180-G180*$D$3-V180,0)))</f>
        <v/>
      </c>
    </row>
    <row r="181">
      <c r="B181" s="18" t="n"/>
      <c r="C181" s="18" t="n"/>
      <c r="D181" s="18" t="n"/>
      <c r="E181" s="19" t="n"/>
      <c r="F181" s="19" t="n"/>
      <c r="G181" s="19">
        <f>IF(E181="","",E181-N(F181))</f>
        <v/>
      </c>
      <c r="H181" s="19" t="n"/>
      <c r="I181" s="19">
        <f>IF(G181="","",IF(G181&gt;=$C$9,IF(B181="G마켓",ROUNDDOWN(MIN(G181*$D$9,$E$9),0),ROUNDUP(MIN(G181*$D$9,$E$9),0)),0))</f>
        <v/>
      </c>
      <c r="J181" s="19">
        <f>IF(G181="","",IF(G181&gt;=$C$10,IF(B181="G마켓",ROUNDDOWN(MIN(G181*$D$10,$E$10),0),ROUNDUP(MIN(G181*$D$10,$E$10),0)),0))</f>
        <v/>
      </c>
      <c r="K181" s="19">
        <f>IF(G181="","",IF(G181&gt;=$C$11,IF(B181="G마켓",ROUNDDOWN(MIN(G181*$D$11,$E$11),0),ROUNDUP(MIN(G181*$D$11,$E$11),0)),0))</f>
        <v/>
      </c>
      <c r="L181" s="19">
        <f>IF(G181="","",IF(G181&gt;=$C$12,IF(B181="G마켓",ROUNDDOWN(MIN(G181*$D$12,$E$12),0),ROUNDUP(MIN(G181*$D$12,$E$12),0)),0))</f>
        <v/>
      </c>
      <c r="M181" s="19" t="n"/>
      <c r="N181" s="19">
        <f>IF(G181="","",MAX(I181,J181,K181,L181))</f>
        <v/>
      </c>
      <c r="O181" s="19">
        <f>IF(G181="","",G181-N181)</f>
        <v/>
      </c>
      <c r="P181" s="19" t="n"/>
      <c r="Q181" s="19">
        <f>IF(O181="","",IF(O181&gt;=$J$9,IF(B181="G마켓",ROUNDDOWN(MIN(O181*$K$9,$L$9),0),ROUNDUP(MIN(O181*$K$9,$L$9),0)),0))</f>
        <v/>
      </c>
      <c r="R181" s="19">
        <f>IF(O181="","",IF(O181&gt;=$J$10,IF(B181="G마켓",ROUNDDOWN(MIN(O181*$K$10,$L$10),0),ROUNDUP(MIN(O181*$K$10,$L$10),0)),0))</f>
        <v/>
      </c>
      <c r="S181" s="19">
        <f>IF(O181="","",IF(O181&gt;=$J$11,IF(B181="G마켓",ROUNDDOWN(MIN(O181*$K$11,$L$11),0),ROUNDUP(MIN(O181*$K$11,$L$11),0)),0))</f>
        <v/>
      </c>
      <c r="T181" s="19">
        <f>IF(O181="","",MAX(Q181,R181,S181))</f>
        <v/>
      </c>
      <c r="U181" s="19">
        <f>IF(O181="","",O181-T181)</f>
        <v/>
      </c>
      <c r="V181" s="19">
        <f>IF(O181="","",IF(B181="G마켓",ROUNDDOWN(MAX(Q181*$N$9,R181*$N$10,S181*$N$11),0),ROUNDUP(MAX(Q181*$N$9,R181*$N$10,S181*$N$11),0)))</f>
        <v/>
      </c>
      <c r="W181" s="19">
        <f>IF(G181="","",IF(B181="G마켓",ROUNDDOWN(G181-G181*$D$3-V181,0),ROUNDUP(G181-G181*$D$3-V181,0)))</f>
        <v/>
      </c>
    </row>
    <row r="182">
      <c r="B182" s="18" t="n"/>
      <c r="C182" s="18" t="n"/>
      <c r="D182" s="18" t="n"/>
      <c r="E182" s="19" t="n"/>
      <c r="F182" s="19" t="n"/>
      <c r="G182" s="19">
        <f>IF(E182="","",E182-N(F182))</f>
        <v/>
      </c>
      <c r="H182" s="19" t="n"/>
      <c r="I182" s="19">
        <f>IF(G182="","",IF(G182&gt;=$C$9,IF(B182="G마켓",ROUNDDOWN(MIN(G182*$D$9,$E$9),0),ROUNDUP(MIN(G182*$D$9,$E$9),0)),0))</f>
        <v/>
      </c>
      <c r="J182" s="19">
        <f>IF(G182="","",IF(G182&gt;=$C$10,IF(B182="G마켓",ROUNDDOWN(MIN(G182*$D$10,$E$10),0),ROUNDUP(MIN(G182*$D$10,$E$10),0)),0))</f>
        <v/>
      </c>
      <c r="K182" s="19">
        <f>IF(G182="","",IF(G182&gt;=$C$11,IF(B182="G마켓",ROUNDDOWN(MIN(G182*$D$11,$E$11),0),ROUNDUP(MIN(G182*$D$11,$E$11),0)),0))</f>
        <v/>
      </c>
      <c r="L182" s="19">
        <f>IF(G182="","",IF(G182&gt;=$C$12,IF(B182="G마켓",ROUNDDOWN(MIN(G182*$D$12,$E$12),0),ROUNDUP(MIN(G182*$D$12,$E$12),0)),0))</f>
        <v/>
      </c>
      <c r="M182" s="19" t="n"/>
      <c r="N182" s="19">
        <f>IF(G182="","",MAX(I182,J182,K182,L182))</f>
        <v/>
      </c>
      <c r="O182" s="19">
        <f>IF(G182="","",G182-N182)</f>
        <v/>
      </c>
      <c r="P182" s="19" t="n"/>
      <c r="Q182" s="19">
        <f>IF(O182="","",IF(O182&gt;=$J$9,IF(B182="G마켓",ROUNDDOWN(MIN(O182*$K$9,$L$9),0),ROUNDUP(MIN(O182*$K$9,$L$9),0)),0))</f>
        <v/>
      </c>
      <c r="R182" s="19">
        <f>IF(O182="","",IF(O182&gt;=$J$10,IF(B182="G마켓",ROUNDDOWN(MIN(O182*$K$10,$L$10),0),ROUNDUP(MIN(O182*$K$10,$L$10),0)),0))</f>
        <v/>
      </c>
      <c r="S182" s="19">
        <f>IF(O182="","",IF(O182&gt;=$J$11,IF(B182="G마켓",ROUNDDOWN(MIN(O182*$K$11,$L$11),0),ROUNDUP(MIN(O182*$K$11,$L$11),0)),0))</f>
        <v/>
      </c>
      <c r="T182" s="19">
        <f>IF(O182="","",MAX(Q182,R182,S182))</f>
        <v/>
      </c>
      <c r="U182" s="19">
        <f>IF(O182="","",O182-T182)</f>
        <v/>
      </c>
      <c r="V182" s="19">
        <f>IF(O182="","",IF(B182="G마켓",ROUNDDOWN(MAX(Q182*$N$9,R182*$N$10,S182*$N$11),0),ROUNDUP(MAX(Q182*$N$9,R182*$N$10,S182*$N$11),0)))</f>
        <v/>
      </c>
      <c r="W182" s="19">
        <f>IF(G182="","",IF(B182="G마켓",ROUNDDOWN(G182-G182*$D$3-V182,0),ROUNDUP(G182-G182*$D$3-V182,0)))</f>
        <v/>
      </c>
    </row>
    <row r="183">
      <c r="B183" s="18" t="n"/>
      <c r="C183" s="18" t="n"/>
      <c r="D183" s="18" t="n"/>
      <c r="E183" s="19" t="n"/>
      <c r="F183" s="19" t="n"/>
      <c r="G183" s="19">
        <f>IF(E183="","",E183-N(F183))</f>
        <v/>
      </c>
      <c r="H183" s="19" t="n"/>
      <c r="I183" s="19">
        <f>IF(G183="","",IF(G183&gt;=$C$9,IF(B183="G마켓",ROUNDDOWN(MIN(G183*$D$9,$E$9),0),ROUNDUP(MIN(G183*$D$9,$E$9),0)),0))</f>
        <v/>
      </c>
      <c r="J183" s="19">
        <f>IF(G183="","",IF(G183&gt;=$C$10,IF(B183="G마켓",ROUNDDOWN(MIN(G183*$D$10,$E$10),0),ROUNDUP(MIN(G183*$D$10,$E$10),0)),0))</f>
        <v/>
      </c>
      <c r="K183" s="19">
        <f>IF(G183="","",IF(G183&gt;=$C$11,IF(B183="G마켓",ROUNDDOWN(MIN(G183*$D$11,$E$11),0),ROUNDUP(MIN(G183*$D$11,$E$11),0)),0))</f>
        <v/>
      </c>
      <c r="L183" s="19">
        <f>IF(G183="","",IF(G183&gt;=$C$12,IF(B183="G마켓",ROUNDDOWN(MIN(G183*$D$12,$E$12),0),ROUNDUP(MIN(G183*$D$12,$E$12),0)),0))</f>
        <v/>
      </c>
      <c r="M183" s="19" t="n"/>
      <c r="N183" s="19">
        <f>IF(G183="","",MAX(I183,J183,K183,L183))</f>
        <v/>
      </c>
      <c r="O183" s="19">
        <f>IF(G183="","",G183-N183)</f>
        <v/>
      </c>
      <c r="P183" s="19" t="n"/>
      <c r="Q183" s="19">
        <f>IF(O183="","",IF(O183&gt;=$J$9,IF(B183="G마켓",ROUNDDOWN(MIN(O183*$K$9,$L$9),0),ROUNDUP(MIN(O183*$K$9,$L$9),0)),0))</f>
        <v/>
      </c>
      <c r="R183" s="19">
        <f>IF(O183="","",IF(O183&gt;=$J$10,IF(B183="G마켓",ROUNDDOWN(MIN(O183*$K$10,$L$10),0),ROUNDUP(MIN(O183*$K$10,$L$10),0)),0))</f>
        <v/>
      </c>
      <c r="S183" s="19">
        <f>IF(O183="","",IF(O183&gt;=$J$11,IF(B183="G마켓",ROUNDDOWN(MIN(O183*$K$11,$L$11),0),ROUNDUP(MIN(O183*$K$11,$L$11),0)),0))</f>
        <v/>
      </c>
      <c r="T183" s="19">
        <f>IF(O183="","",MAX(Q183,R183,S183))</f>
        <v/>
      </c>
      <c r="U183" s="19">
        <f>IF(O183="","",O183-T183)</f>
        <v/>
      </c>
      <c r="V183" s="19">
        <f>IF(O183="","",IF(B183="G마켓",ROUNDDOWN(MAX(Q183*$N$9,R183*$N$10,S183*$N$11),0),ROUNDUP(MAX(Q183*$N$9,R183*$N$10,S183*$N$11),0)))</f>
        <v/>
      </c>
      <c r="W183" s="19">
        <f>IF(G183="","",IF(B183="G마켓",ROUNDDOWN(G183-G183*$D$3-V183,0),ROUNDUP(G183-G183*$D$3-V183,0)))</f>
        <v/>
      </c>
    </row>
    <row r="184">
      <c r="B184" s="18" t="n"/>
      <c r="C184" s="18" t="n"/>
      <c r="D184" s="18" t="n"/>
      <c r="E184" s="19" t="n"/>
      <c r="F184" s="19" t="n"/>
      <c r="G184" s="19">
        <f>IF(E184="","",E184-N(F184))</f>
        <v/>
      </c>
      <c r="H184" s="19" t="n"/>
      <c r="I184" s="19">
        <f>IF(G184="","",IF(G184&gt;=$C$9,IF(B184="G마켓",ROUNDDOWN(MIN(G184*$D$9,$E$9),0),ROUNDUP(MIN(G184*$D$9,$E$9),0)),0))</f>
        <v/>
      </c>
      <c r="J184" s="19">
        <f>IF(G184="","",IF(G184&gt;=$C$10,IF(B184="G마켓",ROUNDDOWN(MIN(G184*$D$10,$E$10),0),ROUNDUP(MIN(G184*$D$10,$E$10),0)),0))</f>
        <v/>
      </c>
      <c r="K184" s="19">
        <f>IF(G184="","",IF(G184&gt;=$C$11,IF(B184="G마켓",ROUNDDOWN(MIN(G184*$D$11,$E$11),0),ROUNDUP(MIN(G184*$D$11,$E$11),0)),0))</f>
        <v/>
      </c>
      <c r="L184" s="19">
        <f>IF(G184="","",IF(G184&gt;=$C$12,IF(B184="G마켓",ROUNDDOWN(MIN(G184*$D$12,$E$12),0),ROUNDUP(MIN(G184*$D$12,$E$12),0)),0))</f>
        <v/>
      </c>
      <c r="M184" s="19" t="n"/>
      <c r="N184" s="19">
        <f>IF(G184="","",MAX(I184,J184,K184,L184))</f>
        <v/>
      </c>
      <c r="O184" s="19">
        <f>IF(G184="","",G184-N184)</f>
        <v/>
      </c>
      <c r="P184" s="19" t="n"/>
      <c r="Q184" s="19">
        <f>IF(O184="","",IF(O184&gt;=$J$9,IF(B184="G마켓",ROUNDDOWN(MIN(O184*$K$9,$L$9),0),ROUNDUP(MIN(O184*$K$9,$L$9),0)),0))</f>
        <v/>
      </c>
      <c r="R184" s="19">
        <f>IF(O184="","",IF(O184&gt;=$J$10,IF(B184="G마켓",ROUNDDOWN(MIN(O184*$K$10,$L$10),0),ROUNDUP(MIN(O184*$K$10,$L$10),0)),0))</f>
        <v/>
      </c>
      <c r="S184" s="19">
        <f>IF(O184="","",IF(O184&gt;=$J$11,IF(B184="G마켓",ROUNDDOWN(MIN(O184*$K$11,$L$11),0),ROUNDUP(MIN(O184*$K$11,$L$11),0)),0))</f>
        <v/>
      </c>
      <c r="T184" s="19">
        <f>IF(O184="","",MAX(Q184,R184,S184))</f>
        <v/>
      </c>
      <c r="U184" s="19">
        <f>IF(O184="","",O184-T184)</f>
        <v/>
      </c>
      <c r="V184" s="19">
        <f>IF(O184="","",IF(B184="G마켓",ROUNDDOWN(MAX(Q184*$N$9,R184*$N$10,S184*$N$11),0),ROUNDUP(MAX(Q184*$N$9,R184*$N$10,S184*$N$11),0)))</f>
        <v/>
      </c>
      <c r="W184" s="19">
        <f>IF(G184="","",IF(B184="G마켓",ROUNDDOWN(G184-G184*$D$3-V184,0),ROUNDUP(G184-G184*$D$3-V184,0)))</f>
        <v/>
      </c>
    </row>
    <row r="185">
      <c r="B185" s="18" t="n"/>
      <c r="C185" s="18" t="n"/>
      <c r="D185" s="18" t="n"/>
      <c r="E185" s="19" t="n"/>
      <c r="F185" s="19" t="n"/>
      <c r="G185" s="19">
        <f>IF(E185="","",E185-N(F185))</f>
        <v/>
      </c>
      <c r="H185" s="19" t="n"/>
      <c r="I185" s="19">
        <f>IF(G185="","",IF(G185&gt;=$C$9,IF(B185="G마켓",ROUNDDOWN(MIN(G185*$D$9,$E$9),0),ROUNDUP(MIN(G185*$D$9,$E$9),0)),0))</f>
        <v/>
      </c>
      <c r="J185" s="19">
        <f>IF(G185="","",IF(G185&gt;=$C$10,IF(B185="G마켓",ROUNDDOWN(MIN(G185*$D$10,$E$10),0),ROUNDUP(MIN(G185*$D$10,$E$10),0)),0))</f>
        <v/>
      </c>
      <c r="K185" s="19">
        <f>IF(G185="","",IF(G185&gt;=$C$11,IF(B185="G마켓",ROUNDDOWN(MIN(G185*$D$11,$E$11),0),ROUNDUP(MIN(G185*$D$11,$E$11),0)),0))</f>
        <v/>
      </c>
      <c r="L185" s="19">
        <f>IF(G185="","",IF(G185&gt;=$C$12,IF(B185="G마켓",ROUNDDOWN(MIN(G185*$D$12,$E$12),0),ROUNDUP(MIN(G185*$D$12,$E$12),0)),0))</f>
        <v/>
      </c>
      <c r="M185" s="19" t="n"/>
      <c r="N185" s="19">
        <f>IF(G185="","",MAX(I185,J185,K185,L185))</f>
        <v/>
      </c>
      <c r="O185" s="19">
        <f>IF(G185="","",G185-N185)</f>
        <v/>
      </c>
      <c r="P185" s="19" t="n"/>
      <c r="Q185" s="19">
        <f>IF(O185="","",IF(O185&gt;=$J$9,IF(B185="G마켓",ROUNDDOWN(MIN(O185*$K$9,$L$9),0),ROUNDUP(MIN(O185*$K$9,$L$9),0)),0))</f>
        <v/>
      </c>
      <c r="R185" s="19">
        <f>IF(O185="","",IF(O185&gt;=$J$10,IF(B185="G마켓",ROUNDDOWN(MIN(O185*$K$10,$L$10),0),ROUNDUP(MIN(O185*$K$10,$L$10),0)),0))</f>
        <v/>
      </c>
      <c r="S185" s="19">
        <f>IF(O185="","",IF(O185&gt;=$J$11,IF(B185="G마켓",ROUNDDOWN(MIN(O185*$K$11,$L$11),0),ROUNDUP(MIN(O185*$K$11,$L$11),0)),0))</f>
        <v/>
      </c>
      <c r="T185" s="19">
        <f>IF(O185="","",MAX(Q185,R185,S185))</f>
        <v/>
      </c>
      <c r="U185" s="19">
        <f>IF(O185="","",O185-T185)</f>
        <v/>
      </c>
      <c r="V185" s="19">
        <f>IF(O185="","",IF(B185="G마켓",ROUNDDOWN(MAX(Q185*$N$9,R185*$N$10,S185*$N$11),0),ROUNDUP(MAX(Q185*$N$9,R185*$N$10,S185*$N$11),0)))</f>
        <v/>
      </c>
      <c r="W185" s="19">
        <f>IF(G185="","",IF(B185="G마켓",ROUNDDOWN(G185-G185*$D$3-V185,0),ROUNDUP(G185-G185*$D$3-V185,0)))</f>
        <v/>
      </c>
    </row>
    <row r="186">
      <c r="B186" s="18" t="n"/>
      <c r="C186" s="18" t="n"/>
      <c r="D186" s="18" t="n"/>
      <c r="E186" s="19" t="n"/>
      <c r="F186" s="19" t="n"/>
      <c r="G186" s="19">
        <f>IF(E186="","",E186-N(F186))</f>
        <v/>
      </c>
      <c r="H186" s="19" t="n"/>
      <c r="I186" s="19">
        <f>IF(G186="","",IF(G186&gt;=$C$9,IF(B186="G마켓",ROUNDDOWN(MIN(G186*$D$9,$E$9),0),ROUNDUP(MIN(G186*$D$9,$E$9),0)),0))</f>
        <v/>
      </c>
      <c r="J186" s="19">
        <f>IF(G186="","",IF(G186&gt;=$C$10,IF(B186="G마켓",ROUNDDOWN(MIN(G186*$D$10,$E$10),0),ROUNDUP(MIN(G186*$D$10,$E$10),0)),0))</f>
        <v/>
      </c>
      <c r="K186" s="19">
        <f>IF(G186="","",IF(G186&gt;=$C$11,IF(B186="G마켓",ROUNDDOWN(MIN(G186*$D$11,$E$11),0),ROUNDUP(MIN(G186*$D$11,$E$11),0)),0))</f>
        <v/>
      </c>
      <c r="L186" s="19">
        <f>IF(G186="","",IF(G186&gt;=$C$12,IF(B186="G마켓",ROUNDDOWN(MIN(G186*$D$12,$E$12),0),ROUNDUP(MIN(G186*$D$12,$E$12),0)),0))</f>
        <v/>
      </c>
      <c r="M186" s="19" t="n"/>
      <c r="N186" s="19">
        <f>IF(G186="","",MAX(I186,J186,K186,L186))</f>
        <v/>
      </c>
      <c r="O186" s="19">
        <f>IF(G186="","",G186-N186)</f>
        <v/>
      </c>
      <c r="P186" s="19" t="n"/>
      <c r="Q186" s="19">
        <f>IF(O186="","",IF(O186&gt;=$J$9,IF(B186="G마켓",ROUNDDOWN(MIN(O186*$K$9,$L$9),0),ROUNDUP(MIN(O186*$K$9,$L$9),0)),0))</f>
        <v/>
      </c>
      <c r="R186" s="19">
        <f>IF(O186="","",IF(O186&gt;=$J$10,IF(B186="G마켓",ROUNDDOWN(MIN(O186*$K$10,$L$10),0),ROUNDUP(MIN(O186*$K$10,$L$10),0)),0))</f>
        <v/>
      </c>
      <c r="S186" s="19">
        <f>IF(O186="","",IF(O186&gt;=$J$11,IF(B186="G마켓",ROUNDDOWN(MIN(O186*$K$11,$L$11),0),ROUNDUP(MIN(O186*$K$11,$L$11),0)),0))</f>
        <v/>
      </c>
      <c r="T186" s="19">
        <f>IF(O186="","",MAX(Q186,R186,S186))</f>
        <v/>
      </c>
      <c r="U186" s="19">
        <f>IF(O186="","",O186-T186)</f>
        <v/>
      </c>
      <c r="V186" s="19">
        <f>IF(O186="","",IF(B186="G마켓",ROUNDDOWN(MAX(Q186*$N$9,R186*$N$10,S186*$N$11),0),ROUNDUP(MAX(Q186*$N$9,R186*$N$10,S186*$N$11),0)))</f>
        <v/>
      </c>
      <c r="W186" s="19">
        <f>IF(G186="","",IF(B186="G마켓",ROUNDDOWN(G186-G186*$D$3-V186,0),ROUNDUP(G186-G186*$D$3-V186,0)))</f>
        <v/>
      </c>
    </row>
    <row r="187">
      <c r="B187" s="18" t="n"/>
      <c r="C187" s="18" t="n"/>
      <c r="D187" s="18" t="n"/>
      <c r="E187" s="19" t="n"/>
      <c r="F187" s="19" t="n"/>
      <c r="G187" s="19">
        <f>IF(E187="","",E187-N(F187))</f>
        <v/>
      </c>
      <c r="H187" s="19" t="n"/>
      <c r="I187" s="19">
        <f>IF(G187="","",IF(G187&gt;=$C$9,IF(B187="G마켓",ROUNDDOWN(MIN(G187*$D$9,$E$9),0),ROUNDUP(MIN(G187*$D$9,$E$9),0)),0))</f>
        <v/>
      </c>
      <c r="J187" s="19">
        <f>IF(G187="","",IF(G187&gt;=$C$10,IF(B187="G마켓",ROUNDDOWN(MIN(G187*$D$10,$E$10),0),ROUNDUP(MIN(G187*$D$10,$E$10),0)),0))</f>
        <v/>
      </c>
      <c r="K187" s="19">
        <f>IF(G187="","",IF(G187&gt;=$C$11,IF(B187="G마켓",ROUNDDOWN(MIN(G187*$D$11,$E$11),0),ROUNDUP(MIN(G187*$D$11,$E$11),0)),0))</f>
        <v/>
      </c>
      <c r="L187" s="19">
        <f>IF(G187="","",IF(G187&gt;=$C$12,IF(B187="G마켓",ROUNDDOWN(MIN(G187*$D$12,$E$12),0),ROUNDUP(MIN(G187*$D$12,$E$12),0)),0))</f>
        <v/>
      </c>
      <c r="M187" s="19" t="n"/>
      <c r="N187" s="19">
        <f>IF(G187="","",MAX(I187,J187,K187,L187))</f>
        <v/>
      </c>
      <c r="O187" s="19">
        <f>IF(G187="","",G187-N187)</f>
        <v/>
      </c>
      <c r="P187" s="19" t="n"/>
      <c r="Q187" s="19">
        <f>IF(O187="","",IF(O187&gt;=$J$9,IF(B187="G마켓",ROUNDDOWN(MIN(O187*$K$9,$L$9),0),ROUNDUP(MIN(O187*$K$9,$L$9),0)),0))</f>
        <v/>
      </c>
      <c r="R187" s="19">
        <f>IF(O187="","",IF(O187&gt;=$J$10,IF(B187="G마켓",ROUNDDOWN(MIN(O187*$K$10,$L$10),0),ROUNDUP(MIN(O187*$K$10,$L$10),0)),0))</f>
        <v/>
      </c>
      <c r="S187" s="19">
        <f>IF(O187="","",IF(O187&gt;=$J$11,IF(B187="G마켓",ROUNDDOWN(MIN(O187*$K$11,$L$11),0),ROUNDUP(MIN(O187*$K$11,$L$11),0)),0))</f>
        <v/>
      </c>
      <c r="T187" s="19">
        <f>IF(O187="","",MAX(Q187,R187,S187))</f>
        <v/>
      </c>
      <c r="U187" s="19">
        <f>IF(O187="","",O187-T187)</f>
        <v/>
      </c>
      <c r="V187" s="19">
        <f>IF(O187="","",IF(B187="G마켓",ROUNDDOWN(MAX(Q187*$N$9,R187*$N$10,S187*$N$11),0),ROUNDUP(MAX(Q187*$N$9,R187*$N$10,S187*$N$11),0)))</f>
        <v/>
      </c>
      <c r="W187" s="19">
        <f>IF(G187="","",IF(B187="G마켓",ROUNDDOWN(G187-G187*$D$3-V187,0),ROUNDUP(G187-G187*$D$3-V187,0)))</f>
        <v/>
      </c>
    </row>
    <row r="188">
      <c r="B188" s="18" t="n"/>
      <c r="C188" s="18" t="n"/>
      <c r="D188" s="18" t="n"/>
      <c r="E188" s="19" t="n"/>
      <c r="F188" s="19" t="n"/>
      <c r="G188" s="19">
        <f>IF(E188="","",E188-N(F188))</f>
        <v/>
      </c>
      <c r="H188" s="19" t="n"/>
      <c r="I188" s="19">
        <f>IF(G188="","",IF(G188&gt;=$C$9,IF(B188="G마켓",ROUNDDOWN(MIN(G188*$D$9,$E$9),0),ROUNDUP(MIN(G188*$D$9,$E$9),0)),0))</f>
        <v/>
      </c>
      <c r="J188" s="19">
        <f>IF(G188="","",IF(G188&gt;=$C$10,IF(B188="G마켓",ROUNDDOWN(MIN(G188*$D$10,$E$10),0),ROUNDUP(MIN(G188*$D$10,$E$10),0)),0))</f>
        <v/>
      </c>
      <c r="K188" s="19">
        <f>IF(G188="","",IF(G188&gt;=$C$11,IF(B188="G마켓",ROUNDDOWN(MIN(G188*$D$11,$E$11),0),ROUNDUP(MIN(G188*$D$11,$E$11),0)),0))</f>
        <v/>
      </c>
      <c r="L188" s="19">
        <f>IF(G188="","",IF(G188&gt;=$C$12,IF(B188="G마켓",ROUNDDOWN(MIN(G188*$D$12,$E$12),0),ROUNDUP(MIN(G188*$D$12,$E$12),0)),0))</f>
        <v/>
      </c>
      <c r="M188" s="19" t="n"/>
      <c r="N188" s="19">
        <f>IF(G188="","",MAX(I188,J188,K188,L188))</f>
        <v/>
      </c>
      <c r="O188" s="19">
        <f>IF(G188="","",G188-N188)</f>
        <v/>
      </c>
      <c r="P188" s="19" t="n"/>
      <c r="Q188" s="19">
        <f>IF(O188="","",IF(O188&gt;=$J$9,IF(B188="G마켓",ROUNDDOWN(MIN(O188*$K$9,$L$9),0),ROUNDUP(MIN(O188*$K$9,$L$9),0)),0))</f>
        <v/>
      </c>
      <c r="R188" s="19">
        <f>IF(O188="","",IF(O188&gt;=$J$10,IF(B188="G마켓",ROUNDDOWN(MIN(O188*$K$10,$L$10),0),ROUNDUP(MIN(O188*$K$10,$L$10),0)),0))</f>
        <v/>
      </c>
      <c r="S188" s="19">
        <f>IF(O188="","",IF(O188&gt;=$J$11,IF(B188="G마켓",ROUNDDOWN(MIN(O188*$K$11,$L$11),0),ROUNDUP(MIN(O188*$K$11,$L$11),0)),0))</f>
        <v/>
      </c>
      <c r="T188" s="19">
        <f>IF(O188="","",MAX(Q188,R188,S188))</f>
        <v/>
      </c>
      <c r="U188" s="19">
        <f>IF(O188="","",O188-T188)</f>
        <v/>
      </c>
      <c r="V188" s="19">
        <f>IF(O188="","",IF(B188="G마켓",ROUNDDOWN(MAX(Q188*$N$9,R188*$N$10,S188*$N$11),0),ROUNDUP(MAX(Q188*$N$9,R188*$N$10,S188*$N$11),0)))</f>
        <v/>
      </c>
      <c r="W188" s="19">
        <f>IF(G188="","",IF(B188="G마켓",ROUNDDOWN(G188-G188*$D$3-V188,0),ROUNDUP(G188-G188*$D$3-V188,0)))</f>
        <v/>
      </c>
    </row>
    <row r="189">
      <c r="B189" s="18" t="n"/>
      <c r="C189" s="18" t="n"/>
      <c r="D189" s="18" t="n"/>
      <c r="E189" s="19" t="n"/>
      <c r="F189" s="19" t="n"/>
      <c r="G189" s="19">
        <f>IF(E189="","",E189-N(F189))</f>
        <v/>
      </c>
      <c r="H189" s="19" t="n"/>
      <c r="I189" s="19">
        <f>IF(G189="","",IF(G189&gt;=$C$9,IF(B189="G마켓",ROUNDDOWN(MIN(G189*$D$9,$E$9),0),ROUNDUP(MIN(G189*$D$9,$E$9),0)),0))</f>
        <v/>
      </c>
      <c r="J189" s="19">
        <f>IF(G189="","",IF(G189&gt;=$C$10,IF(B189="G마켓",ROUNDDOWN(MIN(G189*$D$10,$E$10),0),ROUNDUP(MIN(G189*$D$10,$E$10),0)),0))</f>
        <v/>
      </c>
      <c r="K189" s="19">
        <f>IF(G189="","",IF(G189&gt;=$C$11,IF(B189="G마켓",ROUNDDOWN(MIN(G189*$D$11,$E$11),0),ROUNDUP(MIN(G189*$D$11,$E$11),0)),0))</f>
        <v/>
      </c>
      <c r="L189" s="19">
        <f>IF(G189="","",IF(G189&gt;=$C$12,IF(B189="G마켓",ROUNDDOWN(MIN(G189*$D$12,$E$12),0),ROUNDUP(MIN(G189*$D$12,$E$12),0)),0))</f>
        <v/>
      </c>
      <c r="M189" s="19" t="n"/>
      <c r="N189" s="19">
        <f>IF(G189="","",MAX(I189,J189,K189,L189))</f>
        <v/>
      </c>
      <c r="O189" s="19">
        <f>IF(G189="","",G189-N189)</f>
        <v/>
      </c>
      <c r="P189" s="19" t="n"/>
      <c r="Q189" s="19">
        <f>IF(O189="","",IF(O189&gt;=$J$9,IF(B189="G마켓",ROUNDDOWN(MIN(O189*$K$9,$L$9),0),ROUNDUP(MIN(O189*$K$9,$L$9),0)),0))</f>
        <v/>
      </c>
      <c r="R189" s="19">
        <f>IF(O189="","",IF(O189&gt;=$J$10,IF(B189="G마켓",ROUNDDOWN(MIN(O189*$K$10,$L$10),0),ROUNDUP(MIN(O189*$K$10,$L$10),0)),0))</f>
        <v/>
      </c>
      <c r="S189" s="19">
        <f>IF(O189="","",IF(O189&gt;=$J$11,IF(B189="G마켓",ROUNDDOWN(MIN(O189*$K$11,$L$11),0),ROUNDUP(MIN(O189*$K$11,$L$11),0)),0))</f>
        <v/>
      </c>
      <c r="T189" s="19">
        <f>IF(O189="","",MAX(Q189,R189,S189))</f>
        <v/>
      </c>
      <c r="U189" s="19">
        <f>IF(O189="","",O189-T189)</f>
        <v/>
      </c>
      <c r="V189" s="19">
        <f>IF(O189="","",IF(B189="G마켓",ROUNDDOWN(MAX(Q189*$N$9,R189*$N$10,S189*$N$11),0),ROUNDUP(MAX(Q189*$N$9,R189*$N$10,S189*$N$11),0)))</f>
        <v/>
      </c>
      <c r="W189" s="19">
        <f>IF(G189="","",IF(B189="G마켓",ROUNDDOWN(G189-G189*$D$3-V189,0),ROUNDUP(G189-G189*$D$3-V189,0)))</f>
        <v/>
      </c>
    </row>
    <row r="190">
      <c r="B190" s="18" t="n"/>
      <c r="C190" s="18" t="n"/>
      <c r="D190" s="18" t="n"/>
      <c r="E190" s="19" t="n"/>
      <c r="F190" s="19" t="n"/>
      <c r="G190" s="19">
        <f>IF(E190="","",E190-N(F190))</f>
        <v/>
      </c>
      <c r="H190" s="19" t="n"/>
      <c r="I190" s="19">
        <f>IF(G190="","",IF(G190&gt;=$C$9,IF(B190="G마켓",ROUNDDOWN(MIN(G190*$D$9,$E$9),0),ROUNDUP(MIN(G190*$D$9,$E$9),0)),0))</f>
        <v/>
      </c>
      <c r="J190" s="19">
        <f>IF(G190="","",IF(G190&gt;=$C$10,IF(B190="G마켓",ROUNDDOWN(MIN(G190*$D$10,$E$10),0),ROUNDUP(MIN(G190*$D$10,$E$10),0)),0))</f>
        <v/>
      </c>
      <c r="K190" s="19">
        <f>IF(G190="","",IF(G190&gt;=$C$11,IF(B190="G마켓",ROUNDDOWN(MIN(G190*$D$11,$E$11),0),ROUNDUP(MIN(G190*$D$11,$E$11),0)),0))</f>
        <v/>
      </c>
      <c r="L190" s="19">
        <f>IF(G190="","",IF(G190&gt;=$C$12,IF(B190="G마켓",ROUNDDOWN(MIN(G190*$D$12,$E$12),0),ROUNDUP(MIN(G190*$D$12,$E$12),0)),0))</f>
        <v/>
      </c>
      <c r="M190" s="19" t="n"/>
      <c r="N190" s="19">
        <f>IF(G190="","",MAX(I190,J190,K190,L190))</f>
        <v/>
      </c>
      <c r="O190" s="19">
        <f>IF(G190="","",G190-N190)</f>
        <v/>
      </c>
      <c r="P190" s="19" t="n"/>
      <c r="Q190" s="19">
        <f>IF(O190="","",IF(O190&gt;=$J$9,IF(B190="G마켓",ROUNDDOWN(MIN(O190*$K$9,$L$9),0),ROUNDUP(MIN(O190*$K$9,$L$9),0)),0))</f>
        <v/>
      </c>
      <c r="R190" s="19">
        <f>IF(O190="","",IF(O190&gt;=$J$10,IF(B190="G마켓",ROUNDDOWN(MIN(O190*$K$10,$L$10),0),ROUNDUP(MIN(O190*$K$10,$L$10),0)),0))</f>
        <v/>
      </c>
      <c r="S190" s="19">
        <f>IF(O190="","",IF(O190&gt;=$J$11,IF(B190="G마켓",ROUNDDOWN(MIN(O190*$K$11,$L$11),0),ROUNDUP(MIN(O190*$K$11,$L$11),0)),0))</f>
        <v/>
      </c>
      <c r="T190" s="19">
        <f>IF(O190="","",MAX(Q190,R190,S190))</f>
        <v/>
      </c>
      <c r="U190" s="19">
        <f>IF(O190="","",O190-T190)</f>
        <v/>
      </c>
      <c r="V190" s="19">
        <f>IF(O190="","",IF(B190="G마켓",ROUNDDOWN(MAX(Q190*$N$9,R190*$N$10,S190*$N$11),0),ROUNDUP(MAX(Q190*$N$9,R190*$N$10,S190*$N$11),0)))</f>
        <v/>
      </c>
      <c r="W190" s="19">
        <f>IF(G190="","",IF(B190="G마켓",ROUNDDOWN(G190-G190*$D$3-V190,0),ROUNDUP(G190-G190*$D$3-V190,0)))</f>
        <v/>
      </c>
    </row>
    <row r="191">
      <c r="B191" s="18" t="n"/>
      <c r="C191" s="18" t="n"/>
      <c r="D191" s="18" t="n"/>
      <c r="E191" s="19" t="n"/>
      <c r="F191" s="19" t="n"/>
      <c r="G191" s="19">
        <f>IF(E191="","",E191-N(F191))</f>
        <v/>
      </c>
      <c r="H191" s="19" t="n"/>
      <c r="I191" s="19">
        <f>IF(G191="","",IF(G191&gt;=$C$9,IF(B191="G마켓",ROUNDDOWN(MIN(G191*$D$9,$E$9),0),ROUNDUP(MIN(G191*$D$9,$E$9),0)),0))</f>
        <v/>
      </c>
      <c r="J191" s="19">
        <f>IF(G191="","",IF(G191&gt;=$C$10,IF(B191="G마켓",ROUNDDOWN(MIN(G191*$D$10,$E$10),0),ROUNDUP(MIN(G191*$D$10,$E$10),0)),0))</f>
        <v/>
      </c>
      <c r="K191" s="19">
        <f>IF(G191="","",IF(G191&gt;=$C$11,IF(B191="G마켓",ROUNDDOWN(MIN(G191*$D$11,$E$11),0),ROUNDUP(MIN(G191*$D$11,$E$11),0)),0))</f>
        <v/>
      </c>
      <c r="L191" s="19">
        <f>IF(G191="","",IF(G191&gt;=$C$12,IF(B191="G마켓",ROUNDDOWN(MIN(G191*$D$12,$E$12),0),ROUNDUP(MIN(G191*$D$12,$E$12),0)),0))</f>
        <v/>
      </c>
      <c r="M191" s="19" t="n"/>
      <c r="N191" s="19">
        <f>IF(G191="","",MAX(I191,J191,K191,L191))</f>
        <v/>
      </c>
      <c r="O191" s="19">
        <f>IF(G191="","",G191-N191)</f>
        <v/>
      </c>
      <c r="P191" s="19" t="n"/>
      <c r="Q191" s="19">
        <f>IF(O191="","",IF(O191&gt;=$J$9,IF(B191="G마켓",ROUNDDOWN(MIN(O191*$K$9,$L$9),0),ROUNDUP(MIN(O191*$K$9,$L$9),0)),0))</f>
        <v/>
      </c>
      <c r="R191" s="19">
        <f>IF(O191="","",IF(O191&gt;=$J$10,IF(B191="G마켓",ROUNDDOWN(MIN(O191*$K$10,$L$10),0),ROUNDUP(MIN(O191*$K$10,$L$10),0)),0))</f>
        <v/>
      </c>
      <c r="S191" s="19">
        <f>IF(O191="","",IF(O191&gt;=$J$11,IF(B191="G마켓",ROUNDDOWN(MIN(O191*$K$11,$L$11),0),ROUNDUP(MIN(O191*$K$11,$L$11),0)),0))</f>
        <v/>
      </c>
      <c r="T191" s="19">
        <f>IF(O191="","",MAX(Q191,R191,S191))</f>
        <v/>
      </c>
      <c r="U191" s="19">
        <f>IF(O191="","",O191-T191)</f>
        <v/>
      </c>
      <c r="V191" s="19">
        <f>IF(O191="","",IF(B191="G마켓",ROUNDDOWN(MAX(Q191*$N$9,R191*$N$10,S191*$N$11),0),ROUNDUP(MAX(Q191*$N$9,R191*$N$10,S191*$N$11),0)))</f>
        <v/>
      </c>
      <c r="W191" s="19">
        <f>IF(G191="","",IF(B191="G마켓",ROUNDDOWN(G191-G191*$D$3-V191,0),ROUNDUP(G191-G191*$D$3-V191,0)))</f>
        <v/>
      </c>
    </row>
    <row r="192">
      <c r="B192" s="18" t="n"/>
      <c r="C192" s="18" t="n"/>
      <c r="D192" s="18" t="n"/>
      <c r="E192" s="19" t="n"/>
      <c r="F192" s="19" t="n"/>
      <c r="G192" s="19">
        <f>IF(E192="","",E192-N(F192))</f>
        <v/>
      </c>
      <c r="H192" s="19" t="n"/>
      <c r="I192" s="19">
        <f>IF(G192="","",IF(G192&gt;=$C$9,IF(B192="G마켓",ROUNDDOWN(MIN(G192*$D$9,$E$9),0),ROUNDUP(MIN(G192*$D$9,$E$9),0)),0))</f>
        <v/>
      </c>
      <c r="J192" s="19">
        <f>IF(G192="","",IF(G192&gt;=$C$10,IF(B192="G마켓",ROUNDDOWN(MIN(G192*$D$10,$E$10),0),ROUNDUP(MIN(G192*$D$10,$E$10),0)),0))</f>
        <v/>
      </c>
      <c r="K192" s="19">
        <f>IF(G192="","",IF(G192&gt;=$C$11,IF(B192="G마켓",ROUNDDOWN(MIN(G192*$D$11,$E$11),0),ROUNDUP(MIN(G192*$D$11,$E$11),0)),0))</f>
        <v/>
      </c>
      <c r="L192" s="19">
        <f>IF(G192="","",IF(G192&gt;=$C$12,IF(B192="G마켓",ROUNDDOWN(MIN(G192*$D$12,$E$12),0),ROUNDUP(MIN(G192*$D$12,$E$12),0)),0))</f>
        <v/>
      </c>
      <c r="M192" s="19" t="n"/>
      <c r="N192" s="19">
        <f>IF(G192="","",MAX(I192,J192,K192,L192))</f>
        <v/>
      </c>
      <c r="O192" s="19">
        <f>IF(G192="","",G192-N192)</f>
        <v/>
      </c>
      <c r="P192" s="19" t="n"/>
      <c r="Q192" s="19">
        <f>IF(O192="","",IF(O192&gt;=$J$9,IF(B192="G마켓",ROUNDDOWN(MIN(O192*$K$9,$L$9),0),ROUNDUP(MIN(O192*$K$9,$L$9),0)),0))</f>
        <v/>
      </c>
      <c r="R192" s="19">
        <f>IF(O192="","",IF(O192&gt;=$J$10,IF(B192="G마켓",ROUNDDOWN(MIN(O192*$K$10,$L$10),0),ROUNDUP(MIN(O192*$K$10,$L$10),0)),0))</f>
        <v/>
      </c>
      <c r="S192" s="19">
        <f>IF(O192="","",IF(O192&gt;=$J$11,IF(B192="G마켓",ROUNDDOWN(MIN(O192*$K$11,$L$11),0),ROUNDUP(MIN(O192*$K$11,$L$11),0)),0))</f>
        <v/>
      </c>
      <c r="T192" s="19">
        <f>IF(O192="","",MAX(Q192,R192,S192))</f>
        <v/>
      </c>
      <c r="U192" s="19">
        <f>IF(O192="","",O192-T192)</f>
        <v/>
      </c>
      <c r="V192" s="19">
        <f>IF(O192="","",IF(B192="G마켓",ROUNDDOWN(MAX(Q192*$N$9,R192*$N$10,S192*$N$11),0),ROUNDUP(MAX(Q192*$N$9,R192*$N$10,S192*$N$11),0)))</f>
        <v/>
      </c>
      <c r="W192" s="19">
        <f>IF(G192="","",IF(B192="G마켓",ROUNDDOWN(G192-G192*$D$3-V192,0),ROUNDUP(G192-G192*$D$3-V192,0)))</f>
        <v/>
      </c>
    </row>
    <row r="193">
      <c r="B193" s="18" t="n"/>
      <c r="C193" s="18" t="n"/>
      <c r="D193" s="18" t="n"/>
      <c r="E193" s="19" t="n"/>
      <c r="F193" s="19" t="n"/>
      <c r="G193" s="19">
        <f>IF(E193="","",E193-N(F193))</f>
        <v/>
      </c>
      <c r="H193" s="19" t="n"/>
      <c r="I193" s="19">
        <f>IF(G193="","",IF(G193&gt;=$C$9,IF(B193="G마켓",ROUNDDOWN(MIN(G193*$D$9,$E$9),0),ROUNDUP(MIN(G193*$D$9,$E$9),0)),0))</f>
        <v/>
      </c>
      <c r="J193" s="19">
        <f>IF(G193="","",IF(G193&gt;=$C$10,IF(B193="G마켓",ROUNDDOWN(MIN(G193*$D$10,$E$10),0),ROUNDUP(MIN(G193*$D$10,$E$10),0)),0))</f>
        <v/>
      </c>
      <c r="K193" s="19">
        <f>IF(G193="","",IF(G193&gt;=$C$11,IF(B193="G마켓",ROUNDDOWN(MIN(G193*$D$11,$E$11),0),ROUNDUP(MIN(G193*$D$11,$E$11),0)),0))</f>
        <v/>
      </c>
      <c r="L193" s="19">
        <f>IF(G193="","",IF(G193&gt;=$C$12,IF(B193="G마켓",ROUNDDOWN(MIN(G193*$D$12,$E$12),0),ROUNDUP(MIN(G193*$D$12,$E$12),0)),0))</f>
        <v/>
      </c>
      <c r="M193" s="19" t="n"/>
      <c r="N193" s="19">
        <f>IF(G193="","",MAX(I193,J193,K193,L193))</f>
        <v/>
      </c>
      <c r="O193" s="19">
        <f>IF(G193="","",G193-N193)</f>
        <v/>
      </c>
      <c r="P193" s="19" t="n"/>
      <c r="Q193" s="19">
        <f>IF(O193="","",IF(O193&gt;=$J$9,IF(B193="G마켓",ROUNDDOWN(MIN(O193*$K$9,$L$9),0),ROUNDUP(MIN(O193*$K$9,$L$9),0)),0))</f>
        <v/>
      </c>
      <c r="R193" s="19">
        <f>IF(O193="","",IF(O193&gt;=$J$10,IF(B193="G마켓",ROUNDDOWN(MIN(O193*$K$10,$L$10),0),ROUNDUP(MIN(O193*$K$10,$L$10),0)),0))</f>
        <v/>
      </c>
      <c r="S193" s="19">
        <f>IF(O193="","",IF(O193&gt;=$J$11,IF(B193="G마켓",ROUNDDOWN(MIN(O193*$K$11,$L$11),0),ROUNDUP(MIN(O193*$K$11,$L$11),0)),0))</f>
        <v/>
      </c>
      <c r="T193" s="19">
        <f>IF(O193="","",MAX(Q193,R193,S193))</f>
        <v/>
      </c>
      <c r="U193" s="19">
        <f>IF(O193="","",O193-T193)</f>
        <v/>
      </c>
      <c r="V193" s="19">
        <f>IF(O193="","",IF(B193="G마켓",ROUNDDOWN(MAX(Q193*$N$9,R193*$N$10,S193*$N$11),0),ROUNDUP(MAX(Q193*$N$9,R193*$N$10,S193*$N$11),0)))</f>
        <v/>
      </c>
      <c r="W193" s="19">
        <f>IF(G193="","",IF(B193="G마켓",ROUNDDOWN(G193-G193*$D$3-V193,0),ROUNDUP(G193-G193*$D$3-V193,0)))</f>
        <v/>
      </c>
    </row>
    <row r="194">
      <c r="B194" s="18" t="n"/>
      <c r="C194" s="18" t="n"/>
      <c r="D194" s="18" t="n"/>
      <c r="E194" s="19" t="n"/>
      <c r="F194" s="19" t="n"/>
      <c r="G194" s="19">
        <f>IF(E194="","",E194-N(F194))</f>
        <v/>
      </c>
      <c r="H194" s="19" t="n"/>
      <c r="I194" s="19">
        <f>IF(G194="","",IF(G194&gt;=$C$9,IF(B194="G마켓",ROUNDDOWN(MIN(G194*$D$9,$E$9),0),ROUNDUP(MIN(G194*$D$9,$E$9),0)),0))</f>
        <v/>
      </c>
      <c r="J194" s="19">
        <f>IF(G194="","",IF(G194&gt;=$C$10,IF(B194="G마켓",ROUNDDOWN(MIN(G194*$D$10,$E$10),0),ROUNDUP(MIN(G194*$D$10,$E$10),0)),0))</f>
        <v/>
      </c>
      <c r="K194" s="19">
        <f>IF(G194="","",IF(G194&gt;=$C$11,IF(B194="G마켓",ROUNDDOWN(MIN(G194*$D$11,$E$11),0),ROUNDUP(MIN(G194*$D$11,$E$11),0)),0))</f>
        <v/>
      </c>
      <c r="L194" s="19">
        <f>IF(G194="","",IF(G194&gt;=$C$12,IF(B194="G마켓",ROUNDDOWN(MIN(G194*$D$12,$E$12),0),ROUNDUP(MIN(G194*$D$12,$E$12),0)),0))</f>
        <v/>
      </c>
      <c r="M194" s="19" t="n"/>
      <c r="N194" s="19">
        <f>IF(G194="","",MAX(I194,J194,K194,L194))</f>
        <v/>
      </c>
      <c r="O194" s="19">
        <f>IF(G194="","",G194-N194)</f>
        <v/>
      </c>
      <c r="P194" s="19" t="n"/>
      <c r="Q194" s="19">
        <f>IF(O194="","",IF(O194&gt;=$J$9,IF(B194="G마켓",ROUNDDOWN(MIN(O194*$K$9,$L$9),0),ROUNDUP(MIN(O194*$K$9,$L$9),0)),0))</f>
        <v/>
      </c>
      <c r="R194" s="19">
        <f>IF(O194="","",IF(O194&gt;=$J$10,IF(B194="G마켓",ROUNDDOWN(MIN(O194*$K$10,$L$10),0),ROUNDUP(MIN(O194*$K$10,$L$10),0)),0))</f>
        <v/>
      </c>
      <c r="S194" s="19">
        <f>IF(O194="","",IF(O194&gt;=$J$11,IF(B194="G마켓",ROUNDDOWN(MIN(O194*$K$11,$L$11),0),ROUNDUP(MIN(O194*$K$11,$L$11),0)),0))</f>
        <v/>
      </c>
      <c r="T194" s="19">
        <f>IF(O194="","",MAX(Q194,R194,S194))</f>
        <v/>
      </c>
      <c r="U194" s="19">
        <f>IF(O194="","",O194-T194)</f>
        <v/>
      </c>
      <c r="V194" s="19">
        <f>IF(O194="","",IF(B194="G마켓",ROUNDDOWN(MAX(Q194*$N$9,R194*$N$10,S194*$N$11),0),ROUNDUP(MAX(Q194*$N$9,R194*$N$10,S194*$N$11),0)))</f>
        <v/>
      </c>
      <c r="W194" s="19">
        <f>IF(G194="","",IF(B194="G마켓",ROUNDDOWN(G194-G194*$D$3-V194,0),ROUNDUP(G194-G194*$D$3-V194,0)))</f>
        <v/>
      </c>
    </row>
    <row r="195">
      <c r="B195" s="18" t="n"/>
      <c r="C195" s="18" t="n"/>
      <c r="D195" s="18" t="n"/>
      <c r="E195" s="19" t="n"/>
      <c r="F195" s="19" t="n"/>
      <c r="G195" s="19">
        <f>IF(E195="","",E195-N(F195))</f>
        <v/>
      </c>
      <c r="H195" s="19" t="n"/>
      <c r="I195" s="19">
        <f>IF(G195="","",IF(G195&gt;=$C$9,IF(B195="G마켓",ROUNDDOWN(MIN(G195*$D$9,$E$9),0),ROUNDUP(MIN(G195*$D$9,$E$9),0)),0))</f>
        <v/>
      </c>
      <c r="J195" s="19">
        <f>IF(G195="","",IF(G195&gt;=$C$10,IF(B195="G마켓",ROUNDDOWN(MIN(G195*$D$10,$E$10),0),ROUNDUP(MIN(G195*$D$10,$E$10),0)),0))</f>
        <v/>
      </c>
      <c r="K195" s="19">
        <f>IF(G195="","",IF(G195&gt;=$C$11,IF(B195="G마켓",ROUNDDOWN(MIN(G195*$D$11,$E$11),0),ROUNDUP(MIN(G195*$D$11,$E$11),0)),0))</f>
        <v/>
      </c>
      <c r="L195" s="19">
        <f>IF(G195="","",IF(G195&gt;=$C$12,IF(B195="G마켓",ROUNDDOWN(MIN(G195*$D$12,$E$12),0),ROUNDUP(MIN(G195*$D$12,$E$12),0)),0))</f>
        <v/>
      </c>
      <c r="M195" s="19" t="n"/>
      <c r="N195" s="19">
        <f>IF(G195="","",MAX(I195,J195,K195,L195))</f>
        <v/>
      </c>
      <c r="O195" s="19">
        <f>IF(G195="","",G195-N195)</f>
        <v/>
      </c>
      <c r="P195" s="19" t="n"/>
      <c r="Q195" s="19">
        <f>IF(O195="","",IF(O195&gt;=$J$9,IF(B195="G마켓",ROUNDDOWN(MIN(O195*$K$9,$L$9),0),ROUNDUP(MIN(O195*$K$9,$L$9),0)),0))</f>
        <v/>
      </c>
      <c r="R195" s="19">
        <f>IF(O195="","",IF(O195&gt;=$J$10,IF(B195="G마켓",ROUNDDOWN(MIN(O195*$K$10,$L$10),0),ROUNDUP(MIN(O195*$K$10,$L$10),0)),0))</f>
        <v/>
      </c>
      <c r="S195" s="19">
        <f>IF(O195="","",IF(O195&gt;=$J$11,IF(B195="G마켓",ROUNDDOWN(MIN(O195*$K$11,$L$11),0),ROUNDUP(MIN(O195*$K$11,$L$11),0)),0))</f>
        <v/>
      </c>
      <c r="T195" s="19">
        <f>IF(O195="","",MAX(Q195,R195,S195))</f>
        <v/>
      </c>
      <c r="U195" s="19">
        <f>IF(O195="","",O195-T195)</f>
        <v/>
      </c>
      <c r="V195" s="19">
        <f>IF(O195="","",IF(B195="G마켓",ROUNDDOWN(MAX(Q195*$N$9,R195*$N$10,S195*$N$11),0),ROUNDUP(MAX(Q195*$N$9,R195*$N$10,S195*$N$11),0)))</f>
        <v/>
      </c>
      <c r="W195" s="19">
        <f>IF(G195="","",IF(B195="G마켓",ROUNDDOWN(G195-G195*$D$3-V195,0),ROUNDUP(G195-G195*$D$3-V195,0)))</f>
        <v/>
      </c>
    </row>
    <row r="196">
      <c r="B196" s="18" t="n"/>
      <c r="C196" s="18" t="n"/>
      <c r="D196" s="18" t="n"/>
      <c r="E196" s="19" t="n"/>
      <c r="F196" s="19" t="n"/>
      <c r="G196" s="19">
        <f>IF(E196="","",E196-N(F196))</f>
        <v/>
      </c>
      <c r="H196" s="19" t="n"/>
      <c r="I196" s="19">
        <f>IF(G196="","",IF(G196&gt;=$C$9,IF(B196="G마켓",ROUNDDOWN(MIN(G196*$D$9,$E$9),0),ROUNDUP(MIN(G196*$D$9,$E$9),0)),0))</f>
        <v/>
      </c>
      <c r="J196" s="19">
        <f>IF(G196="","",IF(G196&gt;=$C$10,IF(B196="G마켓",ROUNDDOWN(MIN(G196*$D$10,$E$10),0),ROUNDUP(MIN(G196*$D$10,$E$10),0)),0))</f>
        <v/>
      </c>
      <c r="K196" s="19">
        <f>IF(G196="","",IF(G196&gt;=$C$11,IF(B196="G마켓",ROUNDDOWN(MIN(G196*$D$11,$E$11),0),ROUNDUP(MIN(G196*$D$11,$E$11),0)),0))</f>
        <v/>
      </c>
      <c r="L196" s="19">
        <f>IF(G196="","",IF(G196&gt;=$C$12,IF(B196="G마켓",ROUNDDOWN(MIN(G196*$D$12,$E$12),0),ROUNDUP(MIN(G196*$D$12,$E$12),0)),0))</f>
        <v/>
      </c>
      <c r="M196" s="19" t="n"/>
      <c r="N196" s="19">
        <f>IF(G196="","",MAX(I196,J196,K196,L196))</f>
        <v/>
      </c>
      <c r="O196" s="19">
        <f>IF(G196="","",G196-N196)</f>
        <v/>
      </c>
      <c r="P196" s="19" t="n"/>
      <c r="Q196" s="19">
        <f>IF(O196="","",IF(O196&gt;=$J$9,IF(B196="G마켓",ROUNDDOWN(MIN(O196*$K$9,$L$9),0),ROUNDUP(MIN(O196*$K$9,$L$9),0)),0))</f>
        <v/>
      </c>
      <c r="R196" s="19">
        <f>IF(O196="","",IF(O196&gt;=$J$10,IF(B196="G마켓",ROUNDDOWN(MIN(O196*$K$10,$L$10),0),ROUNDUP(MIN(O196*$K$10,$L$10),0)),0))</f>
        <v/>
      </c>
      <c r="S196" s="19">
        <f>IF(O196="","",IF(O196&gt;=$J$11,IF(B196="G마켓",ROUNDDOWN(MIN(O196*$K$11,$L$11),0),ROUNDUP(MIN(O196*$K$11,$L$11),0)),0))</f>
        <v/>
      </c>
      <c r="T196" s="19">
        <f>IF(O196="","",MAX(Q196,R196,S196))</f>
        <v/>
      </c>
      <c r="U196" s="19">
        <f>IF(O196="","",O196-T196)</f>
        <v/>
      </c>
      <c r="V196" s="19">
        <f>IF(O196="","",IF(B196="G마켓",ROUNDDOWN(MAX(Q196*$N$9,R196*$N$10,S196*$N$11),0),ROUNDUP(MAX(Q196*$N$9,R196*$N$10,S196*$N$11),0)))</f>
        <v/>
      </c>
      <c r="W196" s="19">
        <f>IF(G196="","",IF(B196="G마켓",ROUNDDOWN(G196-G196*$D$3-V196,0),ROUNDUP(G196-G196*$D$3-V196,0)))</f>
        <v/>
      </c>
    </row>
    <row r="197">
      <c r="B197" s="18" t="n"/>
      <c r="C197" s="18" t="n"/>
      <c r="D197" s="18" t="n"/>
      <c r="E197" s="19" t="n"/>
      <c r="F197" s="19" t="n"/>
      <c r="G197" s="19">
        <f>IF(E197="","",E197-N(F197))</f>
        <v/>
      </c>
      <c r="H197" s="19" t="n"/>
      <c r="I197" s="19">
        <f>IF(G197="","",IF(G197&gt;=$C$9,IF(B197="G마켓",ROUNDDOWN(MIN(G197*$D$9,$E$9),0),ROUNDUP(MIN(G197*$D$9,$E$9),0)),0))</f>
        <v/>
      </c>
      <c r="J197" s="19">
        <f>IF(G197="","",IF(G197&gt;=$C$10,IF(B197="G마켓",ROUNDDOWN(MIN(G197*$D$10,$E$10),0),ROUNDUP(MIN(G197*$D$10,$E$10),0)),0))</f>
        <v/>
      </c>
      <c r="K197" s="19">
        <f>IF(G197="","",IF(G197&gt;=$C$11,IF(B197="G마켓",ROUNDDOWN(MIN(G197*$D$11,$E$11),0),ROUNDUP(MIN(G197*$D$11,$E$11),0)),0))</f>
        <v/>
      </c>
      <c r="L197" s="19">
        <f>IF(G197="","",IF(G197&gt;=$C$12,IF(B197="G마켓",ROUNDDOWN(MIN(G197*$D$12,$E$12),0),ROUNDUP(MIN(G197*$D$12,$E$12),0)),0))</f>
        <v/>
      </c>
      <c r="M197" s="19" t="n"/>
      <c r="N197" s="19">
        <f>IF(G197="","",MAX(I197,J197,K197,L197))</f>
        <v/>
      </c>
      <c r="O197" s="19">
        <f>IF(G197="","",G197-N197)</f>
        <v/>
      </c>
      <c r="P197" s="19" t="n"/>
      <c r="Q197" s="19">
        <f>IF(O197="","",IF(O197&gt;=$J$9,IF(B197="G마켓",ROUNDDOWN(MIN(O197*$K$9,$L$9),0),ROUNDUP(MIN(O197*$K$9,$L$9),0)),0))</f>
        <v/>
      </c>
      <c r="R197" s="19">
        <f>IF(O197="","",IF(O197&gt;=$J$10,IF(B197="G마켓",ROUNDDOWN(MIN(O197*$K$10,$L$10),0),ROUNDUP(MIN(O197*$K$10,$L$10),0)),0))</f>
        <v/>
      </c>
      <c r="S197" s="19">
        <f>IF(O197="","",IF(O197&gt;=$J$11,IF(B197="G마켓",ROUNDDOWN(MIN(O197*$K$11,$L$11),0),ROUNDUP(MIN(O197*$K$11,$L$11),0)),0))</f>
        <v/>
      </c>
      <c r="T197" s="19">
        <f>IF(O197="","",MAX(Q197,R197,S197))</f>
        <v/>
      </c>
      <c r="U197" s="19">
        <f>IF(O197="","",O197-T197)</f>
        <v/>
      </c>
      <c r="V197" s="19">
        <f>IF(O197="","",IF(B197="G마켓",ROUNDDOWN(MAX(Q197*$N$9,R197*$N$10,S197*$N$11),0),ROUNDUP(MAX(Q197*$N$9,R197*$N$10,S197*$N$11),0)))</f>
        <v/>
      </c>
      <c r="W197" s="19">
        <f>IF(G197="","",IF(B197="G마켓",ROUNDDOWN(G197-G197*$D$3-V197,0),ROUNDUP(G197-G197*$D$3-V197,0)))</f>
        <v/>
      </c>
    </row>
    <row r="198">
      <c r="B198" s="18" t="n"/>
      <c r="C198" s="18" t="n"/>
      <c r="D198" s="18" t="n"/>
      <c r="E198" s="19" t="n"/>
      <c r="F198" s="19" t="n"/>
      <c r="G198" s="19">
        <f>IF(E198="","",E198-N(F198))</f>
        <v/>
      </c>
      <c r="H198" s="19" t="n"/>
      <c r="I198" s="19">
        <f>IF(G198="","",IF(G198&gt;=$C$9,IF(B198="G마켓",ROUNDDOWN(MIN(G198*$D$9,$E$9),0),ROUNDUP(MIN(G198*$D$9,$E$9),0)),0))</f>
        <v/>
      </c>
      <c r="J198" s="19">
        <f>IF(G198="","",IF(G198&gt;=$C$10,IF(B198="G마켓",ROUNDDOWN(MIN(G198*$D$10,$E$10),0),ROUNDUP(MIN(G198*$D$10,$E$10),0)),0))</f>
        <v/>
      </c>
      <c r="K198" s="19">
        <f>IF(G198="","",IF(G198&gt;=$C$11,IF(B198="G마켓",ROUNDDOWN(MIN(G198*$D$11,$E$11),0),ROUNDUP(MIN(G198*$D$11,$E$11),0)),0))</f>
        <v/>
      </c>
      <c r="L198" s="19">
        <f>IF(G198="","",IF(G198&gt;=$C$12,IF(B198="G마켓",ROUNDDOWN(MIN(G198*$D$12,$E$12),0),ROUNDUP(MIN(G198*$D$12,$E$12),0)),0))</f>
        <v/>
      </c>
      <c r="M198" s="19" t="n"/>
      <c r="N198" s="19">
        <f>IF(G198="","",MAX(I198,J198,K198,L198))</f>
        <v/>
      </c>
      <c r="O198" s="19">
        <f>IF(G198="","",G198-N198)</f>
        <v/>
      </c>
      <c r="P198" s="19" t="n"/>
      <c r="Q198" s="19">
        <f>IF(O198="","",IF(O198&gt;=$J$9,IF(B198="G마켓",ROUNDDOWN(MIN(O198*$K$9,$L$9),0),ROUNDUP(MIN(O198*$K$9,$L$9),0)),0))</f>
        <v/>
      </c>
      <c r="R198" s="19">
        <f>IF(O198="","",IF(O198&gt;=$J$10,IF(B198="G마켓",ROUNDDOWN(MIN(O198*$K$10,$L$10),0),ROUNDUP(MIN(O198*$K$10,$L$10),0)),0))</f>
        <v/>
      </c>
      <c r="S198" s="19">
        <f>IF(O198="","",IF(O198&gt;=$J$11,IF(B198="G마켓",ROUNDDOWN(MIN(O198*$K$11,$L$11),0),ROUNDUP(MIN(O198*$K$11,$L$11),0)),0))</f>
        <v/>
      </c>
      <c r="T198" s="19">
        <f>IF(O198="","",MAX(Q198,R198,S198))</f>
        <v/>
      </c>
      <c r="U198" s="19">
        <f>IF(O198="","",O198-T198)</f>
        <v/>
      </c>
      <c r="V198" s="19">
        <f>IF(O198="","",IF(B198="G마켓",ROUNDDOWN(MAX(Q198*$N$9,R198*$N$10,S198*$N$11),0),ROUNDUP(MAX(Q198*$N$9,R198*$N$10,S198*$N$11),0)))</f>
        <v/>
      </c>
      <c r="W198" s="19">
        <f>IF(G198="","",IF(B198="G마켓",ROUNDDOWN(G198-G198*$D$3-V198,0),ROUNDUP(G198-G198*$D$3-V198,0)))</f>
        <v/>
      </c>
    </row>
    <row r="199">
      <c r="B199" s="18" t="n"/>
      <c r="C199" s="18" t="n"/>
      <c r="D199" s="18" t="n"/>
      <c r="E199" s="19" t="n"/>
      <c r="F199" s="19" t="n"/>
      <c r="G199" s="19">
        <f>IF(E199="","",E199-N(F199))</f>
        <v/>
      </c>
      <c r="H199" s="19" t="n"/>
      <c r="I199" s="19">
        <f>IF(G199="","",IF(G199&gt;=$C$9,IF(B199="G마켓",ROUNDDOWN(MIN(G199*$D$9,$E$9),0),ROUNDUP(MIN(G199*$D$9,$E$9),0)),0))</f>
        <v/>
      </c>
      <c r="J199" s="19">
        <f>IF(G199="","",IF(G199&gt;=$C$10,IF(B199="G마켓",ROUNDDOWN(MIN(G199*$D$10,$E$10),0),ROUNDUP(MIN(G199*$D$10,$E$10),0)),0))</f>
        <v/>
      </c>
      <c r="K199" s="19">
        <f>IF(G199="","",IF(G199&gt;=$C$11,IF(B199="G마켓",ROUNDDOWN(MIN(G199*$D$11,$E$11),0),ROUNDUP(MIN(G199*$D$11,$E$11),0)),0))</f>
        <v/>
      </c>
      <c r="L199" s="19">
        <f>IF(G199="","",IF(G199&gt;=$C$12,IF(B199="G마켓",ROUNDDOWN(MIN(G199*$D$12,$E$12),0),ROUNDUP(MIN(G199*$D$12,$E$12),0)),0))</f>
        <v/>
      </c>
      <c r="M199" s="19" t="n"/>
      <c r="N199" s="19">
        <f>IF(G199="","",MAX(I199,J199,K199,L199))</f>
        <v/>
      </c>
      <c r="O199" s="19">
        <f>IF(G199="","",G199-N199)</f>
        <v/>
      </c>
      <c r="P199" s="19" t="n"/>
      <c r="Q199" s="19">
        <f>IF(O199="","",IF(O199&gt;=$J$9,IF(B199="G마켓",ROUNDDOWN(MIN(O199*$K$9,$L$9),0),ROUNDUP(MIN(O199*$K$9,$L$9),0)),0))</f>
        <v/>
      </c>
      <c r="R199" s="19">
        <f>IF(O199="","",IF(O199&gt;=$J$10,IF(B199="G마켓",ROUNDDOWN(MIN(O199*$K$10,$L$10),0),ROUNDUP(MIN(O199*$K$10,$L$10),0)),0))</f>
        <v/>
      </c>
      <c r="S199" s="19">
        <f>IF(O199="","",IF(O199&gt;=$J$11,IF(B199="G마켓",ROUNDDOWN(MIN(O199*$K$11,$L$11),0),ROUNDUP(MIN(O199*$K$11,$L$11),0)),0))</f>
        <v/>
      </c>
      <c r="T199" s="19">
        <f>IF(O199="","",MAX(Q199,R199,S199))</f>
        <v/>
      </c>
      <c r="U199" s="19">
        <f>IF(O199="","",O199-T199)</f>
        <v/>
      </c>
      <c r="V199" s="19">
        <f>IF(O199="","",IF(B199="G마켓",ROUNDDOWN(MAX(Q199*$N$9,R199*$N$10,S199*$N$11),0),ROUNDUP(MAX(Q199*$N$9,R199*$N$10,S199*$N$11),0)))</f>
        <v/>
      </c>
      <c r="W199" s="19">
        <f>IF(G199="","",IF(B199="G마켓",ROUNDDOWN(G199-G199*$D$3-V199,0),ROUNDUP(G199-G199*$D$3-V199,0)))</f>
        <v/>
      </c>
    </row>
    <row r="200">
      <c r="B200" s="18" t="n"/>
      <c r="C200" s="18" t="n"/>
      <c r="D200" s="18" t="n"/>
      <c r="E200" s="19" t="n"/>
      <c r="F200" s="19" t="n"/>
      <c r="G200" s="19">
        <f>IF(E200="","",E200-N(F200))</f>
        <v/>
      </c>
      <c r="H200" s="19" t="n"/>
      <c r="I200" s="19">
        <f>IF(G200="","",IF(G200&gt;=$C$9,IF(B200="G마켓",ROUNDDOWN(MIN(G200*$D$9,$E$9),0),ROUNDUP(MIN(G200*$D$9,$E$9),0)),0))</f>
        <v/>
      </c>
      <c r="J200" s="19">
        <f>IF(G200="","",IF(G200&gt;=$C$10,IF(B200="G마켓",ROUNDDOWN(MIN(G200*$D$10,$E$10),0),ROUNDUP(MIN(G200*$D$10,$E$10),0)),0))</f>
        <v/>
      </c>
      <c r="K200" s="19">
        <f>IF(G200="","",IF(G200&gt;=$C$11,IF(B200="G마켓",ROUNDDOWN(MIN(G200*$D$11,$E$11),0),ROUNDUP(MIN(G200*$D$11,$E$11),0)),0))</f>
        <v/>
      </c>
      <c r="L200" s="19">
        <f>IF(G200="","",IF(G200&gt;=$C$12,IF(B200="G마켓",ROUNDDOWN(MIN(G200*$D$12,$E$12),0),ROUNDUP(MIN(G200*$D$12,$E$12),0)),0))</f>
        <v/>
      </c>
      <c r="M200" s="19" t="n"/>
      <c r="N200" s="19">
        <f>IF(G200="","",MAX(I200,J200,K200,L200))</f>
        <v/>
      </c>
      <c r="O200" s="19">
        <f>IF(G200="","",G200-N200)</f>
        <v/>
      </c>
      <c r="P200" s="19" t="n"/>
      <c r="Q200" s="19">
        <f>IF(O200="","",IF(O200&gt;=$J$9,IF(B200="G마켓",ROUNDDOWN(MIN(O200*$K$9,$L$9),0),ROUNDUP(MIN(O200*$K$9,$L$9),0)),0))</f>
        <v/>
      </c>
      <c r="R200" s="19">
        <f>IF(O200="","",IF(O200&gt;=$J$10,IF(B200="G마켓",ROUNDDOWN(MIN(O200*$K$10,$L$10),0),ROUNDUP(MIN(O200*$K$10,$L$10),0)),0))</f>
        <v/>
      </c>
      <c r="S200" s="19">
        <f>IF(O200="","",IF(O200&gt;=$J$11,IF(B200="G마켓",ROUNDDOWN(MIN(O200*$K$11,$L$11),0),ROUNDUP(MIN(O200*$K$11,$L$11),0)),0))</f>
        <v/>
      </c>
      <c r="T200" s="19">
        <f>IF(O200="","",MAX(Q200,R200,S200))</f>
        <v/>
      </c>
      <c r="U200" s="19">
        <f>IF(O200="","",O200-T200)</f>
        <v/>
      </c>
      <c r="V200" s="19">
        <f>IF(O200="","",IF(B200="G마켓",ROUNDDOWN(MAX(Q200*$N$9,R200*$N$10,S200*$N$11),0),ROUNDUP(MAX(Q200*$N$9,R200*$N$10,S200*$N$11),0)))</f>
        <v/>
      </c>
      <c r="W200" s="19">
        <f>IF(G200="","",IF(B200="G마켓",ROUNDDOWN(G200-G200*$D$3-V200,0),ROUNDUP(G200-G200*$D$3-V200,0)))</f>
        <v/>
      </c>
    </row>
    <row r="201">
      <c r="B201" s="18" t="n"/>
      <c r="C201" s="18" t="n"/>
      <c r="D201" s="18" t="n"/>
      <c r="E201" s="19" t="n"/>
      <c r="F201" s="19" t="n"/>
      <c r="G201" s="19">
        <f>IF(E201="","",E201-N(F201))</f>
        <v/>
      </c>
      <c r="H201" s="19" t="n"/>
      <c r="I201" s="19">
        <f>IF(G201="","",IF(G201&gt;=$C$9,IF(B201="G마켓",ROUNDDOWN(MIN(G201*$D$9,$E$9),0),ROUNDUP(MIN(G201*$D$9,$E$9),0)),0))</f>
        <v/>
      </c>
      <c r="J201" s="19">
        <f>IF(G201="","",IF(G201&gt;=$C$10,IF(B201="G마켓",ROUNDDOWN(MIN(G201*$D$10,$E$10),0),ROUNDUP(MIN(G201*$D$10,$E$10),0)),0))</f>
        <v/>
      </c>
      <c r="K201" s="19">
        <f>IF(G201="","",IF(G201&gt;=$C$11,IF(B201="G마켓",ROUNDDOWN(MIN(G201*$D$11,$E$11),0),ROUNDUP(MIN(G201*$D$11,$E$11),0)),0))</f>
        <v/>
      </c>
      <c r="L201" s="19">
        <f>IF(G201="","",IF(G201&gt;=$C$12,IF(B201="G마켓",ROUNDDOWN(MIN(G201*$D$12,$E$12),0),ROUNDUP(MIN(G201*$D$12,$E$12),0)),0))</f>
        <v/>
      </c>
      <c r="M201" s="19" t="n"/>
      <c r="N201" s="19">
        <f>IF(G201="","",MAX(I201,J201,K201,L201))</f>
        <v/>
      </c>
      <c r="O201" s="19">
        <f>IF(G201="","",G201-N201)</f>
        <v/>
      </c>
      <c r="P201" s="19" t="n"/>
      <c r="Q201" s="19">
        <f>IF(O201="","",IF(O201&gt;=$J$9,IF(B201="G마켓",ROUNDDOWN(MIN(O201*$K$9,$L$9),0),ROUNDUP(MIN(O201*$K$9,$L$9),0)),0))</f>
        <v/>
      </c>
      <c r="R201" s="19">
        <f>IF(O201="","",IF(O201&gt;=$J$10,IF(B201="G마켓",ROUNDDOWN(MIN(O201*$K$10,$L$10),0),ROUNDUP(MIN(O201*$K$10,$L$10),0)),0))</f>
        <v/>
      </c>
      <c r="S201" s="19">
        <f>IF(O201="","",IF(O201&gt;=$J$11,IF(B201="G마켓",ROUNDDOWN(MIN(O201*$K$11,$L$11),0),ROUNDUP(MIN(O201*$K$11,$L$11),0)),0))</f>
        <v/>
      </c>
      <c r="T201" s="19">
        <f>IF(O201="","",MAX(Q201,R201,S201))</f>
        <v/>
      </c>
      <c r="U201" s="19">
        <f>IF(O201="","",O201-T201)</f>
        <v/>
      </c>
      <c r="V201" s="19">
        <f>IF(O201="","",IF(B201="G마켓",ROUNDDOWN(MAX(Q201*$N$9,R201*$N$10,S201*$N$11),0),ROUNDUP(MAX(Q201*$N$9,R201*$N$10,S201*$N$11),0)))</f>
        <v/>
      </c>
      <c r="W201" s="19">
        <f>IF(G201="","",IF(B201="G마켓",ROUNDDOWN(G201-G201*$D$3-V201,0),ROUNDUP(G201-G201*$D$3-V201,0)))</f>
        <v/>
      </c>
    </row>
    <row r="202">
      <c r="B202" s="18" t="n"/>
      <c r="C202" s="18" t="n"/>
      <c r="D202" s="18" t="n"/>
      <c r="E202" s="19" t="n"/>
      <c r="F202" s="19" t="n"/>
      <c r="G202" s="19">
        <f>IF(E202="","",E202-N(F202))</f>
        <v/>
      </c>
      <c r="H202" s="19" t="n"/>
      <c r="I202" s="19">
        <f>IF(G202="","",IF(G202&gt;=$C$9,IF(B202="G마켓",ROUNDDOWN(MIN(G202*$D$9,$E$9),0),ROUNDUP(MIN(G202*$D$9,$E$9),0)),0))</f>
        <v/>
      </c>
      <c r="J202" s="19">
        <f>IF(G202="","",IF(G202&gt;=$C$10,IF(B202="G마켓",ROUNDDOWN(MIN(G202*$D$10,$E$10),0),ROUNDUP(MIN(G202*$D$10,$E$10),0)),0))</f>
        <v/>
      </c>
      <c r="K202" s="19">
        <f>IF(G202="","",IF(G202&gt;=$C$11,IF(B202="G마켓",ROUNDDOWN(MIN(G202*$D$11,$E$11),0),ROUNDUP(MIN(G202*$D$11,$E$11),0)),0))</f>
        <v/>
      </c>
      <c r="L202" s="19">
        <f>IF(G202="","",IF(G202&gt;=$C$12,IF(B202="G마켓",ROUNDDOWN(MIN(G202*$D$12,$E$12),0),ROUNDUP(MIN(G202*$D$12,$E$12),0)),0))</f>
        <v/>
      </c>
      <c r="M202" s="19" t="n"/>
      <c r="N202" s="19">
        <f>IF(G202="","",MAX(I202,J202,K202,L202))</f>
        <v/>
      </c>
      <c r="O202" s="19">
        <f>IF(G202="","",G202-N202)</f>
        <v/>
      </c>
      <c r="P202" s="19" t="n"/>
      <c r="Q202" s="19">
        <f>IF(O202="","",IF(O202&gt;=$J$9,IF(B202="G마켓",ROUNDDOWN(MIN(O202*$K$9,$L$9),0),ROUNDUP(MIN(O202*$K$9,$L$9),0)),0))</f>
        <v/>
      </c>
      <c r="R202" s="19">
        <f>IF(O202="","",IF(O202&gt;=$J$10,IF(B202="G마켓",ROUNDDOWN(MIN(O202*$K$10,$L$10),0),ROUNDUP(MIN(O202*$K$10,$L$10),0)),0))</f>
        <v/>
      </c>
      <c r="S202" s="19">
        <f>IF(O202="","",IF(O202&gt;=$J$11,IF(B202="G마켓",ROUNDDOWN(MIN(O202*$K$11,$L$11),0),ROUNDUP(MIN(O202*$K$11,$L$11),0)),0))</f>
        <v/>
      </c>
      <c r="T202" s="19">
        <f>IF(O202="","",MAX(Q202,R202,S202))</f>
        <v/>
      </c>
      <c r="U202" s="19">
        <f>IF(O202="","",O202-T202)</f>
        <v/>
      </c>
      <c r="V202" s="19">
        <f>IF(O202="","",IF(B202="G마켓",ROUNDDOWN(MAX(Q202*$N$9,R202*$N$10,S202*$N$11),0),ROUNDUP(MAX(Q202*$N$9,R202*$N$10,S202*$N$11),0)))</f>
        <v/>
      </c>
      <c r="W202" s="19">
        <f>IF(G202="","",IF(B202="G마켓",ROUNDDOWN(G202-G202*$D$3-V202,0),ROUNDUP(G202-G202*$D$3-V202,0)))</f>
        <v/>
      </c>
    </row>
    <row r="203">
      <c r="B203" s="18" t="n"/>
      <c r="C203" s="18" t="n"/>
      <c r="D203" s="18" t="n"/>
      <c r="E203" s="19" t="n"/>
      <c r="F203" s="19" t="n"/>
      <c r="G203" s="19">
        <f>IF(E203="","",E203-N(F203))</f>
        <v/>
      </c>
      <c r="H203" s="19" t="n"/>
      <c r="I203" s="19">
        <f>IF(G203="","",IF(G203&gt;=$C$9,IF(B203="G마켓",ROUNDDOWN(MIN(G203*$D$9,$E$9),0),ROUNDUP(MIN(G203*$D$9,$E$9),0)),0))</f>
        <v/>
      </c>
      <c r="J203" s="19">
        <f>IF(G203="","",IF(G203&gt;=$C$10,IF(B203="G마켓",ROUNDDOWN(MIN(G203*$D$10,$E$10),0),ROUNDUP(MIN(G203*$D$10,$E$10),0)),0))</f>
        <v/>
      </c>
      <c r="K203" s="19">
        <f>IF(G203="","",IF(G203&gt;=$C$11,IF(B203="G마켓",ROUNDDOWN(MIN(G203*$D$11,$E$11),0),ROUNDUP(MIN(G203*$D$11,$E$11),0)),0))</f>
        <v/>
      </c>
      <c r="L203" s="19">
        <f>IF(G203="","",IF(G203&gt;=$C$12,IF(B203="G마켓",ROUNDDOWN(MIN(G203*$D$12,$E$12),0),ROUNDUP(MIN(G203*$D$12,$E$12),0)),0))</f>
        <v/>
      </c>
      <c r="M203" s="19" t="n"/>
      <c r="N203" s="19">
        <f>IF(G203="","",MAX(I203,J203,K203,L203))</f>
        <v/>
      </c>
      <c r="O203" s="19">
        <f>IF(G203="","",G203-N203)</f>
        <v/>
      </c>
      <c r="P203" s="19" t="n"/>
      <c r="Q203" s="19">
        <f>IF(O203="","",IF(O203&gt;=$J$9,IF(B203="G마켓",ROUNDDOWN(MIN(O203*$K$9,$L$9),0),ROUNDUP(MIN(O203*$K$9,$L$9),0)),0))</f>
        <v/>
      </c>
      <c r="R203" s="19">
        <f>IF(O203="","",IF(O203&gt;=$J$10,IF(B203="G마켓",ROUNDDOWN(MIN(O203*$K$10,$L$10),0),ROUNDUP(MIN(O203*$K$10,$L$10),0)),0))</f>
        <v/>
      </c>
      <c r="S203" s="19">
        <f>IF(O203="","",IF(O203&gt;=$J$11,IF(B203="G마켓",ROUNDDOWN(MIN(O203*$K$11,$L$11),0),ROUNDUP(MIN(O203*$K$11,$L$11),0)),0))</f>
        <v/>
      </c>
      <c r="T203" s="19">
        <f>IF(O203="","",MAX(Q203,R203,S203))</f>
        <v/>
      </c>
      <c r="U203" s="19">
        <f>IF(O203="","",O203-T203)</f>
        <v/>
      </c>
      <c r="V203" s="19">
        <f>IF(O203="","",IF(B203="G마켓",ROUNDDOWN(MAX(Q203*$N$9,R203*$N$10,S203*$N$11),0),ROUNDUP(MAX(Q203*$N$9,R203*$N$10,S203*$N$11),0)))</f>
        <v/>
      </c>
      <c r="W203" s="19">
        <f>IF(G203="","",IF(B203="G마켓",ROUNDDOWN(G203-G203*$D$3-V203,0),ROUNDUP(G203-G203*$D$3-V203,0)))</f>
        <v/>
      </c>
    </row>
    <row r="204">
      <c r="B204" s="18" t="n"/>
      <c r="C204" s="18" t="n"/>
      <c r="D204" s="18" t="n"/>
      <c r="E204" s="19" t="n"/>
      <c r="F204" s="19" t="n"/>
      <c r="G204" s="19">
        <f>IF(E204="","",E204-N(F204))</f>
        <v/>
      </c>
      <c r="H204" s="19" t="n"/>
      <c r="I204" s="19">
        <f>IF(G204="","",IF(G204&gt;=$C$9,IF(B204="G마켓",ROUNDDOWN(MIN(G204*$D$9,$E$9),0),ROUNDUP(MIN(G204*$D$9,$E$9),0)),0))</f>
        <v/>
      </c>
      <c r="J204" s="19">
        <f>IF(G204="","",IF(G204&gt;=$C$10,IF(B204="G마켓",ROUNDDOWN(MIN(G204*$D$10,$E$10),0),ROUNDUP(MIN(G204*$D$10,$E$10),0)),0))</f>
        <v/>
      </c>
      <c r="K204" s="19">
        <f>IF(G204="","",IF(G204&gt;=$C$11,IF(B204="G마켓",ROUNDDOWN(MIN(G204*$D$11,$E$11),0),ROUNDUP(MIN(G204*$D$11,$E$11),0)),0))</f>
        <v/>
      </c>
      <c r="L204" s="19">
        <f>IF(G204="","",IF(G204&gt;=$C$12,IF(B204="G마켓",ROUNDDOWN(MIN(G204*$D$12,$E$12),0),ROUNDUP(MIN(G204*$D$12,$E$12),0)),0))</f>
        <v/>
      </c>
      <c r="M204" s="19" t="n"/>
      <c r="N204" s="19">
        <f>IF(G204="","",MAX(I204,J204,K204,L204))</f>
        <v/>
      </c>
      <c r="O204" s="19">
        <f>IF(G204="","",G204-N204)</f>
        <v/>
      </c>
      <c r="P204" s="19" t="n"/>
      <c r="Q204" s="19">
        <f>IF(O204="","",IF(O204&gt;=$J$9,IF(B204="G마켓",ROUNDDOWN(MIN(O204*$K$9,$L$9),0),ROUNDUP(MIN(O204*$K$9,$L$9),0)),0))</f>
        <v/>
      </c>
      <c r="R204" s="19">
        <f>IF(O204="","",IF(O204&gt;=$J$10,IF(B204="G마켓",ROUNDDOWN(MIN(O204*$K$10,$L$10),0),ROUNDUP(MIN(O204*$K$10,$L$10),0)),0))</f>
        <v/>
      </c>
      <c r="S204" s="19">
        <f>IF(O204="","",IF(O204&gt;=$J$11,IF(B204="G마켓",ROUNDDOWN(MIN(O204*$K$11,$L$11),0),ROUNDUP(MIN(O204*$K$11,$L$11),0)),0))</f>
        <v/>
      </c>
      <c r="T204" s="19">
        <f>IF(O204="","",MAX(Q204,R204,S204))</f>
        <v/>
      </c>
      <c r="U204" s="19">
        <f>IF(O204="","",O204-T204)</f>
        <v/>
      </c>
      <c r="V204" s="19">
        <f>IF(O204="","",IF(B204="G마켓",ROUNDDOWN(MAX(Q204*$N$9,R204*$N$10,S204*$N$11),0),ROUNDUP(MAX(Q204*$N$9,R204*$N$10,S204*$N$11),0)))</f>
        <v/>
      </c>
      <c r="W204" s="19">
        <f>IF(G204="","",IF(B204="G마켓",ROUNDDOWN(G204-G204*$D$3-V204,0),ROUNDUP(G204-G204*$D$3-V204,0)))</f>
        <v/>
      </c>
    </row>
    <row r="205">
      <c r="B205" s="18" t="n"/>
      <c r="C205" s="18" t="n"/>
      <c r="D205" s="18" t="n"/>
      <c r="E205" s="19" t="n"/>
      <c r="F205" s="19" t="n"/>
      <c r="G205" s="19">
        <f>IF(E205="","",E205-N(F205))</f>
        <v/>
      </c>
      <c r="H205" s="19" t="n"/>
      <c r="I205" s="19">
        <f>IF(G205="","",IF(G205&gt;=$C$9,IF(B205="G마켓",ROUNDDOWN(MIN(G205*$D$9,$E$9),0),ROUNDUP(MIN(G205*$D$9,$E$9),0)),0))</f>
        <v/>
      </c>
      <c r="J205" s="19">
        <f>IF(G205="","",IF(G205&gt;=$C$10,IF(B205="G마켓",ROUNDDOWN(MIN(G205*$D$10,$E$10),0),ROUNDUP(MIN(G205*$D$10,$E$10),0)),0))</f>
        <v/>
      </c>
      <c r="K205" s="19">
        <f>IF(G205="","",IF(G205&gt;=$C$11,IF(B205="G마켓",ROUNDDOWN(MIN(G205*$D$11,$E$11),0),ROUNDUP(MIN(G205*$D$11,$E$11),0)),0))</f>
        <v/>
      </c>
      <c r="L205" s="19">
        <f>IF(G205="","",IF(G205&gt;=$C$12,IF(B205="G마켓",ROUNDDOWN(MIN(G205*$D$12,$E$12),0),ROUNDUP(MIN(G205*$D$12,$E$12),0)),0))</f>
        <v/>
      </c>
      <c r="M205" s="19" t="n"/>
      <c r="N205" s="19">
        <f>IF(G205="","",MAX(I205,J205,K205,L205))</f>
        <v/>
      </c>
      <c r="O205" s="19">
        <f>IF(G205="","",G205-N205)</f>
        <v/>
      </c>
      <c r="P205" s="19" t="n"/>
      <c r="Q205" s="19">
        <f>IF(O205="","",IF(O205&gt;=$J$9,IF(B205="G마켓",ROUNDDOWN(MIN(O205*$K$9,$L$9),0),ROUNDUP(MIN(O205*$K$9,$L$9),0)),0))</f>
        <v/>
      </c>
      <c r="R205" s="19">
        <f>IF(O205="","",IF(O205&gt;=$J$10,IF(B205="G마켓",ROUNDDOWN(MIN(O205*$K$10,$L$10),0),ROUNDUP(MIN(O205*$K$10,$L$10),0)),0))</f>
        <v/>
      </c>
      <c r="S205" s="19">
        <f>IF(O205="","",IF(O205&gt;=$J$11,IF(B205="G마켓",ROUNDDOWN(MIN(O205*$K$11,$L$11),0),ROUNDUP(MIN(O205*$K$11,$L$11),0)),0))</f>
        <v/>
      </c>
      <c r="T205" s="19">
        <f>IF(O205="","",MAX(Q205,R205,S205))</f>
        <v/>
      </c>
      <c r="U205" s="19">
        <f>IF(O205="","",O205-T205)</f>
        <v/>
      </c>
      <c r="V205" s="19">
        <f>IF(O205="","",IF(B205="G마켓",ROUNDDOWN(MAX(Q205*$N$9,R205*$N$10,S205*$N$11),0),ROUNDUP(MAX(Q205*$N$9,R205*$N$10,S205*$N$11),0)))</f>
        <v/>
      </c>
      <c r="W205" s="19">
        <f>IF(G205="","",IF(B205="G마켓",ROUNDDOWN(G205-G205*$D$3-V205,0),ROUNDUP(G205-G205*$D$3-V205,0)))</f>
        <v/>
      </c>
    </row>
    <row r="206">
      <c r="B206" s="18" t="n"/>
      <c r="C206" s="18" t="n"/>
      <c r="D206" s="18" t="n"/>
      <c r="E206" s="19" t="n"/>
      <c r="F206" s="19" t="n"/>
      <c r="G206" s="19">
        <f>IF(E206="","",E206-N(F206))</f>
        <v/>
      </c>
      <c r="H206" s="19" t="n"/>
      <c r="I206" s="19">
        <f>IF(G206="","",IF(G206&gt;=$C$9,IF(B206="G마켓",ROUNDDOWN(MIN(G206*$D$9,$E$9),0),ROUNDUP(MIN(G206*$D$9,$E$9),0)),0))</f>
        <v/>
      </c>
      <c r="J206" s="19">
        <f>IF(G206="","",IF(G206&gt;=$C$10,IF(B206="G마켓",ROUNDDOWN(MIN(G206*$D$10,$E$10),0),ROUNDUP(MIN(G206*$D$10,$E$10),0)),0))</f>
        <v/>
      </c>
      <c r="K206" s="19">
        <f>IF(G206="","",IF(G206&gt;=$C$11,IF(B206="G마켓",ROUNDDOWN(MIN(G206*$D$11,$E$11),0),ROUNDUP(MIN(G206*$D$11,$E$11),0)),0))</f>
        <v/>
      </c>
      <c r="L206" s="19">
        <f>IF(G206="","",IF(G206&gt;=$C$12,IF(B206="G마켓",ROUNDDOWN(MIN(G206*$D$12,$E$12),0),ROUNDUP(MIN(G206*$D$12,$E$12),0)),0))</f>
        <v/>
      </c>
      <c r="M206" s="19" t="n"/>
      <c r="N206" s="19">
        <f>IF(G206="","",MAX(I206,J206,K206,L206))</f>
        <v/>
      </c>
      <c r="O206" s="19">
        <f>IF(G206="","",G206-N206)</f>
        <v/>
      </c>
      <c r="P206" s="19" t="n"/>
      <c r="Q206" s="19">
        <f>IF(O206="","",IF(O206&gt;=$J$9,IF(B206="G마켓",ROUNDDOWN(MIN(O206*$K$9,$L$9),0),ROUNDUP(MIN(O206*$K$9,$L$9),0)),0))</f>
        <v/>
      </c>
      <c r="R206" s="19">
        <f>IF(O206="","",IF(O206&gt;=$J$10,IF(B206="G마켓",ROUNDDOWN(MIN(O206*$K$10,$L$10),0),ROUNDUP(MIN(O206*$K$10,$L$10),0)),0))</f>
        <v/>
      </c>
      <c r="S206" s="19">
        <f>IF(O206="","",IF(O206&gt;=$J$11,IF(B206="G마켓",ROUNDDOWN(MIN(O206*$K$11,$L$11),0),ROUNDUP(MIN(O206*$K$11,$L$11),0)),0))</f>
        <v/>
      </c>
      <c r="T206" s="19">
        <f>IF(O206="","",MAX(Q206,R206,S206))</f>
        <v/>
      </c>
      <c r="U206" s="19">
        <f>IF(O206="","",O206-T206)</f>
        <v/>
      </c>
      <c r="V206" s="19">
        <f>IF(O206="","",IF(B206="G마켓",ROUNDDOWN(MAX(Q206*$N$9,R206*$N$10,S206*$N$11),0),ROUNDUP(MAX(Q206*$N$9,R206*$N$10,S206*$N$11),0)))</f>
        <v/>
      </c>
      <c r="W206" s="19">
        <f>IF(G206="","",IF(B206="G마켓",ROUNDDOWN(G206-G206*$D$3-V206,0),ROUNDUP(G206-G206*$D$3-V206,0)))</f>
        <v/>
      </c>
    </row>
    <row r="207">
      <c r="B207" s="18" t="n"/>
      <c r="C207" s="18" t="n"/>
      <c r="D207" s="18" t="n"/>
      <c r="E207" s="19" t="n"/>
      <c r="F207" s="19" t="n"/>
      <c r="G207" s="19">
        <f>IF(E207="","",E207-N(F207))</f>
        <v/>
      </c>
      <c r="H207" s="19" t="n"/>
      <c r="I207" s="19">
        <f>IF(G207="","",IF(G207&gt;=$C$9,IF(B207="G마켓",ROUNDDOWN(MIN(G207*$D$9,$E$9),0),ROUNDUP(MIN(G207*$D$9,$E$9),0)),0))</f>
        <v/>
      </c>
      <c r="J207" s="19">
        <f>IF(G207="","",IF(G207&gt;=$C$10,IF(B207="G마켓",ROUNDDOWN(MIN(G207*$D$10,$E$10),0),ROUNDUP(MIN(G207*$D$10,$E$10),0)),0))</f>
        <v/>
      </c>
      <c r="K207" s="19">
        <f>IF(G207="","",IF(G207&gt;=$C$11,IF(B207="G마켓",ROUNDDOWN(MIN(G207*$D$11,$E$11),0),ROUNDUP(MIN(G207*$D$11,$E$11),0)),0))</f>
        <v/>
      </c>
      <c r="L207" s="19">
        <f>IF(G207="","",IF(G207&gt;=$C$12,IF(B207="G마켓",ROUNDDOWN(MIN(G207*$D$12,$E$12),0),ROUNDUP(MIN(G207*$D$12,$E$12),0)),0))</f>
        <v/>
      </c>
      <c r="M207" s="19" t="n"/>
      <c r="N207" s="19">
        <f>IF(G207="","",MAX(I207,J207,K207,L207))</f>
        <v/>
      </c>
      <c r="O207" s="19">
        <f>IF(G207="","",G207-N207)</f>
        <v/>
      </c>
      <c r="P207" s="19" t="n"/>
      <c r="Q207" s="19">
        <f>IF(O207="","",IF(O207&gt;=$J$9,IF(B207="G마켓",ROUNDDOWN(MIN(O207*$K$9,$L$9),0),ROUNDUP(MIN(O207*$K$9,$L$9),0)),0))</f>
        <v/>
      </c>
      <c r="R207" s="19">
        <f>IF(O207="","",IF(O207&gt;=$J$10,IF(B207="G마켓",ROUNDDOWN(MIN(O207*$K$10,$L$10),0),ROUNDUP(MIN(O207*$K$10,$L$10),0)),0))</f>
        <v/>
      </c>
      <c r="S207" s="19">
        <f>IF(O207="","",IF(O207&gt;=$J$11,IF(B207="G마켓",ROUNDDOWN(MIN(O207*$K$11,$L$11),0),ROUNDUP(MIN(O207*$K$11,$L$11),0)),0))</f>
        <v/>
      </c>
      <c r="T207" s="19">
        <f>IF(O207="","",MAX(Q207,R207,S207))</f>
        <v/>
      </c>
      <c r="U207" s="19">
        <f>IF(O207="","",O207-T207)</f>
        <v/>
      </c>
      <c r="V207" s="19">
        <f>IF(O207="","",IF(B207="G마켓",ROUNDDOWN(MAX(Q207*$N$9,R207*$N$10,S207*$N$11),0),ROUNDUP(MAX(Q207*$N$9,R207*$N$10,S207*$N$11),0)))</f>
        <v/>
      </c>
      <c r="W207" s="19">
        <f>IF(G207="","",IF(B207="G마켓",ROUNDDOWN(G207-G207*$D$3-V207,0),ROUNDUP(G207-G207*$D$3-V207,0)))</f>
        <v/>
      </c>
    </row>
    <row r="208">
      <c r="B208" s="18" t="n"/>
      <c r="C208" s="18" t="n"/>
      <c r="D208" s="18" t="n"/>
      <c r="E208" s="19" t="n"/>
      <c r="F208" s="19" t="n"/>
      <c r="G208" s="19">
        <f>IF(E208="","",E208-N(F208))</f>
        <v/>
      </c>
      <c r="H208" s="19" t="n"/>
      <c r="I208" s="19">
        <f>IF(G208="","",IF(G208&gt;=$C$9,IF(B208="G마켓",ROUNDDOWN(MIN(G208*$D$9,$E$9),0),ROUNDUP(MIN(G208*$D$9,$E$9),0)),0))</f>
        <v/>
      </c>
      <c r="J208" s="19">
        <f>IF(G208="","",IF(G208&gt;=$C$10,IF(B208="G마켓",ROUNDDOWN(MIN(G208*$D$10,$E$10),0),ROUNDUP(MIN(G208*$D$10,$E$10),0)),0))</f>
        <v/>
      </c>
      <c r="K208" s="19">
        <f>IF(G208="","",IF(G208&gt;=$C$11,IF(B208="G마켓",ROUNDDOWN(MIN(G208*$D$11,$E$11),0),ROUNDUP(MIN(G208*$D$11,$E$11),0)),0))</f>
        <v/>
      </c>
      <c r="L208" s="19">
        <f>IF(G208="","",IF(G208&gt;=$C$12,IF(B208="G마켓",ROUNDDOWN(MIN(G208*$D$12,$E$12),0),ROUNDUP(MIN(G208*$D$12,$E$12),0)),0))</f>
        <v/>
      </c>
      <c r="M208" s="19" t="n"/>
      <c r="N208" s="19">
        <f>IF(G208="","",MAX(I208,J208,K208,L208))</f>
        <v/>
      </c>
      <c r="O208" s="19">
        <f>IF(G208="","",G208-N208)</f>
        <v/>
      </c>
      <c r="P208" s="19" t="n"/>
      <c r="Q208" s="19">
        <f>IF(O208="","",IF(O208&gt;=$J$9,IF(B208="G마켓",ROUNDDOWN(MIN(O208*$K$9,$L$9),0),ROUNDUP(MIN(O208*$K$9,$L$9),0)),0))</f>
        <v/>
      </c>
      <c r="R208" s="19">
        <f>IF(O208="","",IF(O208&gt;=$J$10,IF(B208="G마켓",ROUNDDOWN(MIN(O208*$K$10,$L$10),0),ROUNDUP(MIN(O208*$K$10,$L$10),0)),0))</f>
        <v/>
      </c>
      <c r="S208" s="19">
        <f>IF(O208="","",IF(O208&gt;=$J$11,IF(B208="G마켓",ROUNDDOWN(MIN(O208*$K$11,$L$11),0),ROUNDUP(MIN(O208*$K$11,$L$11),0)),0))</f>
        <v/>
      </c>
      <c r="T208" s="19">
        <f>IF(O208="","",MAX(Q208,R208,S208))</f>
        <v/>
      </c>
      <c r="U208" s="19">
        <f>IF(O208="","",O208-T208)</f>
        <v/>
      </c>
      <c r="V208" s="19">
        <f>IF(O208="","",IF(B208="G마켓",ROUNDDOWN(MAX(Q208*$N$9,R208*$N$10,S208*$N$11),0),ROUNDUP(MAX(Q208*$N$9,R208*$N$10,S208*$N$11),0)))</f>
        <v/>
      </c>
      <c r="W208" s="19">
        <f>IF(G208="","",IF(B208="G마켓",ROUNDDOWN(G208-G208*$D$3-V208,0),ROUNDUP(G208-G208*$D$3-V208,0)))</f>
        <v/>
      </c>
    </row>
    <row r="209">
      <c r="B209" s="18" t="n"/>
      <c r="C209" s="18" t="n"/>
      <c r="D209" s="18" t="n"/>
      <c r="E209" s="19" t="n"/>
      <c r="F209" s="19" t="n"/>
      <c r="G209" s="19">
        <f>IF(E209="","",E209-N(F209))</f>
        <v/>
      </c>
      <c r="H209" s="19" t="n"/>
      <c r="I209" s="19">
        <f>IF(G209="","",IF(G209&gt;=$C$9,IF(B209="G마켓",ROUNDDOWN(MIN(G209*$D$9,$E$9),0),ROUNDUP(MIN(G209*$D$9,$E$9),0)),0))</f>
        <v/>
      </c>
      <c r="J209" s="19">
        <f>IF(G209="","",IF(G209&gt;=$C$10,IF(B209="G마켓",ROUNDDOWN(MIN(G209*$D$10,$E$10),0),ROUNDUP(MIN(G209*$D$10,$E$10),0)),0))</f>
        <v/>
      </c>
      <c r="K209" s="19">
        <f>IF(G209="","",IF(G209&gt;=$C$11,IF(B209="G마켓",ROUNDDOWN(MIN(G209*$D$11,$E$11),0),ROUNDUP(MIN(G209*$D$11,$E$11),0)),0))</f>
        <v/>
      </c>
      <c r="L209" s="19">
        <f>IF(G209="","",IF(G209&gt;=$C$12,IF(B209="G마켓",ROUNDDOWN(MIN(G209*$D$12,$E$12),0),ROUNDUP(MIN(G209*$D$12,$E$12),0)),0))</f>
        <v/>
      </c>
      <c r="M209" s="19" t="n"/>
      <c r="N209" s="19">
        <f>IF(G209="","",MAX(I209,J209,K209,L209))</f>
        <v/>
      </c>
      <c r="O209" s="19">
        <f>IF(G209="","",G209-N209)</f>
        <v/>
      </c>
      <c r="P209" s="19" t="n"/>
      <c r="Q209" s="19">
        <f>IF(O209="","",IF(O209&gt;=$J$9,IF(B209="G마켓",ROUNDDOWN(MIN(O209*$K$9,$L$9),0),ROUNDUP(MIN(O209*$K$9,$L$9),0)),0))</f>
        <v/>
      </c>
      <c r="R209" s="19">
        <f>IF(O209="","",IF(O209&gt;=$J$10,IF(B209="G마켓",ROUNDDOWN(MIN(O209*$K$10,$L$10),0),ROUNDUP(MIN(O209*$K$10,$L$10),0)),0))</f>
        <v/>
      </c>
      <c r="S209" s="19">
        <f>IF(O209="","",IF(O209&gt;=$J$11,IF(B209="G마켓",ROUNDDOWN(MIN(O209*$K$11,$L$11),0),ROUNDUP(MIN(O209*$K$11,$L$11),0)),0))</f>
        <v/>
      </c>
      <c r="T209" s="19">
        <f>IF(O209="","",MAX(Q209,R209,S209))</f>
        <v/>
      </c>
      <c r="U209" s="19">
        <f>IF(O209="","",O209-T209)</f>
        <v/>
      </c>
      <c r="V209" s="19">
        <f>IF(O209="","",IF(B209="G마켓",ROUNDDOWN(MAX(Q209*$N$9,R209*$N$10,S209*$N$11),0),ROUNDUP(MAX(Q209*$N$9,R209*$N$10,S209*$N$11),0)))</f>
        <v/>
      </c>
      <c r="W209" s="19">
        <f>IF(G209="","",IF(B209="G마켓",ROUNDDOWN(G209-G209*$D$3-V209,0),ROUNDUP(G209-G209*$D$3-V209,0)))</f>
        <v/>
      </c>
    </row>
    <row r="210">
      <c r="B210" s="18" t="n"/>
      <c r="C210" s="18" t="n"/>
      <c r="D210" s="18" t="n"/>
      <c r="E210" s="19" t="n"/>
      <c r="F210" s="19" t="n"/>
      <c r="G210" s="19">
        <f>IF(E210="","",E210-N(F210))</f>
        <v/>
      </c>
      <c r="H210" s="19" t="n"/>
      <c r="I210" s="19">
        <f>IF(G210="","",IF(G210&gt;=$C$9,IF(B210="G마켓",ROUNDDOWN(MIN(G210*$D$9,$E$9),0),ROUNDUP(MIN(G210*$D$9,$E$9),0)),0))</f>
        <v/>
      </c>
      <c r="J210" s="19">
        <f>IF(G210="","",IF(G210&gt;=$C$10,IF(B210="G마켓",ROUNDDOWN(MIN(G210*$D$10,$E$10),0),ROUNDUP(MIN(G210*$D$10,$E$10),0)),0))</f>
        <v/>
      </c>
      <c r="K210" s="19">
        <f>IF(G210="","",IF(G210&gt;=$C$11,IF(B210="G마켓",ROUNDDOWN(MIN(G210*$D$11,$E$11),0),ROUNDUP(MIN(G210*$D$11,$E$11),0)),0))</f>
        <v/>
      </c>
      <c r="L210" s="19">
        <f>IF(G210="","",IF(G210&gt;=$C$12,IF(B210="G마켓",ROUNDDOWN(MIN(G210*$D$12,$E$12),0),ROUNDUP(MIN(G210*$D$12,$E$12),0)),0))</f>
        <v/>
      </c>
      <c r="M210" s="19" t="n"/>
      <c r="N210" s="19">
        <f>IF(G210="","",MAX(I210,J210,K210,L210))</f>
        <v/>
      </c>
      <c r="O210" s="19">
        <f>IF(G210="","",G210-N210)</f>
        <v/>
      </c>
      <c r="P210" s="19" t="n"/>
      <c r="Q210" s="19">
        <f>IF(O210="","",IF(O210&gt;=$J$9,IF(B210="G마켓",ROUNDDOWN(MIN(O210*$K$9,$L$9),0),ROUNDUP(MIN(O210*$K$9,$L$9),0)),0))</f>
        <v/>
      </c>
      <c r="R210" s="19">
        <f>IF(O210="","",IF(O210&gt;=$J$10,IF(B210="G마켓",ROUNDDOWN(MIN(O210*$K$10,$L$10),0),ROUNDUP(MIN(O210*$K$10,$L$10),0)),0))</f>
        <v/>
      </c>
      <c r="S210" s="19">
        <f>IF(O210="","",IF(O210&gt;=$J$11,IF(B210="G마켓",ROUNDDOWN(MIN(O210*$K$11,$L$11),0),ROUNDUP(MIN(O210*$K$11,$L$11),0)),0))</f>
        <v/>
      </c>
      <c r="T210" s="19">
        <f>IF(O210="","",MAX(Q210,R210,S210))</f>
        <v/>
      </c>
      <c r="U210" s="19">
        <f>IF(O210="","",O210-T210)</f>
        <v/>
      </c>
      <c r="V210" s="19">
        <f>IF(O210="","",IF(B210="G마켓",ROUNDDOWN(MAX(Q210*$N$9,R210*$N$10,S210*$N$11),0),ROUNDUP(MAX(Q210*$N$9,R210*$N$10,S210*$N$11),0)))</f>
        <v/>
      </c>
      <c r="W210" s="19">
        <f>IF(G210="","",IF(B210="G마켓",ROUNDDOWN(G210-G210*$D$3-V210,0),ROUNDUP(G210-G210*$D$3-V210,0)))</f>
        <v/>
      </c>
    </row>
    <row r="211">
      <c r="B211" s="18" t="n"/>
      <c r="C211" s="18" t="n"/>
      <c r="D211" s="18" t="n"/>
      <c r="E211" s="19" t="n"/>
      <c r="F211" s="19" t="n"/>
      <c r="G211" s="19">
        <f>IF(E211="","",E211-N(F211))</f>
        <v/>
      </c>
      <c r="H211" s="19" t="n"/>
      <c r="I211" s="19">
        <f>IF(G211="","",IF(G211&gt;=$C$9,IF(B211="G마켓",ROUNDDOWN(MIN(G211*$D$9,$E$9),0),ROUNDUP(MIN(G211*$D$9,$E$9),0)),0))</f>
        <v/>
      </c>
      <c r="J211" s="19">
        <f>IF(G211="","",IF(G211&gt;=$C$10,IF(B211="G마켓",ROUNDDOWN(MIN(G211*$D$10,$E$10),0),ROUNDUP(MIN(G211*$D$10,$E$10),0)),0))</f>
        <v/>
      </c>
      <c r="K211" s="19">
        <f>IF(G211="","",IF(G211&gt;=$C$11,IF(B211="G마켓",ROUNDDOWN(MIN(G211*$D$11,$E$11),0),ROUNDUP(MIN(G211*$D$11,$E$11),0)),0))</f>
        <v/>
      </c>
      <c r="L211" s="19">
        <f>IF(G211="","",IF(G211&gt;=$C$12,IF(B211="G마켓",ROUNDDOWN(MIN(G211*$D$12,$E$12),0),ROUNDUP(MIN(G211*$D$12,$E$12),0)),0))</f>
        <v/>
      </c>
      <c r="M211" s="19" t="n"/>
      <c r="N211" s="19">
        <f>IF(G211="","",MAX(I211,J211,K211,L211))</f>
        <v/>
      </c>
      <c r="O211" s="19">
        <f>IF(G211="","",G211-N211)</f>
        <v/>
      </c>
      <c r="P211" s="19" t="n"/>
      <c r="Q211" s="19">
        <f>IF(O211="","",IF(O211&gt;=$J$9,IF(B211="G마켓",ROUNDDOWN(MIN(O211*$K$9,$L$9),0),ROUNDUP(MIN(O211*$K$9,$L$9),0)),0))</f>
        <v/>
      </c>
      <c r="R211" s="19">
        <f>IF(O211="","",IF(O211&gt;=$J$10,IF(B211="G마켓",ROUNDDOWN(MIN(O211*$K$10,$L$10),0),ROUNDUP(MIN(O211*$K$10,$L$10),0)),0))</f>
        <v/>
      </c>
      <c r="S211" s="19">
        <f>IF(O211="","",IF(O211&gt;=$J$11,IF(B211="G마켓",ROUNDDOWN(MIN(O211*$K$11,$L$11),0),ROUNDUP(MIN(O211*$K$11,$L$11),0)),0))</f>
        <v/>
      </c>
      <c r="T211" s="19">
        <f>IF(O211="","",MAX(Q211,R211,S211))</f>
        <v/>
      </c>
      <c r="U211" s="19">
        <f>IF(O211="","",O211-T211)</f>
        <v/>
      </c>
      <c r="V211" s="19">
        <f>IF(O211="","",IF(B211="G마켓",ROUNDDOWN(MAX(Q211*$N$9,R211*$N$10,S211*$N$11),0),ROUNDUP(MAX(Q211*$N$9,R211*$N$10,S211*$N$11),0)))</f>
        <v/>
      </c>
      <c r="W211" s="19">
        <f>IF(G211="","",IF(B211="G마켓",ROUNDDOWN(G211-G211*$D$3-V211,0),ROUNDUP(G211-G211*$D$3-V211,0)))</f>
        <v/>
      </c>
    </row>
    <row r="212">
      <c r="B212" s="18" t="n"/>
      <c r="C212" s="18" t="n"/>
      <c r="D212" s="18" t="n"/>
      <c r="E212" s="19" t="n"/>
      <c r="F212" s="19" t="n"/>
      <c r="G212" s="19">
        <f>IF(E212="","",E212-N(F212))</f>
        <v/>
      </c>
      <c r="H212" s="19" t="n"/>
      <c r="I212" s="19">
        <f>IF(G212="","",IF(G212&gt;=$C$9,IF(B212="G마켓",ROUNDDOWN(MIN(G212*$D$9,$E$9),0),ROUNDUP(MIN(G212*$D$9,$E$9),0)),0))</f>
        <v/>
      </c>
      <c r="J212" s="19">
        <f>IF(G212="","",IF(G212&gt;=$C$10,IF(B212="G마켓",ROUNDDOWN(MIN(G212*$D$10,$E$10),0),ROUNDUP(MIN(G212*$D$10,$E$10),0)),0))</f>
        <v/>
      </c>
      <c r="K212" s="19">
        <f>IF(G212="","",IF(G212&gt;=$C$11,IF(B212="G마켓",ROUNDDOWN(MIN(G212*$D$11,$E$11),0),ROUNDUP(MIN(G212*$D$11,$E$11),0)),0))</f>
        <v/>
      </c>
      <c r="L212" s="19">
        <f>IF(G212="","",IF(G212&gt;=$C$12,IF(B212="G마켓",ROUNDDOWN(MIN(G212*$D$12,$E$12),0),ROUNDUP(MIN(G212*$D$12,$E$12),0)),0))</f>
        <v/>
      </c>
      <c r="M212" s="19" t="n"/>
      <c r="N212" s="19">
        <f>IF(G212="","",MAX(I212,J212,K212,L212))</f>
        <v/>
      </c>
      <c r="O212" s="19">
        <f>IF(G212="","",G212-N212)</f>
        <v/>
      </c>
      <c r="P212" s="19" t="n"/>
      <c r="Q212" s="19">
        <f>IF(O212="","",IF(O212&gt;=$J$9,IF(B212="G마켓",ROUNDDOWN(MIN(O212*$K$9,$L$9),0),ROUNDUP(MIN(O212*$K$9,$L$9),0)),0))</f>
        <v/>
      </c>
      <c r="R212" s="19">
        <f>IF(O212="","",IF(O212&gt;=$J$10,IF(B212="G마켓",ROUNDDOWN(MIN(O212*$K$10,$L$10),0),ROUNDUP(MIN(O212*$K$10,$L$10),0)),0))</f>
        <v/>
      </c>
      <c r="S212" s="19">
        <f>IF(O212="","",IF(O212&gt;=$J$11,IF(B212="G마켓",ROUNDDOWN(MIN(O212*$K$11,$L$11),0),ROUNDUP(MIN(O212*$K$11,$L$11),0)),0))</f>
        <v/>
      </c>
      <c r="T212" s="19">
        <f>IF(O212="","",MAX(Q212,R212,S212))</f>
        <v/>
      </c>
      <c r="U212" s="19">
        <f>IF(O212="","",O212-T212)</f>
        <v/>
      </c>
      <c r="V212" s="19">
        <f>IF(O212="","",IF(B212="G마켓",ROUNDDOWN(MAX(Q212*$N$9,R212*$N$10,S212*$N$11),0),ROUNDUP(MAX(Q212*$N$9,R212*$N$10,S212*$N$11),0)))</f>
        <v/>
      </c>
      <c r="W212" s="19">
        <f>IF(G212="","",IF(B212="G마켓",ROUNDDOWN(G212-G212*$D$3-V212,0),ROUNDUP(G212-G212*$D$3-V212,0)))</f>
        <v/>
      </c>
    </row>
    <row r="213">
      <c r="B213" s="18" t="n"/>
      <c r="C213" s="18" t="n"/>
      <c r="D213" s="18" t="n"/>
      <c r="E213" s="19" t="n"/>
      <c r="F213" s="19" t="n"/>
      <c r="G213" s="19">
        <f>IF(E213="","",E213-N(F213))</f>
        <v/>
      </c>
      <c r="H213" s="19" t="n"/>
      <c r="I213" s="19">
        <f>IF(G213="","",IF(G213&gt;=$C$9,IF(B213="G마켓",ROUNDDOWN(MIN(G213*$D$9,$E$9),0),ROUNDUP(MIN(G213*$D$9,$E$9),0)),0))</f>
        <v/>
      </c>
      <c r="J213" s="19">
        <f>IF(G213="","",IF(G213&gt;=$C$10,IF(B213="G마켓",ROUNDDOWN(MIN(G213*$D$10,$E$10),0),ROUNDUP(MIN(G213*$D$10,$E$10),0)),0))</f>
        <v/>
      </c>
      <c r="K213" s="19">
        <f>IF(G213="","",IF(G213&gt;=$C$11,IF(B213="G마켓",ROUNDDOWN(MIN(G213*$D$11,$E$11),0),ROUNDUP(MIN(G213*$D$11,$E$11),0)),0))</f>
        <v/>
      </c>
      <c r="L213" s="19">
        <f>IF(G213="","",IF(G213&gt;=$C$12,IF(B213="G마켓",ROUNDDOWN(MIN(G213*$D$12,$E$12),0),ROUNDUP(MIN(G213*$D$12,$E$12),0)),0))</f>
        <v/>
      </c>
      <c r="M213" s="19" t="n"/>
      <c r="N213" s="19">
        <f>IF(G213="","",MAX(I213,J213,K213,L213))</f>
        <v/>
      </c>
      <c r="O213" s="19">
        <f>IF(G213="","",G213-N213)</f>
        <v/>
      </c>
      <c r="P213" s="19" t="n"/>
      <c r="Q213" s="19">
        <f>IF(O213="","",IF(O213&gt;=$J$9,IF(B213="G마켓",ROUNDDOWN(MIN(O213*$K$9,$L$9),0),ROUNDUP(MIN(O213*$K$9,$L$9),0)),0))</f>
        <v/>
      </c>
      <c r="R213" s="19">
        <f>IF(O213="","",IF(O213&gt;=$J$10,IF(B213="G마켓",ROUNDDOWN(MIN(O213*$K$10,$L$10),0),ROUNDUP(MIN(O213*$K$10,$L$10),0)),0))</f>
        <v/>
      </c>
      <c r="S213" s="19">
        <f>IF(O213="","",IF(O213&gt;=$J$11,IF(B213="G마켓",ROUNDDOWN(MIN(O213*$K$11,$L$11),0),ROUNDUP(MIN(O213*$K$11,$L$11),0)),0))</f>
        <v/>
      </c>
      <c r="T213" s="19">
        <f>IF(O213="","",MAX(Q213,R213,S213))</f>
        <v/>
      </c>
      <c r="U213" s="19">
        <f>IF(O213="","",O213-T213)</f>
        <v/>
      </c>
      <c r="V213" s="19">
        <f>IF(O213="","",IF(B213="G마켓",ROUNDDOWN(MAX(Q213*$N$9,R213*$N$10,S213*$N$11),0),ROUNDUP(MAX(Q213*$N$9,R213*$N$10,S213*$N$11),0)))</f>
        <v/>
      </c>
      <c r="W213" s="19">
        <f>IF(G213="","",IF(B213="G마켓",ROUNDDOWN(G213-G213*$D$3-V213,0),ROUNDUP(G213-G213*$D$3-V213,0)))</f>
        <v/>
      </c>
    </row>
    <row r="214">
      <c r="B214" s="18" t="n"/>
      <c r="C214" s="18" t="n"/>
      <c r="D214" s="18" t="n"/>
      <c r="E214" s="19" t="n"/>
      <c r="F214" s="19" t="n"/>
      <c r="G214" s="19">
        <f>IF(E214="","",E214-N(F214))</f>
        <v/>
      </c>
      <c r="H214" s="19" t="n"/>
      <c r="I214" s="19">
        <f>IF(G214="","",IF(G214&gt;=$C$9,IF(B214="G마켓",ROUNDDOWN(MIN(G214*$D$9,$E$9),0),ROUNDUP(MIN(G214*$D$9,$E$9),0)),0))</f>
        <v/>
      </c>
      <c r="J214" s="19">
        <f>IF(G214="","",IF(G214&gt;=$C$10,IF(B214="G마켓",ROUNDDOWN(MIN(G214*$D$10,$E$10),0),ROUNDUP(MIN(G214*$D$10,$E$10),0)),0))</f>
        <v/>
      </c>
      <c r="K214" s="19">
        <f>IF(G214="","",IF(G214&gt;=$C$11,IF(B214="G마켓",ROUNDDOWN(MIN(G214*$D$11,$E$11),0),ROUNDUP(MIN(G214*$D$11,$E$11),0)),0))</f>
        <v/>
      </c>
      <c r="L214" s="19">
        <f>IF(G214="","",IF(G214&gt;=$C$12,IF(B214="G마켓",ROUNDDOWN(MIN(G214*$D$12,$E$12),0),ROUNDUP(MIN(G214*$D$12,$E$12),0)),0))</f>
        <v/>
      </c>
      <c r="M214" s="19" t="n"/>
      <c r="N214" s="19">
        <f>IF(G214="","",MAX(I214,J214,K214,L214))</f>
        <v/>
      </c>
      <c r="O214" s="19">
        <f>IF(G214="","",G214-N214)</f>
        <v/>
      </c>
      <c r="P214" s="19" t="n"/>
      <c r="Q214" s="19">
        <f>IF(O214="","",IF(O214&gt;=$J$9,IF(B214="G마켓",ROUNDDOWN(MIN(O214*$K$9,$L$9),0),ROUNDUP(MIN(O214*$K$9,$L$9),0)),0))</f>
        <v/>
      </c>
      <c r="R214" s="19">
        <f>IF(O214="","",IF(O214&gt;=$J$10,IF(B214="G마켓",ROUNDDOWN(MIN(O214*$K$10,$L$10),0),ROUNDUP(MIN(O214*$K$10,$L$10),0)),0))</f>
        <v/>
      </c>
      <c r="S214" s="19">
        <f>IF(O214="","",IF(O214&gt;=$J$11,IF(B214="G마켓",ROUNDDOWN(MIN(O214*$K$11,$L$11),0),ROUNDUP(MIN(O214*$K$11,$L$11),0)),0))</f>
        <v/>
      </c>
      <c r="T214" s="19">
        <f>IF(O214="","",MAX(Q214,R214,S214))</f>
        <v/>
      </c>
      <c r="U214" s="19">
        <f>IF(O214="","",O214-T214)</f>
        <v/>
      </c>
      <c r="V214" s="19">
        <f>IF(O214="","",IF(B214="G마켓",ROUNDDOWN(MAX(Q214*$N$9,R214*$N$10,S214*$N$11),0),ROUNDUP(MAX(Q214*$N$9,R214*$N$10,S214*$N$11),0)))</f>
        <v/>
      </c>
      <c r="W214" s="19">
        <f>IF(G214="","",IF(B214="G마켓",ROUNDDOWN(G214-G214*$D$3-V214,0),ROUNDUP(G214-G214*$D$3-V214,0)))</f>
        <v/>
      </c>
    </row>
    <row r="215">
      <c r="B215" s="18" t="n"/>
      <c r="C215" s="18" t="n"/>
      <c r="D215" s="18" t="n"/>
      <c r="E215" s="19" t="n"/>
      <c r="F215" s="19" t="n"/>
      <c r="G215" s="19">
        <f>IF(E215="","",E215-N(F215))</f>
        <v/>
      </c>
      <c r="H215" s="19" t="n"/>
      <c r="I215" s="19">
        <f>IF(G215="","",IF(G215&gt;=$C$9,IF(B215="G마켓",ROUNDDOWN(MIN(G215*$D$9,$E$9),0),ROUNDUP(MIN(G215*$D$9,$E$9),0)),0))</f>
        <v/>
      </c>
      <c r="J215" s="19">
        <f>IF(G215="","",IF(G215&gt;=$C$10,IF(B215="G마켓",ROUNDDOWN(MIN(G215*$D$10,$E$10),0),ROUNDUP(MIN(G215*$D$10,$E$10),0)),0))</f>
        <v/>
      </c>
      <c r="K215" s="19">
        <f>IF(G215="","",IF(G215&gt;=$C$11,IF(B215="G마켓",ROUNDDOWN(MIN(G215*$D$11,$E$11),0),ROUNDUP(MIN(G215*$D$11,$E$11),0)),0))</f>
        <v/>
      </c>
      <c r="L215" s="19">
        <f>IF(G215="","",IF(G215&gt;=$C$12,IF(B215="G마켓",ROUNDDOWN(MIN(G215*$D$12,$E$12),0),ROUNDUP(MIN(G215*$D$12,$E$12),0)),0))</f>
        <v/>
      </c>
      <c r="M215" s="19" t="n"/>
      <c r="N215" s="19">
        <f>IF(G215="","",MAX(I215,J215,K215,L215))</f>
        <v/>
      </c>
      <c r="O215" s="19">
        <f>IF(G215="","",G215-N215)</f>
        <v/>
      </c>
      <c r="P215" s="19" t="n"/>
      <c r="Q215" s="19">
        <f>IF(O215="","",IF(O215&gt;=$J$9,IF(B215="G마켓",ROUNDDOWN(MIN(O215*$K$9,$L$9),0),ROUNDUP(MIN(O215*$K$9,$L$9),0)),0))</f>
        <v/>
      </c>
      <c r="R215" s="19">
        <f>IF(O215="","",IF(O215&gt;=$J$10,IF(B215="G마켓",ROUNDDOWN(MIN(O215*$K$10,$L$10),0),ROUNDUP(MIN(O215*$K$10,$L$10),0)),0))</f>
        <v/>
      </c>
      <c r="S215" s="19">
        <f>IF(O215="","",IF(O215&gt;=$J$11,IF(B215="G마켓",ROUNDDOWN(MIN(O215*$K$11,$L$11),0),ROUNDUP(MIN(O215*$K$11,$L$11),0)),0))</f>
        <v/>
      </c>
      <c r="T215" s="19">
        <f>IF(O215="","",MAX(Q215,R215,S215))</f>
        <v/>
      </c>
      <c r="U215" s="19">
        <f>IF(O215="","",O215-T215)</f>
        <v/>
      </c>
      <c r="V215" s="19">
        <f>IF(O215="","",IF(B215="G마켓",ROUNDDOWN(MAX(Q215*$N$9,R215*$N$10,S215*$N$11),0),ROUNDUP(MAX(Q215*$N$9,R215*$N$10,S215*$N$11),0)))</f>
        <v/>
      </c>
      <c r="W215" s="19">
        <f>IF(G215="","",IF(B215="G마켓",ROUNDDOWN(G215-G215*$D$3-V215,0),ROUNDUP(G215-G215*$D$3-V215,0)))</f>
        <v/>
      </c>
    </row>
    <row r="216">
      <c r="B216" s="18" t="n"/>
      <c r="C216" s="18" t="n"/>
      <c r="D216" s="18" t="n"/>
      <c r="E216" s="19" t="n"/>
      <c r="F216" s="19" t="n"/>
      <c r="G216" s="19">
        <f>IF(E216="","",E216-N(F216))</f>
        <v/>
      </c>
      <c r="H216" s="19" t="n"/>
      <c r="I216" s="19">
        <f>IF(G216="","",IF(G216&gt;=$C$9,IF(B216="G마켓",ROUNDDOWN(MIN(G216*$D$9,$E$9),0),ROUNDUP(MIN(G216*$D$9,$E$9),0)),0))</f>
        <v/>
      </c>
      <c r="J216" s="19">
        <f>IF(G216="","",IF(G216&gt;=$C$10,IF(B216="G마켓",ROUNDDOWN(MIN(G216*$D$10,$E$10),0),ROUNDUP(MIN(G216*$D$10,$E$10),0)),0))</f>
        <v/>
      </c>
      <c r="K216" s="19">
        <f>IF(G216="","",IF(G216&gt;=$C$11,IF(B216="G마켓",ROUNDDOWN(MIN(G216*$D$11,$E$11),0),ROUNDUP(MIN(G216*$D$11,$E$11),0)),0))</f>
        <v/>
      </c>
      <c r="L216" s="19">
        <f>IF(G216="","",IF(G216&gt;=$C$12,IF(B216="G마켓",ROUNDDOWN(MIN(G216*$D$12,$E$12),0),ROUNDUP(MIN(G216*$D$12,$E$12),0)),0))</f>
        <v/>
      </c>
      <c r="M216" s="19" t="n"/>
      <c r="N216" s="19">
        <f>IF(G216="","",MAX(I216,J216,K216,L216))</f>
        <v/>
      </c>
      <c r="O216" s="19">
        <f>IF(G216="","",G216-N216)</f>
        <v/>
      </c>
      <c r="P216" s="19" t="n"/>
      <c r="Q216" s="19">
        <f>IF(O216="","",IF(O216&gt;=$J$9,IF(B216="G마켓",ROUNDDOWN(MIN(O216*$K$9,$L$9),0),ROUNDUP(MIN(O216*$K$9,$L$9),0)),0))</f>
        <v/>
      </c>
      <c r="R216" s="19">
        <f>IF(O216="","",IF(O216&gt;=$J$10,IF(B216="G마켓",ROUNDDOWN(MIN(O216*$K$10,$L$10),0),ROUNDUP(MIN(O216*$K$10,$L$10),0)),0))</f>
        <v/>
      </c>
      <c r="S216" s="19">
        <f>IF(O216="","",IF(O216&gt;=$J$11,IF(B216="G마켓",ROUNDDOWN(MIN(O216*$K$11,$L$11),0),ROUNDUP(MIN(O216*$K$11,$L$11),0)),0))</f>
        <v/>
      </c>
      <c r="T216" s="19">
        <f>IF(O216="","",MAX(Q216,R216,S216))</f>
        <v/>
      </c>
      <c r="U216" s="19">
        <f>IF(O216="","",O216-T216)</f>
        <v/>
      </c>
      <c r="V216" s="19">
        <f>IF(O216="","",IF(B216="G마켓",ROUNDDOWN(MAX(Q216*$N$9,R216*$N$10,S216*$N$11),0),ROUNDUP(MAX(Q216*$N$9,R216*$N$10,S216*$N$11),0)))</f>
        <v/>
      </c>
      <c r="W216" s="19">
        <f>IF(G216="","",IF(B216="G마켓",ROUNDDOWN(G216-G216*$D$3-V216,0),ROUNDUP(G216-G216*$D$3-V216,0)))</f>
        <v/>
      </c>
    </row>
    <row r="217">
      <c r="B217" s="18" t="n"/>
      <c r="C217" s="18" t="n"/>
      <c r="D217" s="18" t="n"/>
      <c r="E217" s="19" t="n"/>
      <c r="F217" s="19" t="n"/>
      <c r="G217" s="19">
        <f>IF(E217="","",E217-N(F217))</f>
        <v/>
      </c>
      <c r="H217" s="19" t="n"/>
      <c r="I217" s="19">
        <f>IF(G217="","",IF(G217&gt;=$C$9,IF(B217="G마켓",ROUNDDOWN(MIN(G217*$D$9,$E$9),0),ROUNDUP(MIN(G217*$D$9,$E$9),0)),0))</f>
        <v/>
      </c>
      <c r="J217" s="19">
        <f>IF(G217="","",IF(G217&gt;=$C$10,IF(B217="G마켓",ROUNDDOWN(MIN(G217*$D$10,$E$10),0),ROUNDUP(MIN(G217*$D$10,$E$10),0)),0))</f>
        <v/>
      </c>
      <c r="K217" s="19">
        <f>IF(G217="","",IF(G217&gt;=$C$11,IF(B217="G마켓",ROUNDDOWN(MIN(G217*$D$11,$E$11),0),ROUNDUP(MIN(G217*$D$11,$E$11),0)),0))</f>
        <v/>
      </c>
      <c r="L217" s="19">
        <f>IF(G217="","",IF(G217&gt;=$C$12,IF(B217="G마켓",ROUNDDOWN(MIN(G217*$D$12,$E$12),0),ROUNDUP(MIN(G217*$D$12,$E$12),0)),0))</f>
        <v/>
      </c>
      <c r="M217" s="19" t="n"/>
      <c r="N217" s="19">
        <f>IF(G217="","",MAX(I217,J217,K217,L217))</f>
        <v/>
      </c>
      <c r="O217" s="19">
        <f>IF(G217="","",G217-N217)</f>
        <v/>
      </c>
      <c r="P217" s="19" t="n"/>
      <c r="Q217" s="19">
        <f>IF(O217="","",IF(O217&gt;=$J$9,IF(B217="G마켓",ROUNDDOWN(MIN(O217*$K$9,$L$9),0),ROUNDUP(MIN(O217*$K$9,$L$9),0)),0))</f>
        <v/>
      </c>
      <c r="R217" s="19">
        <f>IF(O217="","",IF(O217&gt;=$J$10,IF(B217="G마켓",ROUNDDOWN(MIN(O217*$K$10,$L$10),0),ROUNDUP(MIN(O217*$K$10,$L$10),0)),0))</f>
        <v/>
      </c>
      <c r="S217" s="19">
        <f>IF(O217="","",IF(O217&gt;=$J$11,IF(B217="G마켓",ROUNDDOWN(MIN(O217*$K$11,$L$11),0),ROUNDUP(MIN(O217*$K$11,$L$11),0)),0))</f>
        <v/>
      </c>
      <c r="T217" s="19">
        <f>IF(O217="","",MAX(Q217,R217,S217))</f>
        <v/>
      </c>
      <c r="U217" s="19">
        <f>IF(O217="","",O217-T217)</f>
        <v/>
      </c>
      <c r="V217" s="19">
        <f>IF(O217="","",IF(B217="G마켓",ROUNDDOWN(MAX(Q217*$N$9,R217*$N$10,S217*$N$11),0),ROUNDUP(MAX(Q217*$N$9,R217*$N$10,S217*$N$11),0)))</f>
        <v/>
      </c>
      <c r="W217" s="19">
        <f>IF(G217="","",IF(B217="G마켓",ROUNDDOWN(G217-G217*$D$3-V217,0),ROUNDUP(G217-G217*$D$3-V217,0)))</f>
        <v/>
      </c>
    </row>
    <row r="218">
      <c r="B218" s="18" t="n"/>
      <c r="C218" s="18" t="n"/>
      <c r="D218" s="18" t="n"/>
      <c r="E218" s="19" t="n"/>
      <c r="F218" s="19" t="n"/>
      <c r="G218" s="19">
        <f>IF(E218="","",E218-N(F218))</f>
        <v/>
      </c>
      <c r="H218" s="19" t="n"/>
      <c r="I218" s="19">
        <f>IF(G218="","",IF(G218&gt;=$C$9,IF(B218="G마켓",ROUNDDOWN(MIN(G218*$D$9,$E$9),0),ROUNDUP(MIN(G218*$D$9,$E$9),0)),0))</f>
        <v/>
      </c>
      <c r="J218" s="19">
        <f>IF(G218="","",IF(G218&gt;=$C$10,IF(B218="G마켓",ROUNDDOWN(MIN(G218*$D$10,$E$10),0),ROUNDUP(MIN(G218*$D$10,$E$10),0)),0))</f>
        <v/>
      </c>
      <c r="K218" s="19">
        <f>IF(G218="","",IF(G218&gt;=$C$11,IF(B218="G마켓",ROUNDDOWN(MIN(G218*$D$11,$E$11),0),ROUNDUP(MIN(G218*$D$11,$E$11),0)),0))</f>
        <v/>
      </c>
      <c r="L218" s="19">
        <f>IF(G218="","",IF(G218&gt;=$C$12,IF(B218="G마켓",ROUNDDOWN(MIN(G218*$D$12,$E$12),0),ROUNDUP(MIN(G218*$D$12,$E$12),0)),0))</f>
        <v/>
      </c>
      <c r="M218" s="19" t="n"/>
      <c r="N218" s="19">
        <f>IF(G218="","",MAX(I218,J218,K218,L218))</f>
        <v/>
      </c>
      <c r="O218" s="19">
        <f>IF(G218="","",G218-N218)</f>
        <v/>
      </c>
      <c r="P218" s="19" t="n"/>
      <c r="Q218" s="19">
        <f>IF(O218="","",IF(O218&gt;=$J$9,IF(B218="G마켓",ROUNDDOWN(MIN(O218*$K$9,$L$9),0),ROUNDUP(MIN(O218*$K$9,$L$9),0)),0))</f>
        <v/>
      </c>
      <c r="R218" s="19">
        <f>IF(O218="","",IF(O218&gt;=$J$10,IF(B218="G마켓",ROUNDDOWN(MIN(O218*$K$10,$L$10),0),ROUNDUP(MIN(O218*$K$10,$L$10),0)),0))</f>
        <v/>
      </c>
      <c r="S218" s="19">
        <f>IF(O218="","",IF(O218&gt;=$J$11,IF(B218="G마켓",ROUNDDOWN(MIN(O218*$K$11,$L$11),0),ROUNDUP(MIN(O218*$K$11,$L$11),0)),0))</f>
        <v/>
      </c>
      <c r="T218" s="19">
        <f>IF(O218="","",MAX(Q218,R218,S218))</f>
        <v/>
      </c>
      <c r="U218" s="19">
        <f>IF(O218="","",O218-T218)</f>
        <v/>
      </c>
      <c r="V218" s="19">
        <f>IF(O218="","",IF(B218="G마켓",ROUNDDOWN(MAX(Q218*$N$9,R218*$N$10,S218*$N$11),0),ROUNDUP(MAX(Q218*$N$9,R218*$N$10,S218*$N$11),0)))</f>
        <v/>
      </c>
      <c r="W218" s="19">
        <f>IF(G218="","",IF(B218="G마켓",ROUNDDOWN(G218-G218*$D$3-V218,0),ROUNDUP(G218-G218*$D$3-V218,0)))</f>
        <v/>
      </c>
    </row>
    <row r="219">
      <c r="B219" s="18" t="n"/>
      <c r="C219" s="18" t="n"/>
      <c r="D219" s="18" t="n"/>
      <c r="E219" s="19" t="n"/>
      <c r="F219" s="19" t="n"/>
      <c r="G219" s="19">
        <f>IF(E219="","",E219-N(F219))</f>
        <v/>
      </c>
      <c r="H219" s="19" t="n"/>
      <c r="I219" s="19">
        <f>IF(G219="","",IF(G219&gt;=$C$9,IF(B219="G마켓",ROUNDDOWN(MIN(G219*$D$9,$E$9),0),ROUNDUP(MIN(G219*$D$9,$E$9),0)),0))</f>
        <v/>
      </c>
      <c r="J219" s="19">
        <f>IF(G219="","",IF(G219&gt;=$C$10,IF(B219="G마켓",ROUNDDOWN(MIN(G219*$D$10,$E$10),0),ROUNDUP(MIN(G219*$D$10,$E$10),0)),0))</f>
        <v/>
      </c>
      <c r="K219" s="19">
        <f>IF(G219="","",IF(G219&gt;=$C$11,IF(B219="G마켓",ROUNDDOWN(MIN(G219*$D$11,$E$11),0),ROUNDUP(MIN(G219*$D$11,$E$11),0)),0))</f>
        <v/>
      </c>
      <c r="L219" s="19">
        <f>IF(G219="","",IF(G219&gt;=$C$12,IF(B219="G마켓",ROUNDDOWN(MIN(G219*$D$12,$E$12),0),ROUNDUP(MIN(G219*$D$12,$E$12),0)),0))</f>
        <v/>
      </c>
      <c r="M219" s="19" t="n"/>
      <c r="N219" s="19">
        <f>IF(G219="","",MAX(I219,J219,K219,L219))</f>
        <v/>
      </c>
      <c r="O219" s="19">
        <f>IF(G219="","",G219-N219)</f>
        <v/>
      </c>
      <c r="P219" s="19" t="n"/>
      <c r="Q219" s="19">
        <f>IF(O219="","",IF(O219&gt;=$J$9,IF(B219="G마켓",ROUNDDOWN(MIN(O219*$K$9,$L$9),0),ROUNDUP(MIN(O219*$K$9,$L$9),0)),0))</f>
        <v/>
      </c>
      <c r="R219" s="19">
        <f>IF(O219="","",IF(O219&gt;=$J$10,IF(B219="G마켓",ROUNDDOWN(MIN(O219*$K$10,$L$10),0),ROUNDUP(MIN(O219*$K$10,$L$10),0)),0))</f>
        <v/>
      </c>
      <c r="S219" s="19">
        <f>IF(O219="","",IF(O219&gt;=$J$11,IF(B219="G마켓",ROUNDDOWN(MIN(O219*$K$11,$L$11),0),ROUNDUP(MIN(O219*$K$11,$L$11),0)),0))</f>
        <v/>
      </c>
      <c r="T219" s="19">
        <f>IF(O219="","",MAX(Q219,R219,S219))</f>
        <v/>
      </c>
      <c r="U219" s="19">
        <f>IF(O219="","",O219-T219)</f>
        <v/>
      </c>
      <c r="V219" s="19">
        <f>IF(O219="","",IF(B219="G마켓",ROUNDDOWN(MAX(Q219*$N$9,R219*$N$10,S219*$N$11),0),ROUNDUP(MAX(Q219*$N$9,R219*$N$10,S219*$N$11),0)))</f>
        <v/>
      </c>
      <c r="W219" s="19">
        <f>IF(G219="","",IF(B219="G마켓",ROUNDDOWN(G219-G219*$D$3-V219,0),ROUNDUP(G219-G219*$D$3-V219,0)))</f>
        <v/>
      </c>
    </row>
    <row r="220">
      <c r="B220" s="18" t="n"/>
      <c r="C220" s="18" t="n"/>
      <c r="D220" s="18" t="n"/>
      <c r="E220" s="19" t="n"/>
      <c r="F220" s="19" t="n"/>
      <c r="G220" s="19">
        <f>IF(E220="","",E220-N(F220))</f>
        <v/>
      </c>
      <c r="H220" s="19" t="n"/>
      <c r="I220" s="19">
        <f>IF(G220="","",IF(G220&gt;=$C$9,IF(B220="G마켓",ROUNDDOWN(MIN(G220*$D$9,$E$9),0),ROUNDUP(MIN(G220*$D$9,$E$9),0)),0))</f>
        <v/>
      </c>
      <c r="J220" s="19">
        <f>IF(G220="","",IF(G220&gt;=$C$10,IF(B220="G마켓",ROUNDDOWN(MIN(G220*$D$10,$E$10),0),ROUNDUP(MIN(G220*$D$10,$E$10),0)),0))</f>
        <v/>
      </c>
      <c r="K220" s="19">
        <f>IF(G220="","",IF(G220&gt;=$C$11,IF(B220="G마켓",ROUNDDOWN(MIN(G220*$D$11,$E$11),0),ROUNDUP(MIN(G220*$D$11,$E$11),0)),0))</f>
        <v/>
      </c>
      <c r="L220" s="19">
        <f>IF(G220="","",IF(G220&gt;=$C$12,IF(B220="G마켓",ROUNDDOWN(MIN(G220*$D$12,$E$12),0),ROUNDUP(MIN(G220*$D$12,$E$12),0)),0))</f>
        <v/>
      </c>
      <c r="M220" s="19" t="n"/>
      <c r="N220" s="19">
        <f>IF(G220="","",MAX(I220,J220,K220,L220))</f>
        <v/>
      </c>
      <c r="O220" s="19">
        <f>IF(G220="","",G220-N220)</f>
        <v/>
      </c>
      <c r="P220" s="19" t="n"/>
      <c r="Q220" s="19">
        <f>IF(O220="","",IF(O220&gt;=$J$9,IF(B220="G마켓",ROUNDDOWN(MIN(O220*$K$9,$L$9),0),ROUNDUP(MIN(O220*$K$9,$L$9),0)),0))</f>
        <v/>
      </c>
      <c r="R220" s="19">
        <f>IF(O220="","",IF(O220&gt;=$J$10,IF(B220="G마켓",ROUNDDOWN(MIN(O220*$K$10,$L$10),0),ROUNDUP(MIN(O220*$K$10,$L$10),0)),0))</f>
        <v/>
      </c>
      <c r="S220" s="19">
        <f>IF(O220="","",IF(O220&gt;=$J$11,IF(B220="G마켓",ROUNDDOWN(MIN(O220*$K$11,$L$11),0),ROUNDUP(MIN(O220*$K$11,$L$11),0)),0))</f>
        <v/>
      </c>
      <c r="T220" s="19">
        <f>IF(O220="","",MAX(Q220,R220,S220))</f>
        <v/>
      </c>
      <c r="U220" s="19">
        <f>IF(O220="","",O220-T220)</f>
        <v/>
      </c>
      <c r="V220" s="19">
        <f>IF(O220="","",IF(B220="G마켓",ROUNDDOWN(MAX(Q220*$N$9,R220*$N$10,S220*$N$11),0),ROUNDUP(MAX(Q220*$N$9,R220*$N$10,S220*$N$11),0)))</f>
        <v/>
      </c>
      <c r="W220" s="19">
        <f>IF(G220="","",IF(B220="G마켓",ROUNDDOWN(G220-G220*$D$3-V220,0),ROUNDUP(G220-G220*$D$3-V220,0)))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2026-09-29T01:08:57Z</dcterms:created>
  <dcterms:modified xmlns:dcterms="http://purl.org/dc/terms/" xmlns:xsi="http://www.w3.org/2001/XMLSchema-instance" xsi:type="dcterms:W3CDTF">2026-09-29T01:09:17Z</dcterms:modified>
</cp:coreProperties>
</file>