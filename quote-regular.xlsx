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시" sheetId="1" state="visible" r:id="rId1"/>
  </sheets>
  <definedNames>
    <definedName name="_xlnm.Print_Titles" localSheetId="0">'상시'!$28:$28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B6477"/>
      <sz val="10"/>
    </font>
    <font>
      <name val="맑은 고딕"/>
      <b val="1"/>
      <color rgb="00B42318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E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3" fontId="8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1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28"/>
  <sheetViews>
    <sheetView showGridLines="0" zoomScale="70" zoomScaleNormal="7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3" customWidth="1" min="3" max="3"/>
    <col width="26" customWidth="1" min="4" max="4"/>
    <col width="13" customWidth="1" min="5" max="5"/>
    <col width="12" customWidth="1" min="6" max="6"/>
    <col width="13" customWidth="1" min="7" max="7"/>
    <col width="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</cols>
  <sheetData>
    <row r="2">
      <c r="B2" s="1" t="inlineStr">
        <is>
          <t>지마켓·옥션 상시 판매 견적서</t>
        </is>
      </c>
      <c r="G2" s="2" t="inlineStr">
        <is>
          <t>행사 기간 외 상시 판매</t>
        </is>
      </c>
    </row>
    <row r="4" ht="26" customHeight="1">
      <c r="B4" s="3" t="inlineStr">
        <is>
          <t>상단의 표를 수정하면 아래 수식이 변경됩니다. 원하시는 스킴이 별도로 있으실 경우 수정해주세요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32" customHeight="1">
      <c r="B5" s="6" t="inlineStr">
        <is>
          <t>G마켓ID</t>
        </is>
      </c>
      <c r="C5" s="5" t="n"/>
      <c r="D5" s="6" t="inlineStr">
        <is>
          <t>옥션ID</t>
        </is>
      </c>
      <c r="E5" s="6" t="inlineStr">
        <is>
          <t>담당자+직함</t>
        </is>
      </c>
      <c r="F5" s="5" t="n"/>
      <c r="G5" s="6" t="inlineStr">
        <is>
          <t>휴대전화</t>
        </is>
      </c>
      <c r="H5" s="4" t="n"/>
      <c r="I5" s="4" t="n"/>
      <c r="J5" s="5" t="n"/>
      <c r="K5" s="6" t="inlineStr">
        <is>
          <t>메일</t>
        </is>
      </c>
      <c r="L5" s="4" t="n"/>
      <c r="M5" s="4" t="n"/>
      <c r="N5" s="5" t="n"/>
      <c r="O5" s="6" t="inlineStr">
        <is>
          <t>네이트온</t>
        </is>
      </c>
      <c r="P5" s="5" t="n"/>
      <c r="Q5" s="6" t="inlineStr">
        <is>
          <t>적용 수수료율
(판매 수수료)</t>
        </is>
      </c>
      <c r="R5" s="4" t="n"/>
      <c r="S5" s="5" t="n"/>
    </row>
    <row r="6" ht="22" customHeight="1">
      <c r="B6" s="7" t="n"/>
      <c r="C6" s="5" t="n"/>
      <c r="D6" s="7" t="n"/>
      <c r="E6" s="7" t="n"/>
      <c r="F6" s="5" t="n"/>
      <c r="G6" s="7" t="n"/>
      <c r="H6" s="4" t="n"/>
      <c r="I6" s="4" t="n"/>
      <c r="J6" s="5" t="n"/>
      <c r="K6" s="7" t="n"/>
      <c r="L6" s="4" t="n"/>
      <c r="M6" s="4" t="n"/>
      <c r="N6" s="5" t="n"/>
      <c r="O6" s="7" t="n"/>
      <c r="P6" s="5" t="n"/>
      <c r="Q6" s="8" t="n">
        <v>0.13</v>
      </c>
      <c r="R6" s="4" t="n"/>
      <c r="S6" s="5" t="n"/>
    </row>
    <row r="8">
      <c r="B8" s="9" t="inlineStr">
        <is>
          <t>■ B1 쿠폰</t>
        </is>
      </c>
    </row>
    <row r="9">
      <c r="B9" s="6" t="inlineStr">
        <is>
          <t>구분</t>
        </is>
      </c>
      <c r="C9" s="6" t="inlineStr">
        <is>
          <t>최저 구매</t>
        </is>
      </c>
      <c r="D9" s="6" t="inlineStr">
        <is>
          <t>할인율</t>
        </is>
      </c>
      <c r="E9" s="6" t="inlineStr">
        <is>
          <t>최대 할인</t>
        </is>
      </c>
      <c r="F9" s="6" t="inlineStr">
        <is>
          <t>발급</t>
        </is>
      </c>
      <c r="G9" s="6" t="inlineStr">
        <is>
          <t>셀러 분담</t>
        </is>
      </c>
      <c r="H9" s="6" t="inlineStr">
        <is>
          <t>적용</t>
        </is>
      </c>
      <c r="I9" s="6" t="inlineStr">
        <is>
          <t>비고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5" t="n"/>
    </row>
    <row r="10" ht="20" customHeight="1">
      <c r="B10" s="7" t="inlineStr">
        <is>
          <t>B1</t>
        </is>
      </c>
      <c r="C10" s="10" t="n"/>
      <c r="D10" s="8" t="n">
        <v>0.15</v>
      </c>
      <c r="E10" s="10" t="n"/>
      <c r="F10" s="11" t="n"/>
      <c r="G10" s="8" t="n">
        <v>0.5</v>
      </c>
      <c r="H10" s="12" t="inlineStr">
        <is>
          <t>O</t>
        </is>
      </c>
      <c r="I10" s="13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5" t="n"/>
    </row>
    <row r="11" ht="20" customHeight="1">
      <c r="B11" s="7" t="inlineStr">
        <is>
          <t>B1</t>
        </is>
      </c>
      <c r="C11" s="10" t="n"/>
      <c r="D11" s="8" t="n">
        <v>0.2</v>
      </c>
      <c r="E11" s="10" t="n"/>
      <c r="F11" s="11" t="n"/>
      <c r="G11" s="8" t="n">
        <v>0.5</v>
      </c>
      <c r="H11" s="12" t="inlineStr">
        <is>
          <t>X</t>
        </is>
      </c>
      <c r="I11" s="14" t="inlineStr">
        <is>
          <t>진행 원하실 경우 담당매니저와 별도 협의 꼭 해주세요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5" t="n"/>
    </row>
    <row r="12" ht="20" customHeight="1">
      <c r="B12" s="7" t="n"/>
      <c r="C12" s="10" t="n"/>
      <c r="D12" s="8" t="n"/>
      <c r="E12" s="10" t="n"/>
      <c r="F12" s="11" t="n"/>
      <c r="G12" s="8" t="n"/>
      <c r="H12" s="12" t="n"/>
      <c r="I12" s="13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5" t="n"/>
    </row>
    <row r="14">
      <c r="B14" s="9" t="inlineStr">
        <is>
          <t>■ B2 중복쿠폰</t>
        </is>
      </c>
    </row>
    <row r="15">
      <c r="B15" s="6" t="inlineStr">
        <is>
          <t>구분</t>
        </is>
      </c>
      <c r="C15" s="6" t="inlineStr">
        <is>
          <t>최저 구매</t>
        </is>
      </c>
      <c r="D15" s="6" t="inlineStr">
        <is>
          <t>할인율</t>
        </is>
      </c>
      <c r="E15" s="6" t="inlineStr">
        <is>
          <t>최대 할인</t>
        </is>
      </c>
      <c r="F15" s="6" t="inlineStr">
        <is>
          <t>발급</t>
        </is>
      </c>
      <c r="G15" s="6" t="inlineStr">
        <is>
          <t>셀러 분담</t>
        </is>
      </c>
      <c r="H15" s="6" t="inlineStr">
        <is>
          <t>적용</t>
        </is>
      </c>
      <c r="I15" s="6" t="inlineStr">
        <is>
          <t>비고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5" t="n"/>
    </row>
    <row r="16" ht="20" customHeight="1">
      <c r="B16" s="7" t="n"/>
      <c r="C16" s="10" t="n"/>
      <c r="D16" s="8" t="n"/>
      <c r="E16" s="10" t="n"/>
      <c r="F16" s="11" t="n"/>
      <c r="G16" s="8" t="n"/>
      <c r="H16" s="12" t="n"/>
      <c r="I16" s="13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5" t="n"/>
    </row>
    <row r="17" ht="20" customHeight="1">
      <c r="B17" s="7" t="n"/>
      <c r="C17" s="10" t="n"/>
      <c r="D17" s="8" t="n"/>
      <c r="E17" s="10" t="n"/>
      <c r="F17" s="11" t="n"/>
      <c r="G17" s="8" t="n"/>
      <c r="H17" s="12" t="n"/>
      <c r="I17" s="13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5" t="n"/>
    </row>
    <row r="18" ht="20" customHeight="1">
      <c r="B18" s="7" t="n"/>
      <c r="C18" s="10" t="n"/>
      <c r="D18" s="8" t="n"/>
      <c r="E18" s="10" t="n"/>
      <c r="F18" s="11" t="n"/>
      <c r="G18" s="8" t="n"/>
      <c r="H18" s="12" t="n"/>
      <c r="I18" s="13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5" t="n"/>
    </row>
    <row r="19" ht="20" customHeight="1">
      <c r="B19" s="7" t="n"/>
      <c r="C19" s="10" t="n"/>
      <c r="D19" s="8" t="n"/>
      <c r="E19" s="10" t="n"/>
      <c r="F19" s="11" t="n"/>
      <c r="G19" s="8" t="n"/>
      <c r="H19" s="12" t="n"/>
      <c r="I19" s="13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5" t="n"/>
    </row>
    <row r="21">
      <c r="B21" s="9" t="inlineStr">
        <is>
          <t>■ 카드 할인</t>
        </is>
      </c>
    </row>
    <row r="22">
      <c r="B22" s="6" t="inlineStr">
        <is>
          <t>구분</t>
        </is>
      </c>
      <c r="C22" s="6" t="inlineStr">
        <is>
          <t>최저 결제</t>
        </is>
      </c>
      <c r="D22" s="6" t="inlineStr">
        <is>
          <t>할인율</t>
        </is>
      </c>
      <c r="E22" s="6" t="inlineStr">
        <is>
          <t>최대 할인</t>
        </is>
      </c>
      <c r="F22" s="6" t="inlineStr">
        <is>
          <t>당사 분담</t>
        </is>
      </c>
      <c r="G22" s="6" t="inlineStr">
        <is>
          <t>셀러 분담</t>
        </is>
      </c>
      <c r="H22" s="6" t="inlineStr">
        <is>
          <t>카드사 분담</t>
        </is>
      </c>
      <c r="I22" s="6" t="inlineStr">
        <is>
          <t>대상 카드사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5" t="n"/>
    </row>
    <row r="23" ht="20" customHeight="1">
      <c r="B23" s="7" t="n"/>
      <c r="C23" s="10" t="n"/>
      <c r="D23" s="8" t="n"/>
      <c r="E23" s="10" t="n"/>
      <c r="F23" s="8" t="n"/>
      <c r="G23" s="8" t="n"/>
      <c r="H23" s="8" t="n"/>
      <c r="I23" s="13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5" t="n"/>
    </row>
    <row r="24" ht="20" customHeight="1">
      <c r="B24" s="7" t="n"/>
      <c r="C24" s="10" t="n"/>
      <c r="D24" s="8" t="n"/>
      <c r="E24" s="10" t="n"/>
      <c r="F24" s="8" t="n"/>
      <c r="G24" s="8" t="n"/>
      <c r="H24" s="8" t="n"/>
      <c r="I24" s="13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5" t="n"/>
    </row>
    <row r="25" ht="20" customHeight="1">
      <c r="B25" s="7" t="n"/>
      <c r="C25" s="10" t="n"/>
      <c r="D25" s="8" t="n"/>
      <c r="E25" s="10" t="n"/>
      <c r="F25" s="8" t="n"/>
      <c r="G25" s="8" t="n"/>
      <c r="H25" s="8" t="n"/>
      <c r="I25" s="13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5" t="n"/>
    </row>
    <row r="27">
      <c r="I27" s="15" t="inlineStr">
        <is>
          <t>B1 쿠폰</t>
        </is>
      </c>
      <c r="J27" s="4" t="n"/>
      <c r="K27" s="4" t="n"/>
      <c r="L27" s="5" t="n"/>
      <c r="M27" s="15" t="inlineStr">
        <is>
          <t>B2 중복쿠폰</t>
        </is>
      </c>
      <c r="N27" s="4" t="n"/>
      <c r="O27" s="4" t="n"/>
      <c r="P27" s="4" t="n"/>
      <c r="Q27" s="5" t="n"/>
      <c r="R27" s="15" t="inlineStr">
        <is>
          <t>카드 할인</t>
        </is>
      </c>
      <c r="S27" s="4" t="n"/>
      <c r="T27" s="4" t="n"/>
      <c r="U27" s="4" t="n"/>
      <c r="V27" s="5" t="n"/>
      <c r="W27" s="15" t="inlineStr">
        <is>
          <t>정산</t>
        </is>
      </c>
      <c r="X27" s="5" t="n"/>
    </row>
    <row r="28" ht="40" customHeight="1">
      <c r="B28" s="6" t="inlineStr">
        <is>
          <t>사이트</t>
        </is>
      </c>
      <c r="C28" s="6" t="inlineStr">
        <is>
          <t>상품코드</t>
        </is>
      </c>
      <c r="D28" s="6" t="inlineStr">
        <is>
          <t>상품명</t>
        </is>
      </c>
      <c r="E28" s="6" t="inlineStr">
        <is>
          <t>정상 소비자가</t>
        </is>
      </c>
      <c r="F28" s="6" t="inlineStr">
        <is>
          <t>판매자 할인</t>
        </is>
      </c>
      <c r="G28" s="6" t="inlineStr">
        <is>
          <t>판매자 할인
적용가</t>
        </is>
      </c>
      <c r="I28" s="6">
        <f>IF(OR($D$10="",$H$10="X"),"-",$B$10&amp;" "&amp;TEXT($D$10,"0%")&amp;IF($C$10="","",CHAR(10)&amp;TEXT($C$10,"#,##0")&amp;"원↑"))</f>
        <v/>
      </c>
      <c r="J28" s="6">
        <f>IF(OR($D$11="",$H$11="X"),"-",$B$11&amp;" "&amp;TEXT($D$11,"0%")&amp;IF($C$11="","",CHAR(10)&amp;TEXT($C$11,"#,##0")&amp;"원↑"))</f>
        <v/>
      </c>
      <c r="K28" s="6">
        <f>IF(OR($D$12="",$H$12="X"),"-",$B$12&amp;" "&amp;TEXT($D$12,"0%")&amp;IF($C$12="","",CHAR(10)&amp;TEXT($C$12,"#,##0")&amp;"원↑"))</f>
        <v/>
      </c>
      <c r="L28" s="6" t="inlineStr">
        <is>
          <t>B1 적용가</t>
        </is>
      </c>
      <c r="M28" s="6">
        <f>IF(OR($D$16="",$H$16="X"),"-",$B$16&amp;" "&amp;TEXT($D$16,"0%")&amp;IF($C$16="","",CHAR(10)&amp;TEXT($C$16,"#,##0")&amp;"원↑"))</f>
        <v/>
      </c>
      <c r="N28" s="6">
        <f>IF(OR($D$17="",$H$17="X"),"-",$B$17&amp;" "&amp;TEXT($D$17,"0%")&amp;IF($C$17="","",CHAR(10)&amp;TEXT($C$17,"#,##0")&amp;"원↑"))</f>
        <v/>
      </c>
      <c r="O28" s="6">
        <f>IF(OR($D$18="",$H$18="X"),"-",$B$18&amp;" "&amp;TEXT($D$18,"0%")&amp;IF($C$18="","",CHAR(10)&amp;TEXT($C$18,"#,##0")&amp;"원↑"))</f>
        <v/>
      </c>
      <c r="P28" s="6">
        <f>IF(OR($D$19="",$H$19="X"),"-",$B$19&amp;" "&amp;TEXT($D$19,"0%")&amp;IF($C$19="","",CHAR(10)&amp;TEXT($C$19,"#,##0")&amp;"원↑"))</f>
        <v/>
      </c>
      <c r="Q28" s="6" t="inlineStr">
        <is>
          <t>B2 적용가</t>
        </is>
      </c>
      <c r="R28" s="6">
        <f>IF($D$23="","-",$B$23&amp;" "&amp;TEXT($D$23,"0%"))</f>
        <v/>
      </c>
      <c r="S28" s="6">
        <f>IF($D$24="","-",$B$24&amp;" "&amp;TEXT($D$24,"0%"))</f>
        <v/>
      </c>
      <c r="T28" s="6">
        <f>IF($D$25="","-",$B$25&amp;" "&amp;TEXT($D$25,"0%"))</f>
        <v/>
      </c>
      <c r="U28" s="6" t="inlineStr">
        <is>
          <t>최대
카드할인</t>
        </is>
      </c>
      <c r="V28" s="6" t="inlineStr">
        <is>
          <t>최종 혜택가</t>
        </is>
      </c>
      <c r="W28" s="6" t="inlineStr">
        <is>
          <t>셀러 분담
합계</t>
        </is>
      </c>
      <c r="X28" s="6" t="inlineStr">
        <is>
          <t>예상 정산금액</t>
        </is>
      </c>
    </row>
    <row r="29">
      <c r="B29" s="16" t="inlineStr">
        <is>
          <t>G마켓</t>
        </is>
      </c>
      <c r="C29" s="16" t="inlineStr">
        <is>
          <t>예시001</t>
        </is>
      </c>
      <c r="D29" s="17" t="inlineStr">
        <is>
          <t>(예시) 스테인리스 텀블러</t>
        </is>
      </c>
      <c r="E29" s="18" t="n">
        <v>32000</v>
      </c>
      <c r="F29" s="18" t="n">
        <v>2000</v>
      </c>
      <c r="G29" s="19">
        <f>IF(E29="","",E29-N(F29))</f>
        <v/>
      </c>
      <c r="I29" s="20">
        <f>IF(G29="","",IF(OR($D$10="",$H$10="X",G29&lt;N($C$10)),0,IF(B29="G마켓",ROUNDDOWN(MIN(G29*$D$10,IF($E$10="",9E+99,$E$10)),0),ROUNDUP(MIN(G29*$D$10,IF($E$10="",9E+99,$E$10)),0))))</f>
        <v/>
      </c>
      <c r="J29" s="20">
        <f>IF(G29="","",IF(OR($D$11="",$H$11="X",G29&lt;N($C$11)),0,IF(B29="G마켓",ROUNDDOWN(MIN(G29*$D$11,IF($E$11="",9E+99,$E$11)),0),ROUNDUP(MIN(G29*$D$11,IF($E$11="",9E+99,$E$11)),0))))</f>
        <v/>
      </c>
      <c r="K29" s="20">
        <f>IF(G29="","",IF(OR($D$12="",$H$12="X",G29&lt;N($C$12)),0,IF(B29="G마켓",ROUNDDOWN(MIN(G29*$D$12,IF($E$12="",9E+99,$E$12)),0),ROUNDUP(MIN(G29*$D$12,IF($E$12="",9E+99,$E$12)),0))))</f>
        <v/>
      </c>
      <c r="L29" s="19">
        <f>IF(G29="","",G29-MAX(I29:K29))</f>
        <v/>
      </c>
      <c r="M29" s="20">
        <f>IF(L29="","",IF(OR($D$16="",$H$16="X",L29&lt;N($C$16)),0,IF(B29="G마켓",ROUNDDOWN(MIN(L29*$D$16,IF($E$16="",9E+99,$E$16)),0),ROUNDUP(MIN(L29*$D$16,IF($E$16="",9E+99,$E$16)),0))))</f>
        <v/>
      </c>
      <c r="N29" s="20">
        <f>IF(L29="","",IF(OR($D$17="",$H$17="X",L29&lt;N($C$17)),0,IF(B29="G마켓",ROUNDDOWN(MIN(L29*$D$17,IF($E$17="",9E+99,$E$17)),0),ROUNDUP(MIN(L29*$D$17,IF($E$17="",9E+99,$E$17)),0))))</f>
        <v/>
      </c>
      <c r="O29" s="20">
        <f>IF(L29="","",IF(OR($D$18="",$H$18="X",L29&lt;N($C$18)),0,IF(B29="G마켓",ROUNDDOWN(MIN(L29*$D$18,IF($E$18="",9E+99,$E$18)),0),ROUNDUP(MIN(L29*$D$18,IF($E$18="",9E+99,$E$18)),0))))</f>
        <v/>
      </c>
      <c r="P29" s="20">
        <f>IF(L29="","",IF(OR($D$19="",$H$19="X",L29&lt;N($C$19)),0,IF(B29="G마켓",ROUNDDOWN(MIN(L29*$D$19,IF($E$19="",9E+99,$E$19)),0),ROUNDUP(MIN(L29*$D$19,IF($E$19="",9E+99,$E$19)),0))))</f>
        <v/>
      </c>
      <c r="Q29" s="19">
        <f>IF(G29="","",L29-MAX(M29:P29))</f>
        <v/>
      </c>
      <c r="R29" s="20">
        <f>IF(Q29="","",IF(OR($D$23="",Q29&lt;N($C$23)),0,IF(B29="G마켓",ROUNDDOWN(MIN(Q29*$D$23,IF($E$23="",9E+99,$E$23)),0),ROUNDUP(MIN(Q29*$D$23,IF($E$23="",9E+99,$E$23)),0))))</f>
        <v/>
      </c>
      <c r="S29" s="20">
        <f>IF(Q29="","",IF(OR($D$24="",Q29&lt;N($C$24)),0,IF(B29="G마켓",ROUNDDOWN(MIN(Q29*$D$24,IF($E$24="",9E+99,$E$24)),0),ROUNDUP(MIN(Q29*$D$24,IF($E$24="",9E+99,$E$24)),0))))</f>
        <v/>
      </c>
      <c r="T29" s="20">
        <f>IF(Q29="","",IF(OR($D$25="",Q29&lt;N($C$25)),0,IF(B29="G마켓",ROUNDDOWN(MIN(Q29*$D$25,IF($E$25="",9E+99,$E$25)),0),ROUNDUP(MIN(Q29*$D$25,IF($E$25="",9E+99,$E$25)),0))))</f>
        <v/>
      </c>
      <c r="U29" s="19">
        <f>IF(G29="","",MAX(R29:T29))</f>
        <v/>
      </c>
      <c r="V29" s="21">
        <f>IF(G29="","",Q29-U29)</f>
        <v/>
      </c>
      <c r="W29" s="19">
        <f>IF(G29="","",IF(B29="G마켓",ROUNDDOWN(MAX(I29*N($G$10),J29*N($G$11),K29*N($G$12))+MAX(M29*N($G$16),N29*N($G$17),O29*N($G$18),P29*N($G$19))+MAX(R29*N($G$23),S29*N($G$24),T29*N($G$25)),0),ROUNDUP(MAX(I29*N($G$10),J29*N($G$11),K29*N($G$12))+MAX(M29*N($G$16),N29*N($G$17),O29*N($G$18),P29*N($G$19))+MAX(R29*N($G$23),S29*N($G$24),T29*N($G$25)),0)))</f>
        <v/>
      </c>
      <c r="X29" s="21">
        <f>IF(G29="","",IF(B29="G마켓",ROUNDDOWN(G29-G29*$Q$6-W29,0),ROUNDUP(G29-G29*$Q$6-W29,0)))</f>
        <v/>
      </c>
    </row>
    <row r="30">
      <c r="B30" s="16" t="inlineStr">
        <is>
          <t>옥션</t>
        </is>
      </c>
      <c r="C30" s="16" t="inlineStr">
        <is>
          <t>예시002</t>
        </is>
      </c>
      <c r="D30" s="17" t="inlineStr">
        <is>
          <t>(예시) 무선청소기</t>
        </is>
      </c>
      <c r="E30" s="18" t="n">
        <v>299000</v>
      </c>
      <c r="F30" s="18" t="n">
        <v>20000</v>
      </c>
      <c r="G30" s="19">
        <f>IF(E30="","",E30-N(F30))</f>
        <v/>
      </c>
      <c r="I30" s="20">
        <f>IF(G30="","",IF(OR($D$10="",$H$10="X",G30&lt;N($C$10)),0,IF(B30="G마켓",ROUNDDOWN(MIN(G30*$D$10,IF($E$10="",9E+99,$E$10)),0),ROUNDUP(MIN(G30*$D$10,IF($E$10="",9E+99,$E$10)),0))))</f>
        <v/>
      </c>
      <c r="J30" s="20">
        <f>IF(G30="","",IF(OR($D$11="",$H$11="X",G30&lt;N($C$11)),0,IF(B30="G마켓",ROUNDDOWN(MIN(G30*$D$11,IF($E$11="",9E+99,$E$11)),0),ROUNDUP(MIN(G30*$D$11,IF($E$11="",9E+99,$E$11)),0))))</f>
        <v/>
      </c>
      <c r="K30" s="20">
        <f>IF(G30="","",IF(OR($D$12="",$H$12="X",G30&lt;N($C$12)),0,IF(B30="G마켓",ROUNDDOWN(MIN(G30*$D$12,IF($E$12="",9E+99,$E$12)),0),ROUNDUP(MIN(G30*$D$12,IF($E$12="",9E+99,$E$12)),0))))</f>
        <v/>
      </c>
      <c r="L30" s="19">
        <f>IF(G30="","",G30-MAX(I30:K30))</f>
        <v/>
      </c>
      <c r="M30" s="20">
        <f>IF(L30="","",IF(OR($D$16="",$H$16="X",L30&lt;N($C$16)),0,IF(B30="G마켓",ROUNDDOWN(MIN(L30*$D$16,IF($E$16="",9E+99,$E$16)),0),ROUNDUP(MIN(L30*$D$16,IF($E$16="",9E+99,$E$16)),0))))</f>
        <v/>
      </c>
      <c r="N30" s="20">
        <f>IF(L30="","",IF(OR($D$17="",$H$17="X",L30&lt;N($C$17)),0,IF(B30="G마켓",ROUNDDOWN(MIN(L30*$D$17,IF($E$17="",9E+99,$E$17)),0),ROUNDUP(MIN(L30*$D$17,IF($E$17="",9E+99,$E$17)),0))))</f>
        <v/>
      </c>
      <c r="O30" s="20">
        <f>IF(L30="","",IF(OR($D$18="",$H$18="X",L30&lt;N($C$18)),0,IF(B30="G마켓",ROUNDDOWN(MIN(L30*$D$18,IF($E$18="",9E+99,$E$18)),0),ROUNDUP(MIN(L30*$D$18,IF($E$18="",9E+99,$E$18)),0))))</f>
        <v/>
      </c>
      <c r="P30" s="20">
        <f>IF(L30="","",IF(OR($D$19="",$H$19="X",L30&lt;N($C$19)),0,IF(B30="G마켓",ROUNDDOWN(MIN(L30*$D$19,IF($E$19="",9E+99,$E$19)),0),ROUNDUP(MIN(L30*$D$19,IF($E$19="",9E+99,$E$19)),0))))</f>
        <v/>
      </c>
      <c r="Q30" s="19">
        <f>IF(G30="","",L30-MAX(M30:P30))</f>
        <v/>
      </c>
      <c r="R30" s="20">
        <f>IF(Q30="","",IF(OR($D$23="",Q30&lt;N($C$23)),0,IF(B30="G마켓",ROUNDDOWN(MIN(Q30*$D$23,IF($E$23="",9E+99,$E$23)),0),ROUNDUP(MIN(Q30*$D$23,IF($E$23="",9E+99,$E$23)),0))))</f>
        <v/>
      </c>
      <c r="S30" s="20">
        <f>IF(Q30="","",IF(OR($D$24="",Q30&lt;N($C$24)),0,IF(B30="G마켓",ROUNDDOWN(MIN(Q30*$D$24,IF($E$24="",9E+99,$E$24)),0),ROUNDUP(MIN(Q30*$D$24,IF($E$24="",9E+99,$E$24)),0))))</f>
        <v/>
      </c>
      <c r="T30" s="20">
        <f>IF(Q30="","",IF(OR($D$25="",Q30&lt;N($C$25)),0,IF(B30="G마켓",ROUNDDOWN(MIN(Q30*$D$25,IF($E$25="",9E+99,$E$25)),0),ROUNDUP(MIN(Q30*$D$25,IF($E$25="",9E+99,$E$25)),0))))</f>
        <v/>
      </c>
      <c r="U30" s="19">
        <f>IF(G30="","",MAX(R30:T30))</f>
        <v/>
      </c>
      <c r="V30" s="21">
        <f>IF(G30="","",Q30-U30)</f>
        <v/>
      </c>
      <c r="W30" s="19">
        <f>IF(G30="","",IF(B30="G마켓",ROUNDDOWN(MAX(I30*N($G$10),J30*N($G$11),K30*N($G$12))+MAX(M30*N($G$16),N30*N($G$17),O30*N($G$18),P30*N($G$19))+MAX(R30*N($G$23),S30*N($G$24),T30*N($G$25)),0),ROUNDUP(MAX(I30*N($G$10),J30*N($G$11),K30*N($G$12))+MAX(M30*N($G$16),N30*N($G$17),O30*N($G$18),P30*N($G$19))+MAX(R30*N($G$23),S30*N($G$24),T30*N($G$25)),0)))</f>
        <v/>
      </c>
      <c r="X30" s="21">
        <f>IF(G30="","",IF(B30="G마켓",ROUNDDOWN(G30-G30*$Q$6-W30,0),ROUNDUP(G30-G30*$Q$6-W30,0)))</f>
        <v/>
      </c>
    </row>
    <row r="31">
      <c r="B31" s="7" t="n"/>
      <c r="C31" s="7" t="n"/>
      <c r="D31" s="22" t="n"/>
      <c r="E31" s="23" t="n"/>
      <c r="F31" s="23" t="n"/>
      <c r="G31" s="19">
        <f>IF(E31="","",E31-N(F31))</f>
        <v/>
      </c>
      <c r="I31" s="20">
        <f>IF(G31="","",IF(OR($D$10="",$H$10="X",G31&lt;N($C$10)),0,IF(B31="G마켓",ROUNDDOWN(MIN(G31*$D$10,IF($E$10="",9E+99,$E$10)),0),ROUNDUP(MIN(G31*$D$10,IF($E$10="",9E+99,$E$10)),0))))</f>
        <v/>
      </c>
      <c r="J31" s="20">
        <f>IF(G31="","",IF(OR($D$11="",$H$11="X",G31&lt;N($C$11)),0,IF(B31="G마켓",ROUNDDOWN(MIN(G31*$D$11,IF($E$11="",9E+99,$E$11)),0),ROUNDUP(MIN(G31*$D$11,IF($E$11="",9E+99,$E$11)),0))))</f>
        <v/>
      </c>
      <c r="K31" s="20">
        <f>IF(G31="","",IF(OR($D$12="",$H$12="X",G31&lt;N($C$12)),0,IF(B31="G마켓",ROUNDDOWN(MIN(G31*$D$12,IF($E$12="",9E+99,$E$12)),0),ROUNDUP(MIN(G31*$D$12,IF($E$12="",9E+99,$E$12)),0))))</f>
        <v/>
      </c>
      <c r="L31" s="19">
        <f>IF(G31="","",G31-MAX(I31:K31))</f>
        <v/>
      </c>
      <c r="M31" s="20">
        <f>IF(L31="","",IF(OR($D$16="",$H$16="X",L31&lt;N($C$16)),0,IF(B31="G마켓",ROUNDDOWN(MIN(L31*$D$16,IF($E$16="",9E+99,$E$16)),0),ROUNDUP(MIN(L31*$D$16,IF($E$16="",9E+99,$E$16)),0))))</f>
        <v/>
      </c>
      <c r="N31" s="20">
        <f>IF(L31="","",IF(OR($D$17="",$H$17="X",L31&lt;N($C$17)),0,IF(B31="G마켓",ROUNDDOWN(MIN(L31*$D$17,IF($E$17="",9E+99,$E$17)),0),ROUNDUP(MIN(L31*$D$17,IF($E$17="",9E+99,$E$17)),0))))</f>
        <v/>
      </c>
      <c r="O31" s="20">
        <f>IF(L31="","",IF(OR($D$18="",$H$18="X",L31&lt;N($C$18)),0,IF(B31="G마켓",ROUNDDOWN(MIN(L31*$D$18,IF($E$18="",9E+99,$E$18)),0),ROUNDUP(MIN(L31*$D$18,IF($E$18="",9E+99,$E$18)),0))))</f>
        <v/>
      </c>
      <c r="P31" s="20">
        <f>IF(L31="","",IF(OR($D$19="",$H$19="X",L31&lt;N($C$19)),0,IF(B31="G마켓",ROUNDDOWN(MIN(L31*$D$19,IF($E$19="",9E+99,$E$19)),0),ROUNDUP(MIN(L31*$D$19,IF($E$19="",9E+99,$E$19)),0))))</f>
        <v/>
      </c>
      <c r="Q31" s="19">
        <f>IF(G31="","",L31-MAX(M31:P31))</f>
        <v/>
      </c>
      <c r="R31" s="20">
        <f>IF(Q31="","",IF(OR($D$23="",Q31&lt;N($C$23)),0,IF(B31="G마켓",ROUNDDOWN(MIN(Q31*$D$23,IF($E$23="",9E+99,$E$23)),0),ROUNDUP(MIN(Q31*$D$23,IF($E$23="",9E+99,$E$23)),0))))</f>
        <v/>
      </c>
      <c r="S31" s="20">
        <f>IF(Q31="","",IF(OR($D$24="",Q31&lt;N($C$24)),0,IF(B31="G마켓",ROUNDDOWN(MIN(Q31*$D$24,IF($E$24="",9E+99,$E$24)),0),ROUNDUP(MIN(Q31*$D$24,IF($E$24="",9E+99,$E$24)),0))))</f>
        <v/>
      </c>
      <c r="T31" s="20">
        <f>IF(Q31="","",IF(OR($D$25="",Q31&lt;N($C$25)),0,IF(B31="G마켓",ROUNDDOWN(MIN(Q31*$D$25,IF($E$25="",9E+99,$E$25)),0),ROUNDUP(MIN(Q31*$D$25,IF($E$25="",9E+99,$E$25)),0))))</f>
        <v/>
      </c>
      <c r="U31" s="19">
        <f>IF(G31="","",MAX(R31:T31))</f>
        <v/>
      </c>
      <c r="V31" s="21">
        <f>IF(G31="","",Q31-U31)</f>
        <v/>
      </c>
      <c r="W31" s="19">
        <f>IF(G31="","",IF(B31="G마켓",ROUNDDOWN(MAX(I31*N($G$10),J31*N($G$11),K31*N($G$12))+MAX(M31*N($G$16),N31*N($G$17),O31*N($G$18),P31*N($G$19))+MAX(R31*N($G$23),S31*N($G$24),T31*N($G$25)),0),ROUNDUP(MAX(I31*N($G$10),J31*N($G$11),K31*N($G$12))+MAX(M31*N($G$16),N31*N($G$17),O31*N($G$18),P31*N($G$19))+MAX(R31*N($G$23),S31*N($G$24),T31*N($G$25)),0)))</f>
        <v/>
      </c>
      <c r="X31" s="21">
        <f>IF(G31="","",IF(B31="G마켓",ROUNDDOWN(G31-G31*$Q$6-W31,0),ROUNDUP(G31-G31*$Q$6-W31,0)))</f>
        <v/>
      </c>
    </row>
    <row r="32">
      <c r="B32" s="7" t="n"/>
      <c r="C32" s="7" t="n"/>
      <c r="D32" s="22" t="n"/>
      <c r="E32" s="23" t="n"/>
      <c r="F32" s="23" t="n"/>
      <c r="G32" s="19">
        <f>IF(E32="","",E32-N(F32))</f>
        <v/>
      </c>
      <c r="I32" s="20">
        <f>IF(G32="","",IF(OR($D$10="",$H$10="X",G32&lt;N($C$10)),0,IF(B32="G마켓",ROUNDDOWN(MIN(G32*$D$10,IF($E$10="",9E+99,$E$10)),0),ROUNDUP(MIN(G32*$D$10,IF($E$10="",9E+99,$E$10)),0))))</f>
        <v/>
      </c>
      <c r="J32" s="20">
        <f>IF(G32="","",IF(OR($D$11="",$H$11="X",G32&lt;N($C$11)),0,IF(B32="G마켓",ROUNDDOWN(MIN(G32*$D$11,IF($E$11="",9E+99,$E$11)),0),ROUNDUP(MIN(G32*$D$11,IF($E$11="",9E+99,$E$11)),0))))</f>
        <v/>
      </c>
      <c r="K32" s="20">
        <f>IF(G32="","",IF(OR($D$12="",$H$12="X",G32&lt;N($C$12)),0,IF(B32="G마켓",ROUNDDOWN(MIN(G32*$D$12,IF($E$12="",9E+99,$E$12)),0),ROUNDUP(MIN(G32*$D$12,IF($E$12="",9E+99,$E$12)),0))))</f>
        <v/>
      </c>
      <c r="L32" s="19">
        <f>IF(G32="","",G32-MAX(I32:K32))</f>
        <v/>
      </c>
      <c r="M32" s="20">
        <f>IF(L32="","",IF(OR($D$16="",$H$16="X",L32&lt;N($C$16)),0,IF(B32="G마켓",ROUNDDOWN(MIN(L32*$D$16,IF($E$16="",9E+99,$E$16)),0),ROUNDUP(MIN(L32*$D$16,IF($E$16="",9E+99,$E$16)),0))))</f>
        <v/>
      </c>
      <c r="N32" s="20">
        <f>IF(L32="","",IF(OR($D$17="",$H$17="X",L32&lt;N($C$17)),0,IF(B32="G마켓",ROUNDDOWN(MIN(L32*$D$17,IF($E$17="",9E+99,$E$17)),0),ROUNDUP(MIN(L32*$D$17,IF($E$17="",9E+99,$E$17)),0))))</f>
        <v/>
      </c>
      <c r="O32" s="20">
        <f>IF(L32="","",IF(OR($D$18="",$H$18="X",L32&lt;N($C$18)),0,IF(B32="G마켓",ROUNDDOWN(MIN(L32*$D$18,IF($E$18="",9E+99,$E$18)),0),ROUNDUP(MIN(L32*$D$18,IF($E$18="",9E+99,$E$18)),0))))</f>
        <v/>
      </c>
      <c r="P32" s="20">
        <f>IF(L32="","",IF(OR($D$19="",$H$19="X",L32&lt;N($C$19)),0,IF(B32="G마켓",ROUNDDOWN(MIN(L32*$D$19,IF($E$19="",9E+99,$E$19)),0),ROUNDUP(MIN(L32*$D$19,IF($E$19="",9E+99,$E$19)),0))))</f>
        <v/>
      </c>
      <c r="Q32" s="19">
        <f>IF(G32="","",L32-MAX(M32:P32))</f>
        <v/>
      </c>
      <c r="R32" s="20">
        <f>IF(Q32="","",IF(OR($D$23="",Q32&lt;N($C$23)),0,IF(B32="G마켓",ROUNDDOWN(MIN(Q32*$D$23,IF($E$23="",9E+99,$E$23)),0),ROUNDUP(MIN(Q32*$D$23,IF($E$23="",9E+99,$E$23)),0))))</f>
        <v/>
      </c>
      <c r="S32" s="20">
        <f>IF(Q32="","",IF(OR($D$24="",Q32&lt;N($C$24)),0,IF(B32="G마켓",ROUNDDOWN(MIN(Q32*$D$24,IF($E$24="",9E+99,$E$24)),0),ROUNDUP(MIN(Q32*$D$24,IF($E$24="",9E+99,$E$24)),0))))</f>
        <v/>
      </c>
      <c r="T32" s="20">
        <f>IF(Q32="","",IF(OR($D$25="",Q32&lt;N($C$25)),0,IF(B32="G마켓",ROUNDDOWN(MIN(Q32*$D$25,IF($E$25="",9E+99,$E$25)),0),ROUNDUP(MIN(Q32*$D$25,IF($E$25="",9E+99,$E$25)),0))))</f>
        <v/>
      </c>
      <c r="U32" s="19">
        <f>IF(G32="","",MAX(R32:T32))</f>
        <v/>
      </c>
      <c r="V32" s="21">
        <f>IF(G32="","",Q32-U32)</f>
        <v/>
      </c>
      <c r="W32" s="19">
        <f>IF(G32="","",IF(B32="G마켓",ROUNDDOWN(MAX(I32*N($G$10),J32*N($G$11),K32*N($G$12))+MAX(M32*N($G$16),N32*N($G$17),O32*N($G$18),P32*N($G$19))+MAX(R32*N($G$23),S32*N($G$24),T32*N($G$25)),0),ROUNDUP(MAX(I32*N($G$10),J32*N($G$11),K32*N($G$12))+MAX(M32*N($G$16),N32*N($G$17),O32*N($G$18),P32*N($G$19))+MAX(R32*N($G$23),S32*N($G$24),T32*N($G$25)),0)))</f>
        <v/>
      </c>
      <c r="X32" s="21">
        <f>IF(G32="","",IF(B32="G마켓",ROUNDDOWN(G32-G32*$Q$6-W32,0),ROUNDUP(G32-G32*$Q$6-W32,0)))</f>
        <v/>
      </c>
    </row>
    <row r="33">
      <c r="B33" s="7" t="n"/>
      <c r="C33" s="7" t="n"/>
      <c r="D33" s="22" t="n"/>
      <c r="E33" s="23" t="n"/>
      <c r="F33" s="23" t="n"/>
      <c r="G33" s="19">
        <f>IF(E33="","",E33-N(F33))</f>
        <v/>
      </c>
      <c r="I33" s="20">
        <f>IF(G33="","",IF(OR($D$10="",$H$10="X",G33&lt;N($C$10)),0,IF(B33="G마켓",ROUNDDOWN(MIN(G33*$D$10,IF($E$10="",9E+99,$E$10)),0),ROUNDUP(MIN(G33*$D$10,IF($E$10="",9E+99,$E$10)),0))))</f>
        <v/>
      </c>
      <c r="J33" s="20">
        <f>IF(G33="","",IF(OR($D$11="",$H$11="X",G33&lt;N($C$11)),0,IF(B33="G마켓",ROUNDDOWN(MIN(G33*$D$11,IF($E$11="",9E+99,$E$11)),0),ROUNDUP(MIN(G33*$D$11,IF($E$11="",9E+99,$E$11)),0))))</f>
        <v/>
      </c>
      <c r="K33" s="20">
        <f>IF(G33="","",IF(OR($D$12="",$H$12="X",G33&lt;N($C$12)),0,IF(B33="G마켓",ROUNDDOWN(MIN(G33*$D$12,IF($E$12="",9E+99,$E$12)),0),ROUNDUP(MIN(G33*$D$12,IF($E$12="",9E+99,$E$12)),0))))</f>
        <v/>
      </c>
      <c r="L33" s="19">
        <f>IF(G33="","",G33-MAX(I33:K33))</f>
        <v/>
      </c>
      <c r="M33" s="20">
        <f>IF(L33="","",IF(OR($D$16="",$H$16="X",L33&lt;N($C$16)),0,IF(B33="G마켓",ROUNDDOWN(MIN(L33*$D$16,IF($E$16="",9E+99,$E$16)),0),ROUNDUP(MIN(L33*$D$16,IF($E$16="",9E+99,$E$16)),0))))</f>
        <v/>
      </c>
      <c r="N33" s="20">
        <f>IF(L33="","",IF(OR($D$17="",$H$17="X",L33&lt;N($C$17)),0,IF(B33="G마켓",ROUNDDOWN(MIN(L33*$D$17,IF($E$17="",9E+99,$E$17)),0),ROUNDUP(MIN(L33*$D$17,IF($E$17="",9E+99,$E$17)),0))))</f>
        <v/>
      </c>
      <c r="O33" s="20">
        <f>IF(L33="","",IF(OR($D$18="",$H$18="X",L33&lt;N($C$18)),0,IF(B33="G마켓",ROUNDDOWN(MIN(L33*$D$18,IF($E$18="",9E+99,$E$18)),0),ROUNDUP(MIN(L33*$D$18,IF($E$18="",9E+99,$E$18)),0))))</f>
        <v/>
      </c>
      <c r="P33" s="20">
        <f>IF(L33="","",IF(OR($D$19="",$H$19="X",L33&lt;N($C$19)),0,IF(B33="G마켓",ROUNDDOWN(MIN(L33*$D$19,IF($E$19="",9E+99,$E$19)),0),ROUNDUP(MIN(L33*$D$19,IF($E$19="",9E+99,$E$19)),0))))</f>
        <v/>
      </c>
      <c r="Q33" s="19">
        <f>IF(G33="","",L33-MAX(M33:P33))</f>
        <v/>
      </c>
      <c r="R33" s="20">
        <f>IF(Q33="","",IF(OR($D$23="",Q33&lt;N($C$23)),0,IF(B33="G마켓",ROUNDDOWN(MIN(Q33*$D$23,IF($E$23="",9E+99,$E$23)),0),ROUNDUP(MIN(Q33*$D$23,IF($E$23="",9E+99,$E$23)),0))))</f>
        <v/>
      </c>
      <c r="S33" s="20">
        <f>IF(Q33="","",IF(OR($D$24="",Q33&lt;N($C$24)),0,IF(B33="G마켓",ROUNDDOWN(MIN(Q33*$D$24,IF($E$24="",9E+99,$E$24)),0),ROUNDUP(MIN(Q33*$D$24,IF($E$24="",9E+99,$E$24)),0))))</f>
        <v/>
      </c>
      <c r="T33" s="20">
        <f>IF(Q33="","",IF(OR($D$25="",Q33&lt;N($C$25)),0,IF(B33="G마켓",ROUNDDOWN(MIN(Q33*$D$25,IF($E$25="",9E+99,$E$25)),0),ROUNDUP(MIN(Q33*$D$25,IF($E$25="",9E+99,$E$25)),0))))</f>
        <v/>
      </c>
      <c r="U33" s="19">
        <f>IF(G33="","",MAX(R33:T33))</f>
        <v/>
      </c>
      <c r="V33" s="21">
        <f>IF(G33="","",Q33-U33)</f>
        <v/>
      </c>
      <c r="W33" s="19">
        <f>IF(G33="","",IF(B33="G마켓",ROUNDDOWN(MAX(I33*N($G$10),J33*N($G$11),K33*N($G$12))+MAX(M33*N($G$16),N33*N($G$17),O33*N($G$18),P33*N($G$19))+MAX(R33*N($G$23),S33*N($G$24),T33*N($G$25)),0),ROUNDUP(MAX(I33*N($G$10),J33*N($G$11),K33*N($G$12))+MAX(M33*N($G$16),N33*N($G$17),O33*N($G$18),P33*N($G$19))+MAX(R33*N($G$23),S33*N($G$24),T33*N($G$25)),0)))</f>
        <v/>
      </c>
      <c r="X33" s="21">
        <f>IF(G33="","",IF(B33="G마켓",ROUNDDOWN(G33-G33*$Q$6-W33,0),ROUNDUP(G33-G33*$Q$6-W33,0)))</f>
        <v/>
      </c>
    </row>
    <row r="34">
      <c r="B34" s="7" t="n"/>
      <c r="C34" s="7" t="n"/>
      <c r="D34" s="22" t="n"/>
      <c r="E34" s="23" t="n"/>
      <c r="F34" s="23" t="n"/>
      <c r="G34" s="19">
        <f>IF(E34="","",E34-N(F34))</f>
        <v/>
      </c>
      <c r="I34" s="20">
        <f>IF(G34="","",IF(OR($D$10="",$H$10="X",G34&lt;N($C$10)),0,IF(B34="G마켓",ROUNDDOWN(MIN(G34*$D$10,IF($E$10="",9E+99,$E$10)),0),ROUNDUP(MIN(G34*$D$10,IF($E$10="",9E+99,$E$10)),0))))</f>
        <v/>
      </c>
      <c r="J34" s="20">
        <f>IF(G34="","",IF(OR($D$11="",$H$11="X",G34&lt;N($C$11)),0,IF(B34="G마켓",ROUNDDOWN(MIN(G34*$D$11,IF($E$11="",9E+99,$E$11)),0),ROUNDUP(MIN(G34*$D$11,IF($E$11="",9E+99,$E$11)),0))))</f>
        <v/>
      </c>
      <c r="K34" s="20">
        <f>IF(G34="","",IF(OR($D$12="",$H$12="X",G34&lt;N($C$12)),0,IF(B34="G마켓",ROUNDDOWN(MIN(G34*$D$12,IF($E$12="",9E+99,$E$12)),0),ROUNDUP(MIN(G34*$D$12,IF($E$12="",9E+99,$E$12)),0))))</f>
        <v/>
      </c>
      <c r="L34" s="19">
        <f>IF(G34="","",G34-MAX(I34:K34))</f>
        <v/>
      </c>
      <c r="M34" s="20">
        <f>IF(L34="","",IF(OR($D$16="",$H$16="X",L34&lt;N($C$16)),0,IF(B34="G마켓",ROUNDDOWN(MIN(L34*$D$16,IF($E$16="",9E+99,$E$16)),0),ROUNDUP(MIN(L34*$D$16,IF($E$16="",9E+99,$E$16)),0))))</f>
        <v/>
      </c>
      <c r="N34" s="20">
        <f>IF(L34="","",IF(OR($D$17="",$H$17="X",L34&lt;N($C$17)),0,IF(B34="G마켓",ROUNDDOWN(MIN(L34*$D$17,IF($E$17="",9E+99,$E$17)),0),ROUNDUP(MIN(L34*$D$17,IF($E$17="",9E+99,$E$17)),0))))</f>
        <v/>
      </c>
      <c r="O34" s="20">
        <f>IF(L34="","",IF(OR($D$18="",$H$18="X",L34&lt;N($C$18)),0,IF(B34="G마켓",ROUNDDOWN(MIN(L34*$D$18,IF($E$18="",9E+99,$E$18)),0),ROUNDUP(MIN(L34*$D$18,IF($E$18="",9E+99,$E$18)),0))))</f>
        <v/>
      </c>
      <c r="P34" s="20">
        <f>IF(L34="","",IF(OR($D$19="",$H$19="X",L34&lt;N($C$19)),0,IF(B34="G마켓",ROUNDDOWN(MIN(L34*$D$19,IF($E$19="",9E+99,$E$19)),0),ROUNDUP(MIN(L34*$D$19,IF($E$19="",9E+99,$E$19)),0))))</f>
        <v/>
      </c>
      <c r="Q34" s="19">
        <f>IF(G34="","",L34-MAX(M34:P34))</f>
        <v/>
      </c>
      <c r="R34" s="20">
        <f>IF(Q34="","",IF(OR($D$23="",Q34&lt;N($C$23)),0,IF(B34="G마켓",ROUNDDOWN(MIN(Q34*$D$23,IF($E$23="",9E+99,$E$23)),0),ROUNDUP(MIN(Q34*$D$23,IF($E$23="",9E+99,$E$23)),0))))</f>
        <v/>
      </c>
      <c r="S34" s="20">
        <f>IF(Q34="","",IF(OR($D$24="",Q34&lt;N($C$24)),0,IF(B34="G마켓",ROUNDDOWN(MIN(Q34*$D$24,IF($E$24="",9E+99,$E$24)),0),ROUNDUP(MIN(Q34*$D$24,IF($E$24="",9E+99,$E$24)),0))))</f>
        <v/>
      </c>
      <c r="T34" s="20">
        <f>IF(Q34="","",IF(OR($D$25="",Q34&lt;N($C$25)),0,IF(B34="G마켓",ROUNDDOWN(MIN(Q34*$D$25,IF($E$25="",9E+99,$E$25)),0),ROUNDUP(MIN(Q34*$D$25,IF($E$25="",9E+99,$E$25)),0))))</f>
        <v/>
      </c>
      <c r="U34" s="19">
        <f>IF(G34="","",MAX(R34:T34))</f>
        <v/>
      </c>
      <c r="V34" s="21">
        <f>IF(G34="","",Q34-U34)</f>
        <v/>
      </c>
      <c r="W34" s="19">
        <f>IF(G34="","",IF(B34="G마켓",ROUNDDOWN(MAX(I34*N($G$10),J34*N($G$11),K34*N($G$12))+MAX(M34*N($G$16),N34*N($G$17),O34*N($G$18),P34*N($G$19))+MAX(R34*N($G$23),S34*N($G$24),T34*N($G$25)),0),ROUNDUP(MAX(I34*N($G$10),J34*N($G$11),K34*N($G$12))+MAX(M34*N($G$16),N34*N($G$17),O34*N($G$18),P34*N($G$19))+MAX(R34*N($G$23),S34*N($G$24),T34*N($G$25)),0)))</f>
        <v/>
      </c>
      <c r="X34" s="21">
        <f>IF(G34="","",IF(B34="G마켓",ROUNDDOWN(G34-G34*$Q$6-W34,0),ROUNDUP(G34-G34*$Q$6-W34,0)))</f>
        <v/>
      </c>
    </row>
    <row r="35">
      <c r="B35" s="7" t="n"/>
      <c r="C35" s="7" t="n"/>
      <c r="D35" s="22" t="n"/>
      <c r="E35" s="23" t="n"/>
      <c r="F35" s="23" t="n"/>
      <c r="G35" s="19">
        <f>IF(E35="","",E35-N(F35))</f>
        <v/>
      </c>
      <c r="I35" s="20">
        <f>IF(G35="","",IF(OR($D$10="",$H$10="X",G35&lt;N($C$10)),0,IF(B35="G마켓",ROUNDDOWN(MIN(G35*$D$10,IF($E$10="",9E+99,$E$10)),0),ROUNDUP(MIN(G35*$D$10,IF($E$10="",9E+99,$E$10)),0))))</f>
        <v/>
      </c>
      <c r="J35" s="20">
        <f>IF(G35="","",IF(OR($D$11="",$H$11="X",G35&lt;N($C$11)),0,IF(B35="G마켓",ROUNDDOWN(MIN(G35*$D$11,IF($E$11="",9E+99,$E$11)),0),ROUNDUP(MIN(G35*$D$11,IF($E$11="",9E+99,$E$11)),0))))</f>
        <v/>
      </c>
      <c r="K35" s="20">
        <f>IF(G35="","",IF(OR($D$12="",$H$12="X",G35&lt;N($C$12)),0,IF(B35="G마켓",ROUNDDOWN(MIN(G35*$D$12,IF($E$12="",9E+99,$E$12)),0),ROUNDUP(MIN(G35*$D$12,IF($E$12="",9E+99,$E$12)),0))))</f>
        <v/>
      </c>
      <c r="L35" s="19">
        <f>IF(G35="","",G35-MAX(I35:K35))</f>
        <v/>
      </c>
      <c r="M35" s="20">
        <f>IF(L35="","",IF(OR($D$16="",$H$16="X",L35&lt;N($C$16)),0,IF(B35="G마켓",ROUNDDOWN(MIN(L35*$D$16,IF($E$16="",9E+99,$E$16)),0),ROUNDUP(MIN(L35*$D$16,IF($E$16="",9E+99,$E$16)),0))))</f>
        <v/>
      </c>
      <c r="N35" s="20">
        <f>IF(L35="","",IF(OR($D$17="",$H$17="X",L35&lt;N($C$17)),0,IF(B35="G마켓",ROUNDDOWN(MIN(L35*$D$17,IF($E$17="",9E+99,$E$17)),0),ROUNDUP(MIN(L35*$D$17,IF($E$17="",9E+99,$E$17)),0))))</f>
        <v/>
      </c>
      <c r="O35" s="20">
        <f>IF(L35="","",IF(OR($D$18="",$H$18="X",L35&lt;N($C$18)),0,IF(B35="G마켓",ROUNDDOWN(MIN(L35*$D$18,IF($E$18="",9E+99,$E$18)),0),ROUNDUP(MIN(L35*$D$18,IF($E$18="",9E+99,$E$18)),0))))</f>
        <v/>
      </c>
      <c r="P35" s="20">
        <f>IF(L35="","",IF(OR($D$19="",$H$19="X",L35&lt;N($C$19)),0,IF(B35="G마켓",ROUNDDOWN(MIN(L35*$D$19,IF($E$19="",9E+99,$E$19)),0),ROUNDUP(MIN(L35*$D$19,IF($E$19="",9E+99,$E$19)),0))))</f>
        <v/>
      </c>
      <c r="Q35" s="19">
        <f>IF(G35="","",L35-MAX(M35:P35))</f>
        <v/>
      </c>
      <c r="R35" s="20">
        <f>IF(Q35="","",IF(OR($D$23="",Q35&lt;N($C$23)),0,IF(B35="G마켓",ROUNDDOWN(MIN(Q35*$D$23,IF($E$23="",9E+99,$E$23)),0),ROUNDUP(MIN(Q35*$D$23,IF($E$23="",9E+99,$E$23)),0))))</f>
        <v/>
      </c>
      <c r="S35" s="20">
        <f>IF(Q35="","",IF(OR($D$24="",Q35&lt;N($C$24)),0,IF(B35="G마켓",ROUNDDOWN(MIN(Q35*$D$24,IF($E$24="",9E+99,$E$24)),0),ROUNDUP(MIN(Q35*$D$24,IF($E$24="",9E+99,$E$24)),0))))</f>
        <v/>
      </c>
      <c r="T35" s="20">
        <f>IF(Q35="","",IF(OR($D$25="",Q35&lt;N($C$25)),0,IF(B35="G마켓",ROUNDDOWN(MIN(Q35*$D$25,IF($E$25="",9E+99,$E$25)),0),ROUNDUP(MIN(Q35*$D$25,IF($E$25="",9E+99,$E$25)),0))))</f>
        <v/>
      </c>
      <c r="U35" s="19">
        <f>IF(G35="","",MAX(R35:T35))</f>
        <v/>
      </c>
      <c r="V35" s="21">
        <f>IF(G35="","",Q35-U35)</f>
        <v/>
      </c>
      <c r="W35" s="19">
        <f>IF(G35="","",IF(B35="G마켓",ROUNDDOWN(MAX(I35*N($G$10),J35*N($G$11),K35*N($G$12))+MAX(M35*N($G$16),N35*N($G$17),O35*N($G$18),P35*N($G$19))+MAX(R35*N($G$23),S35*N($G$24),T35*N($G$25)),0),ROUNDUP(MAX(I35*N($G$10),J35*N($G$11),K35*N($G$12))+MAX(M35*N($G$16),N35*N($G$17),O35*N($G$18),P35*N($G$19))+MAX(R35*N($G$23),S35*N($G$24),T35*N($G$25)),0)))</f>
        <v/>
      </c>
      <c r="X35" s="21">
        <f>IF(G35="","",IF(B35="G마켓",ROUNDDOWN(G35-G35*$Q$6-W35,0),ROUNDUP(G35-G35*$Q$6-W35,0)))</f>
        <v/>
      </c>
    </row>
    <row r="36">
      <c r="B36" s="7" t="n"/>
      <c r="C36" s="7" t="n"/>
      <c r="D36" s="22" t="n"/>
      <c r="E36" s="23" t="n"/>
      <c r="F36" s="23" t="n"/>
      <c r="G36" s="19">
        <f>IF(E36="","",E36-N(F36))</f>
        <v/>
      </c>
      <c r="I36" s="20">
        <f>IF(G36="","",IF(OR($D$10="",$H$10="X",G36&lt;N($C$10)),0,IF(B36="G마켓",ROUNDDOWN(MIN(G36*$D$10,IF($E$10="",9E+99,$E$10)),0),ROUNDUP(MIN(G36*$D$10,IF($E$10="",9E+99,$E$10)),0))))</f>
        <v/>
      </c>
      <c r="J36" s="20">
        <f>IF(G36="","",IF(OR($D$11="",$H$11="X",G36&lt;N($C$11)),0,IF(B36="G마켓",ROUNDDOWN(MIN(G36*$D$11,IF($E$11="",9E+99,$E$11)),0),ROUNDUP(MIN(G36*$D$11,IF($E$11="",9E+99,$E$11)),0))))</f>
        <v/>
      </c>
      <c r="K36" s="20">
        <f>IF(G36="","",IF(OR($D$12="",$H$12="X",G36&lt;N($C$12)),0,IF(B36="G마켓",ROUNDDOWN(MIN(G36*$D$12,IF($E$12="",9E+99,$E$12)),0),ROUNDUP(MIN(G36*$D$12,IF($E$12="",9E+99,$E$12)),0))))</f>
        <v/>
      </c>
      <c r="L36" s="19">
        <f>IF(G36="","",G36-MAX(I36:K36))</f>
        <v/>
      </c>
      <c r="M36" s="20">
        <f>IF(L36="","",IF(OR($D$16="",$H$16="X",L36&lt;N($C$16)),0,IF(B36="G마켓",ROUNDDOWN(MIN(L36*$D$16,IF($E$16="",9E+99,$E$16)),0),ROUNDUP(MIN(L36*$D$16,IF($E$16="",9E+99,$E$16)),0))))</f>
        <v/>
      </c>
      <c r="N36" s="20">
        <f>IF(L36="","",IF(OR($D$17="",$H$17="X",L36&lt;N($C$17)),0,IF(B36="G마켓",ROUNDDOWN(MIN(L36*$D$17,IF($E$17="",9E+99,$E$17)),0),ROUNDUP(MIN(L36*$D$17,IF($E$17="",9E+99,$E$17)),0))))</f>
        <v/>
      </c>
      <c r="O36" s="20">
        <f>IF(L36="","",IF(OR($D$18="",$H$18="X",L36&lt;N($C$18)),0,IF(B36="G마켓",ROUNDDOWN(MIN(L36*$D$18,IF($E$18="",9E+99,$E$18)),0),ROUNDUP(MIN(L36*$D$18,IF($E$18="",9E+99,$E$18)),0))))</f>
        <v/>
      </c>
      <c r="P36" s="20">
        <f>IF(L36="","",IF(OR($D$19="",$H$19="X",L36&lt;N($C$19)),0,IF(B36="G마켓",ROUNDDOWN(MIN(L36*$D$19,IF($E$19="",9E+99,$E$19)),0),ROUNDUP(MIN(L36*$D$19,IF($E$19="",9E+99,$E$19)),0))))</f>
        <v/>
      </c>
      <c r="Q36" s="19">
        <f>IF(G36="","",L36-MAX(M36:P36))</f>
        <v/>
      </c>
      <c r="R36" s="20">
        <f>IF(Q36="","",IF(OR($D$23="",Q36&lt;N($C$23)),0,IF(B36="G마켓",ROUNDDOWN(MIN(Q36*$D$23,IF($E$23="",9E+99,$E$23)),0),ROUNDUP(MIN(Q36*$D$23,IF($E$23="",9E+99,$E$23)),0))))</f>
        <v/>
      </c>
      <c r="S36" s="20">
        <f>IF(Q36="","",IF(OR($D$24="",Q36&lt;N($C$24)),0,IF(B36="G마켓",ROUNDDOWN(MIN(Q36*$D$24,IF($E$24="",9E+99,$E$24)),0),ROUNDUP(MIN(Q36*$D$24,IF($E$24="",9E+99,$E$24)),0))))</f>
        <v/>
      </c>
      <c r="T36" s="20">
        <f>IF(Q36="","",IF(OR($D$25="",Q36&lt;N($C$25)),0,IF(B36="G마켓",ROUNDDOWN(MIN(Q36*$D$25,IF($E$25="",9E+99,$E$25)),0),ROUNDUP(MIN(Q36*$D$25,IF($E$25="",9E+99,$E$25)),0))))</f>
        <v/>
      </c>
      <c r="U36" s="19">
        <f>IF(G36="","",MAX(R36:T36))</f>
        <v/>
      </c>
      <c r="V36" s="21">
        <f>IF(G36="","",Q36-U36)</f>
        <v/>
      </c>
      <c r="W36" s="19">
        <f>IF(G36="","",IF(B36="G마켓",ROUNDDOWN(MAX(I36*N($G$10),J36*N($G$11),K36*N($G$12))+MAX(M36*N($G$16),N36*N($G$17),O36*N($G$18),P36*N($G$19))+MAX(R36*N($G$23),S36*N($G$24),T36*N($G$25)),0),ROUNDUP(MAX(I36*N($G$10),J36*N($G$11),K36*N($G$12))+MAX(M36*N($G$16),N36*N($G$17),O36*N($G$18),P36*N($G$19))+MAX(R36*N($G$23),S36*N($G$24),T36*N($G$25)),0)))</f>
        <v/>
      </c>
      <c r="X36" s="21">
        <f>IF(G36="","",IF(B36="G마켓",ROUNDDOWN(G36-G36*$Q$6-W36,0),ROUNDUP(G36-G36*$Q$6-W36,0)))</f>
        <v/>
      </c>
    </row>
    <row r="37">
      <c r="B37" s="7" t="n"/>
      <c r="C37" s="7" t="n"/>
      <c r="D37" s="22" t="n"/>
      <c r="E37" s="23" t="n"/>
      <c r="F37" s="23" t="n"/>
      <c r="G37" s="19">
        <f>IF(E37="","",E37-N(F37))</f>
        <v/>
      </c>
      <c r="I37" s="20">
        <f>IF(G37="","",IF(OR($D$10="",$H$10="X",G37&lt;N($C$10)),0,IF(B37="G마켓",ROUNDDOWN(MIN(G37*$D$10,IF($E$10="",9E+99,$E$10)),0),ROUNDUP(MIN(G37*$D$10,IF($E$10="",9E+99,$E$10)),0))))</f>
        <v/>
      </c>
      <c r="J37" s="20">
        <f>IF(G37="","",IF(OR($D$11="",$H$11="X",G37&lt;N($C$11)),0,IF(B37="G마켓",ROUNDDOWN(MIN(G37*$D$11,IF($E$11="",9E+99,$E$11)),0),ROUNDUP(MIN(G37*$D$11,IF($E$11="",9E+99,$E$11)),0))))</f>
        <v/>
      </c>
      <c r="K37" s="20">
        <f>IF(G37="","",IF(OR($D$12="",$H$12="X",G37&lt;N($C$12)),0,IF(B37="G마켓",ROUNDDOWN(MIN(G37*$D$12,IF($E$12="",9E+99,$E$12)),0),ROUNDUP(MIN(G37*$D$12,IF($E$12="",9E+99,$E$12)),0))))</f>
        <v/>
      </c>
      <c r="L37" s="19">
        <f>IF(G37="","",G37-MAX(I37:K37))</f>
        <v/>
      </c>
      <c r="M37" s="20">
        <f>IF(L37="","",IF(OR($D$16="",$H$16="X",L37&lt;N($C$16)),0,IF(B37="G마켓",ROUNDDOWN(MIN(L37*$D$16,IF($E$16="",9E+99,$E$16)),0),ROUNDUP(MIN(L37*$D$16,IF($E$16="",9E+99,$E$16)),0))))</f>
        <v/>
      </c>
      <c r="N37" s="20">
        <f>IF(L37="","",IF(OR($D$17="",$H$17="X",L37&lt;N($C$17)),0,IF(B37="G마켓",ROUNDDOWN(MIN(L37*$D$17,IF($E$17="",9E+99,$E$17)),0),ROUNDUP(MIN(L37*$D$17,IF($E$17="",9E+99,$E$17)),0))))</f>
        <v/>
      </c>
      <c r="O37" s="20">
        <f>IF(L37="","",IF(OR($D$18="",$H$18="X",L37&lt;N($C$18)),0,IF(B37="G마켓",ROUNDDOWN(MIN(L37*$D$18,IF($E$18="",9E+99,$E$18)),0),ROUNDUP(MIN(L37*$D$18,IF($E$18="",9E+99,$E$18)),0))))</f>
        <v/>
      </c>
      <c r="P37" s="20">
        <f>IF(L37="","",IF(OR($D$19="",$H$19="X",L37&lt;N($C$19)),0,IF(B37="G마켓",ROUNDDOWN(MIN(L37*$D$19,IF($E$19="",9E+99,$E$19)),0),ROUNDUP(MIN(L37*$D$19,IF($E$19="",9E+99,$E$19)),0))))</f>
        <v/>
      </c>
      <c r="Q37" s="19">
        <f>IF(G37="","",L37-MAX(M37:P37))</f>
        <v/>
      </c>
      <c r="R37" s="20">
        <f>IF(Q37="","",IF(OR($D$23="",Q37&lt;N($C$23)),0,IF(B37="G마켓",ROUNDDOWN(MIN(Q37*$D$23,IF($E$23="",9E+99,$E$23)),0),ROUNDUP(MIN(Q37*$D$23,IF($E$23="",9E+99,$E$23)),0))))</f>
        <v/>
      </c>
      <c r="S37" s="20">
        <f>IF(Q37="","",IF(OR($D$24="",Q37&lt;N($C$24)),0,IF(B37="G마켓",ROUNDDOWN(MIN(Q37*$D$24,IF($E$24="",9E+99,$E$24)),0),ROUNDUP(MIN(Q37*$D$24,IF($E$24="",9E+99,$E$24)),0))))</f>
        <v/>
      </c>
      <c r="T37" s="20">
        <f>IF(Q37="","",IF(OR($D$25="",Q37&lt;N($C$25)),0,IF(B37="G마켓",ROUNDDOWN(MIN(Q37*$D$25,IF($E$25="",9E+99,$E$25)),0),ROUNDUP(MIN(Q37*$D$25,IF($E$25="",9E+99,$E$25)),0))))</f>
        <v/>
      </c>
      <c r="U37" s="19">
        <f>IF(G37="","",MAX(R37:T37))</f>
        <v/>
      </c>
      <c r="V37" s="21">
        <f>IF(G37="","",Q37-U37)</f>
        <v/>
      </c>
      <c r="W37" s="19">
        <f>IF(G37="","",IF(B37="G마켓",ROUNDDOWN(MAX(I37*N($G$10),J37*N($G$11),K37*N($G$12))+MAX(M37*N($G$16),N37*N($G$17),O37*N($G$18),P37*N($G$19))+MAX(R37*N($G$23),S37*N($G$24),T37*N($G$25)),0),ROUNDUP(MAX(I37*N($G$10),J37*N($G$11),K37*N($G$12))+MAX(M37*N($G$16),N37*N($G$17),O37*N($G$18),P37*N($G$19))+MAX(R37*N($G$23),S37*N($G$24),T37*N($G$25)),0)))</f>
        <v/>
      </c>
      <c r="X37" s="21">
        <f>IF(G37="","",IF(B37="G마켓",ROUNDDOWN(G37-G37*$Q$6-W37,0),ROUNDUP(G37-G37*$Q$6-W37,0)))</f>
        <v/>
      </c>
    </row>
    <row r="38">
      <c r="B38" s="7" t="n"/>
      <c r="C38" s="7" t="n"/>
      <c r="D38" s="22" t="n"/>
      <c r="E38" s="23" t="n"/>
      <c r="F38" s="23" t="n"/>
      <c r="G38" s="19">
        <f>IF(E38="","",E38-N(F38))</f>
        <v/>
      </c>
      <c r="I38" s="20">
        <f>IF(G38="","",IF(OR($D$10="",$H$10="X",G38&lt;N($C$10)),0,IF(B38="G마켓",ROUNDDOWN(MIN(G38*$D$10,IF($E$10="",9E+99,$E$10)),0),ROUNDUP(MIN(G38*$D$10,IF($E$10="",9E+99,$E$10)),0))))</f>
        <v/>
      </c>
      <c r="J38" s="20">
        <f>IF(G38="","",IF(OR($D$11="",$H$11="X",G38&lt;N($C$11)),0,IF(B38="G마켓",ROUNDDOWN(MIN(G38*$D$11,IF($E$11="",9E+99,$E$11)),0),ROUNDUP(MIN(G38*$D$11,IF($E$11="",9E+99,$E$11)),0))))</f>
        <v/>
      </c>
      <c r="K38" s="20">
        <f>IF(G38="","",IF(OR($D$12="",$H$12="X",G38&lt;N($C$12)),0,IF(B38="G마켓",ROUNDDOWN(MIN(G38*$D$12,IF($E$12="",9E+99,$E$12)),0),ROUNDUP(MIN(G38*$D$12,IF($E$12="",9E+99,$E$12)),0))))</f>
        <v/>
      </c>
      <c r="L38" s="19">
        <f>IF(G38="","",G38-MAX(I38:K38))</f>
        <v/>
      </c>
      <c r="M38" s="20">
        <f>IF(L38="","",IF(OR($D$16="",$H$16="X",L38&lt;N($C$16)),0,IF(B38="G마켓",ROUNDDOWN(MIN(L38*$D$16,IF($E$16="",9E+99,$E$16)),0),ROUNDUP(MIN(L38*$D$16,IF($E$16="",9E+99,$E$16)),0))))</f>
        <v/>
      </c>
      <c r="N38" s="20">
        <f>IF(L38="","",IF(OR($D$17="",$H$17="X",L38&lt;N($C$17)),0,IF(B38="G마켓",ROUNDDOWN(MIN(L38*$D$17,IF($E$17="",9E+99,$E$17)),0),ROUNDUP(MIN(L38*$D$17,IF($E$17="",9E+99,$E$17)),0))))</f>
        <v/>
      </c>
      <c r="O38" s="20">
        <f>IF(L38="","",IF(OR($D$18="",$H$18="X",L38&lt;N($C$18)),0,IF(B38="G마켓",ROUNDDOWN(MIN(L38*$D$18,IF($E$18="",9E+99,$E$18)),0),ROUNDUP(MIN(L38*$D$18,IF($E$18="",9E+99,$E$18)),0))))</f>
        <v/>
      </c>
      <c r="P38" s="20">
        <f>IF(L38="","",IF(OR($D$19="",$H$19="X",L38&lt;N($C$19)),0,IF(B38="G마켓",ROUNDDOWN(MIN(L38*$D$19,IF($E$19="",9E+99,$E$19)),0),ROUNDUP(MIN(L38*$D$19,IF($E$19="",9E+99,$E$19)),0))))</f>
        <v/>
      </c>
      <c r="Q38" s="19">
        <f>IF(G38="","",L38-MAX(M38:P38))</f>
        <v/>
      </c>
      <c r="R38" s="20">
        <f>IF(Q38="","",IF(OR($D$23="",Q38&lt;N($C$23)),0,IF(B38="G마켓",ROUNDDOWN(MIN(Q38*$D$23,IF($E$23="",9E+99,$E$23)),0),ROUNDUP(MIN(Q38*$D$23,IF($E$23="",9E+99,$E$23)),0))))</f>
        <v/>
      </c>
      <c r="S38" s="20">
        <f>IF(Q38="","",IF(OR($D$24="",Q38&lt;N($C$24)),0,IF(B38="G마켓",ROUNDDOWN(MIN(Q38*$D$24,IF($E$24="",9E+99,$E$24)),0),ROUNDUP(MIN(Q38*$D$24,IF($E$24="",9E+99,$E$24)),0))))</f>
        <v/>
      </c>
      <c r="T38" s="20">
        <f>IF(Q38="","",IF(OR($D$25="",Q38&lt;N($C$25)),0,IF(B38="G마켓",ROUNDDOWN(MIN(Q38*$D$25,IF($E$25="",9E+99,$E$25)),0),ROUNDUP(MIN(Q38*$D$25,IF($E$25="",9E+99,$E$25)),0))))</f>
        <v/>
      </c>
      <c r="U38" s="19">
        <f>IF(G38="","",MAX(R38:T38))</f>
        <v/>
      </c>
      <c r="V38" s="21">
        <f>IF(G38="","",Q38-U38)</f>
        <v/>
      </c>
      <c r="W38" s="19">
        <f>IF(G38="","",IF(B38="G마켓",ROUNDDOWN(MAX(I38*N($G$10),J38*N($G$11),K38*N($G$12))+MAX(M38*N($G$16),N38*N($G$17),O38*N($G$18),P38*N($G$19))+MAX(R38*N($G$23),S38*N($G$24),T38*N($G$25)),0),ROUNDUP(MAX(I38*N($G$10),J38*N($G$11),K38*N($G$12))+MAX(M38*N($G$16),N38*N($G$17),O38*N($G$18),P38*N($G$19))+MAX(R38*N($G$23),S38*N($G$24),T38*N($G$25)),0)))</f>
        <v/>
      </c>
      <c r="X38" s="21">
        <f>IF(G38="","",IF(B38="G마켓",ROUNDDOWN(G38-G38*$Q$6-W38,0),ROUNDUP(G38-G38*$Q$6-W38,0)))</f>
        <v/>
      </c>
    </row>
    <row r="39">
      <c r="B39" s="7" t="n"/>
      <c r="C39" s="7" t="n"/>
      <c r="D39" s="22" t="n"/>
      <c r="E39" s="23" t="n"/>
      <c r="F39" s="23" t="n"/>
      <c r="G39" s="19">
        <f>IF(E39="","",E39-N(F39))</f>
        <v/>
      </c>
      <c r="I39" s="20">
        <f>IF(G39="","",IF(OR($D$10="",$H$10="X",G39&lt;N($C$10)),0,IF(B39="G마켓",ROUNDDOWN(MIN(G39*$D$10,IF($E$10="",9E+99,$E$10)),0),ROUNDUP(MIN(G39*$D$10,IF($E$10="",9E+99,$E$10)),0))))</f>
        <v/>
      </c>
      <c r="J39" s="20">
        <f>IF(G39="","",IF(OR($D$11="",$H$11="X",G39&lt;N($C$11)),0,IF(B39="G마켓",ROUNDDOWN(MIN(G39*$D$11,IF($E$11="",9E+99,$E$11)),0),ROUNDUP(MIN(G39*$D$11,IF($E$11="",9E+99,$E$11)),0))))</f>
        <v/>
      </c>
      <c r="K39" s="20">
        <f>IF(G39="","",IF(OR($D$12="",$H$12="X",G39&lt;N($C$12)),0,IF(B39="G마켓",ROUNDDOWN(MIN(G39*$D$12,IF($E$12="",9E+99,$E$12)),0),ROUNDUP(MIN(G39*$D$12,IF($E$12="",9E+99,$E$12)),0))))</f>
        <v/>
      </c>
      <c r="L39" s="19">
        <f>IF(G39="","",G39-MAX(I39:K39))</f>
        <v/>
      </c>
      <c r="M39" s="20">
        <f>IF(L39="","",IF(OR($D$16="",$H$16="X",L39&lt;N($C$16)),0,IF(B39="G마켓",ROUNDDOWN(MIN(L39*$D$16,IF($E$16="",9E+99,$E$16)),0),ROUNDUP(MIN(L39*$D$16,IF($E$16="",9E+99,$E$16)),0))))</f>
        <v/>
      </c>
      <c r="N39" s="20">
        <f>IF(L39="","",IF(OR($D$17="",$H$17="X",L39&lt;N($C$17)),0,IF(B39="G마켓",ROUNDDOWN(MIN(L39*$D$17,IF($E$17="",9E+99,$E$17)),0),ROUNDUP(MIN(L39*$D$17,IF($E$17="",9E+99,$E$17)),0))))</f>
        <v/>
      </c>
      <c r="O39" s="20">
        <f>IF(L39="","",IF(OR($D$18="",$H$18="X",L39&lt;N($C$18)),0,IF(B39="G마켓",ROUNDDOWN(MIN(L39*$D$18,IF($E$18="",9E+99,$E$18)),0),ROUNDUP(MIN(L39*$D$18,IF($E$18="",9E+99,$E$18)),0))))</f>
        <v/>
      </c>
      <c r="P39" s="20">
        <f>IF(L39="","",IF(OR($D$19="",$H$19="X",L39&lt;N($C$19)),0,IF(B39="G마켓",ROUNDDOWN(MIN(L39*$D$19,IF($E$19="",9E+99,$E$19)),0),ROUNDUP(MIN(L39*$D$19,IF($E$19="",9E+99,$E$19)),0))))</f>
        <v/>
      </c>
      <c r="Q39" s="19">
        <f>IF(G39="","",L39-MAX(M39:P39))</f>
        <v/>
      </c>
      <c r="R39" s="20">
        <f>IF(Q39="","",IF(OR($D$23="",Q39&lt;N($C$23)),0,IF(B39="G마켓",ROUNDDOWN(MIN(Q39*$D$23,IF($E$23="",9E+99,$E$23)),0),ROUNDUP(MIN(Q39*$D$23,IF($E$23="",9E+99,$E$23)),0))))</f>
        <v/>
      </c>
      <c r="S39" s="20">
        <f>IF(Q39="","",IF(OR($D$24="",Q39&lt;N($C$24)),0,IF(B39="G마켓",ROUNDDOWN(MIN(Q39*$D$24,IF($E$24="",9E+99,$E$24)),0),ROUNDUP(MIN(Q39*$D$24,IF($E$24="",9E+99,$E$24)),0))))</f>
        <v/>
      </c>
      <c r="T39" s="20">
        <f>IF(Q39="","",IF(OR($D$25="",Q39&lt;N($C$25)),0,IF(B39="G마켓",ROUNDDOWN(MIN(Q39*$D$25,IF($E$25="",9E+99,$E$25)),0),ROUNDUP(MIN(Q39*$D$25,IF($E$25="",9E+99,$E$25)),0))))</f>
        <v/>
      </c>
      <c r="U39" s="19">
        <f>IF(G39="","",MAX(R39:T39))</f>
        <v/>
      </c>
      <c r="V39" s="21">
        <f>IF(G39="","",Q39-U39)</f>
        <v/>
      </c>
      <c r="W39" s="19">
        <f>IF(G39="","",IF(B39="G마켓",ROUNDDOWN(MAX(I39*N($G$10),J39*N($G$11),K39*N($G$12))+MAX(M39*N($G$16),N39*N($G$17),O39*N($G$18),P39*N($G$19))+MAX(R39*N($G$23),S39*N($G$24),T39*N($G$25)),0),ROUNDUP(MAX(I39*N($G$10),J39*N($G$11),K39*N($G$12))+MAX(M39*N($G$16),N39*N($G$17),O39*N($G$18),P39*N($G$19))+MAX(R39*N($G$23),S39*N($G$24),T39*N($G$25)),0)))</f>
        <v/>
      </c>
      <c r="X39" s="21">
        <f>IF(G39="","",IF(B39="G마켓",ROUNDDOWN(G39-G39*$Q$6-W39,0),ROUNDUP(G39-G39*$Q$6-W39,0)))</f>
        <v/>
      </c>
    </row>
    <row r="40">
      <c r="B40" s="7" t="n"/>
      <c r="C40" s="7" t="n"/>
      <c r="D40" s="22" t="n"/>
      <c r="E40" s="23" t="n"/>
      <c r="F40" s="23" t="n"/>
      <c r="G40" s="19">
        <f>IF(E40="","",E40-N(F40))</f>
        <v/>
      </c>
      <c r="I40" s="20">
        <f>IF(G40="","",IF(OR($D$10="",$H$10="X",G40&lt;N($C$10)),0,IF(B40="G마켓",ROUNDDOWN(MIN(G40*$D$10,IF($E$10="",9E+99,$E$10)),0),ROUNDUP(MIN(G40*$D$10,IF($E$10="",9E+99,$E$10)),0))))</f>
        <v/>
      </c>
      <c r="J40" s="20">
        <f>IF(G40="","",IF(OR($D$11="",$H$11="X",G40&lt;N($C$11)),0,IF(B40="G마켓",ROUNDDOWN(MIN(G40*$D$11,IF($E$11="",9E+99,$E$11)),0),ROUNDUP(MIN(G40*$D$11,IF($E$11="",9E+99,$E$11)),0))))</f>
        <v/>
      </c>
      <c r="K40" s="20">
        <f>IF(G40="","",IF(OR($D$12="",$H$12="X",G40&lt;N($C$12)),0,IF(B40="G마켓",ROUNDDOWN(MIN(G40*$D$12,IF($E$12="",9E+99,$E$12)),0),ROUNDUP(MIN(G40*$D$12,IF($E$12="",9E+99,$E$12)),0))))</f>
        <v/>
      </c>
      <c r="L40" s="19">
        <f>IF(G40="","",G40-MAX(I40:K40))</f>
        <v/>
      </c>
      <c r="M40" s="20">
        <f>IF(L40="","",IF(OR($D$16="",$H$16="X",L40&lt;N($C$16)),0,IF(B40="G마켓",ROUNDDOWN(MIN(L40*$D$16,IF($E$16="",9E+99,$E$16)),0),ROUNDUP(MIN(L40*$D$16,IF($E$16="",9E+99,$E$16)),0))))</f>
        <v/>
      </c>
      <c r="N40" s="20">
        <f>IF(L40="","",IF(OR($D$17="",$H$17="X",L40&lt;N($C$17)),0,IF(B40="G마켓",ROUNDDOWN(MIN(L40*$D$17,IF($E$17="",9E+99,$E$17)),0),ROUNDUP(MIN(L40*$D$17,IF($E$17="",9E+99,$E$17)),0))))</f>
        <v/>
      </c>
      <c r="O40" s="20">
        <f>IF(L40="","",IF(OR($D$18="",$H$18="X",L40&lt;N($C$18)),0,IF(B40="G마켓",ROUNDDOWN(MIN(L40*$D$18,IF($E$18="",9E+99,$E$18)),0),ROUNDUP(MIN(L40*$D$18,IF($E$18="",9E+99,$E$18)),0))))</f>
        <v/>
      </c>
      <c r="P40" s="20">
        <f>IF(L40="","",IF(OR($D$19="",$H$19="X",L40&lt;N($C$19)),0,IF(B40="G마켓",ROUNDDOWN(MIN(L40*$D$19,IF($E$19="",9E+99,$E$19)),0),ROUNDUP(MIN(L40*$D$19,IF($E$19="",9E+99,$E$19)),0))))</f>
        <v/>
      </c>
      <c r="Q40" s="19">
        <f>IF(G40="","",L40-MAX(M40:P40))</f>
        <v/>
      </c>
      <c r="R40" s="20">
        <f>IF(Q40="","",IF(OR($D$23="",Q40&lt;N($C$23)),0,IF(B40="G마켓",ROUNDDOWN(MIN(Q40*$D$23,IF($E$23="",9E+99,$E$23)),0),ROUNDUP(MIN(Q40*$D$23,IF($E$23="",9E+99,$E$23)),0))))</f>
        <v/>
      </c>
      <c r="S40" s="20">
        <f>IF(Q40="","",IF(OR($D$24="",Q40&lt;N($C$24)),0,IF(B40="G마켓",ROUNDDOWN(MIN(Q40*$D$24,IF($E$24="",9E+99,$E$24)),0),ROUNDUP(MIN(Q40*$D$24,IF($E$24="",9E+99,$E$24)),0))))</f>
        <v/>
      </c>
      <c r="T40" s="20">
        <f>IF(Q40="","",IF(OR($D$25="",Q40&lt;N($C$25)),0,IF(B40="G마켓",ROUNDDOWN(MIN(Q40*$D$25,IF($E$25="",9E+99,$E$25)),0),ROUNDUP(MIN(Q40*$D$25,IF($E$25="",9E+99,$E$25)),0))))</f>
        <v/>
      </c>
      <c r="U40" s="19">
        <f>IF(G40="","",MAX(R40:T40))</f>
        <v/>
      </c>
      <c r="V40" s="21">
        <f>IF(G40="","",Q40-U40)</f>
        <v/>
      </c>
      <c r="W40" s="19">
        <f>IF(G40="","",IF(B40="G마켓",ROUNDDOWN(MAX(I40*N($G$10),J40*N($G$11),K40*N($G$12))+MAX(M40*N($G$16),N40*N($G$17),O40*N($G$18),P40*N($G$19))+MAX(R40*N($G$23),S40*N($G$24),T40*N($G$25)),0),ROUNDUP(MAX(I40*N($G$10),J40*N($G$11),K40*N($G$12))+MAX(M40*N($G$16),N40*N($G$17),O40*N($G$18),P40*N($G$19))+MAX(R40*N($G$23),S40*N($G$24),T40*N($G$25)),0)))</f>
        <v/>
      </c>
      <c r="X40" s="21">
        <f>IF(G40="","",IF(B40="G마켓",ROUNDDOWN(G40-G40*$Q$6-W40,0),ROUNDUP(G40-G40*$Q$6-W40,0)))</f>
        <v/>
      </c>
    </row>
    <row r="41">
      <c r="B41" s="7" t="n"/>
      <c r="C41" s="7" t="n"/>
      <c r="D41" s="22" t="n"/>
      <c r="E41" s="23" t="n"/>
      <c r="F41" s="23" t="n"/>
      <c r="G41" s="19">
        <f>IF(E41="","",E41-N(F41))</f>
        <v/>
      </c>
      <c r="I41" s="20">
        <f>IF(G41="","",IF(OR($D$10="",$H$10="X",G41&lt;N($C$10)),0,IF(B41="G마켓",ROUNDDOWN(MIN(G41*$D$10,IF($E$10="",9E+99,$E$10)),0),ROUNDUP(MIN(G41*$D$10,IF($E$10="",9E+99,$E$10)),0))))</f>
        <v/>
      </c>
      <c r="J41" s="20">
        <f>IF(G41="","",IF(OR($D$11="",$H$11="X",G41&lt;N($C$11)),0,IF(B41="G마켓",ROUNDDOWN(MIN(G41*$D$11,IF($E$11="",9E+99,$E$11)),0),ROUNDUP(MIN(G41*$D$11,IF($E$11="",9E+99,$E$11)),0))))</f>
        <v/>
      </c>
      <c r="K41" s="20">
        <f>IF(G41="","",IF(OR($D$12="",$H$12="X",G41&lt;N($C$12)),0,IF(B41="G마켓",ROUNDDOWN(MIN(G41*$D$12,IF($E$12="",9E+99,$E$12)),0),ROUNDUP(MIN(G41*$D$12,IF($E$12="",9E+99,$E$12)),0))))</f>
        <v/>
      </c>
      <c r="L41" s="19">
        <f>IF(G41="","",G41-MAX(I41:K41))</f>
        <v/>
      </c>
      <c r="M41" s="20">
        <f>IF(L41="","",IF(OR($D$16="",$H$16="X",L41&lt;N($C$16)),0,IF(B41="G마켓",ROUNDDOWN(MIN(L41*$D$16,IF($E$16="",9E+99,$E$16)),0),ROUNDUP(MIN(L41*$D$16,IF($E$16="",9E+99,$E$16)),0))))</f>
        <v/>
      </c>
      <c r="N41" s="20">
        <f>IF(L41="","",IF(OR($D$17="",$H$17="X",L41&lt;N($C$17)),0,IF(B41="G마켓",ROUNDDOWN(MIN(L41*$D$17,IF($E$17="",9E+99,$E$17)),0),ROUNDUP(MIN(L41*$D$17,IF($E$17="",9E+99,$E$17)),0))))</f>
        <v/>
      </c>
      <c r="O41" s="20">
        <f>IF(L41="","",IF(OR($D$18="",$H$18="X",L41&lt;N($C$18)),0,IF(B41="G마켓",ROUNDDOWN(MIN(L41*$D$18,IF($E$18="",9E+99,$E$18)),0),ROUNDUP(MIN(L41*$D$18,IF($E$18="",9E+99,$E$18)),0))))</f>
        <v/>
      </c>
      <c r="P41" s="20">
        <f>IF(L41="","",IF(OR($D$19="",$H$19="X",L41&lt;N($C$19)),0,IF(B41="G마켓",ROUNDDOWN(MIN(L41*$D$19,IF($E$19="",9E+99,$E$19)),0),ROUNDUP(MIN(L41*$D$19,IF($E$19="",9E+99,$E$19)),0))))</f>
        <v/>
      </c>
      <c r="Q41" s="19">
        <f>IF(G41="","",L41-MAX(M41:P41))</f>
        <v/>
      </c>
      <c r="R41" s="20">
        <f>IF(Q41="","",IF(OR($D$23="",Q41&lt;N($C$23)),0,IF(B41="G마켓",ROUNDDOWN(MIN(Q41*$D$23,IF($E$23="",9E+99,$E$23)),0),ROUNDUP(MIN(Q41*$D$23,IF($E$23="",9E+99,$E$23)),0))))</f>
        <v/>
      </c>
      <c r="S41" s="20">
        <f>IF(Q41="","",IF(OR($D$24="",Q41&lt;N($C$24)),0,IF(B41="G마켓",ROUNDDOWN(MIN(Q41*$D$24,IF($E$24="",9E+99,$E$24)),0),ROUNDUP(MIN(Q41*$D$24,IF($E$24="",9E+99,$E$24)),0))))</f>
        <v/>
      </c>
      <c r="T41" s="20">
        <f>IF(Q41="","",IF(OR($D$25="",Q41&lt;N($C$25)),0,IF(B41="G마켓",ROUNDDOWN(MIN(Q41*$D$25,IF($E$25="",9E+99,$E$25)),0),ROUNDUP(MIN(Q41*$D$25,IF($E$25="",9E+99,$E$25)),0))))</f>
        <v/>
      </c>
      <c r="U41" s="19">
        <f>IF(G41="","",MAX(R41:T41))</f>
        <v/>
      </c>
      <c r="V41" s="21">
        <f>IF(G41="","",Q41-U41)</f>
        <v/>
      </c>
      <c r="W41" s="19">
        <f>IF(G41="","",IF(B41="G마켓",ROUNDDOWN(MAX(I41*N($G$10),J41*N($G$11),K41*N($G$12))+MAX(M41*N($G$16),N41*N($G$17),O41*N($G$18),P41*N($G$19))+MAX(R41*N($G$23),S41*N($G$24),T41*N($G$25)),0),ROUNDUP(MAX(I41*N($G$10),J41*N($G$11),K41*N($G$12))+MAX(M41*N($G$16),N41*N($G$17),O41*N($G$18),P41*N($G$19))+MAX(R41*N($G$23),S41*N($G$24),T41*N($G$25)),0)))</f>
        <v/>
      </c>
      <c r="X41" s="21">
        <f>IF(G41="","",IF(B41="G마켓",ROUNDDOWN(G41-G41*$Q$6-W41,0),ROUNDUP(G41-G41*$Q$6-W41,0)))</f>
        <v/>
      </c>
    </row>
    <row r="42">
      <c r="B42" s="7" t="n"/>
      <c r="C42" s="7" t="n"/>
      <c r="D42" s="22" t="n"/>
      <c r="E42" s="23" t="n"/>
      <c r="F42" s="23" t="n"/>
      <c r="G42" s="19">
        <f>IF(E42="","",E42-N(F42))</f>
        <v/>
      </c>
      <c r="I42" s="20">
        <f>IF(G42="","",IF(OR($D$10="",$H$10="X",G42&lt;N($C$10)),0,IF(B42="G마켓",ROUNDDOWN(MIN(G42*$D$10,IF($E$10="",9E+99,$E$10)),0),ROUNDUP(MIN(G42*$D$10,IF($E$10="",9E+99,$E$10)),0))))</f>
        <v/>
      </c>
      <c r="J42" s="20">
        <f>IF(G42="","",IF(OR($D$11="",$H$11="X",G42&lt;N($C$11)),0,IF(B42="G마켓",ROUNDDOWN(MIN(G42*$D$11,IF($E$11="",9E+99,$E$11)),0),ROUNDUP(MIN(G42*$D$11,IF($E$11="",9E+99,$E$11)),0))))</f>
        <v/>
      </c>
      <c r="K42" s="20">
        <f>IF(G42="","",IF(OR($D$12="",$H$12="X",G42&lt;N($C$12)),0,IF(B42="G마켓",ROUNDDOWN(MIN(G42*$D$12,IF($E$12="",9E+99,$E$12)),0),ROUNDUP(MIN(G42*$D$12,IF($E$12="",9E+99,$E$12)),0))))</f>
        <v/>
      </c>
      <c r="L42" s="19">
        <f>IF(G42="","",G42-MAX(I42:K42))</f>
        <v/>
      </c>
      <c r="M42" s="20">
        <f>IF(L42="","",IF(OR($D$16="",$H$16="X",L42&lt;N($C$16)),0,IF(B42="G마켓",ROUNDDOWN(MIN(L42*$D$16,IF($E$16="",9E+99,$E$16)),0),ROUNDUP(MIN(L42*$D$16,IF($E$16="",9E+99,$E$16)),0))))</f>
        <v/>
      </c>
      <c r="N42" s="20">
        <f>IF(L42="","",IF(OR($D$17="",$H$17="X",L42&lt;N($C$17)),0,IF(B42="G마켓",ROUNDDOWN(MIN(L42*$D$17,IF($E$17="",9E+99,$E$17)),0),ROUNDUP(MIN(L42*$D$17,IF($E$17="",9E+99,$E$17)),0))))</f>
        <v/>
      </c>
      <c r="O42" s="20">
        <f>IF(L42="","",IF(OR($D$18="",$H$18="X",L42&lt;N($C$18)),0,IF(B42="G마켓",ROUNDDOWN(MIN(L42*$D$18,IF($E$18="",9E+99,$E$18)),0),ROUNDUP(MIN(L42*$D$18,IF($E$18="",9E+99,$E$18)),0))))</f>
        <v/>
      </c>
      <c r="P42" s="20">
        <f>IF(L42="","",IF(OR($D$19="",$H$19="X",L42&lt;N($C$19)),0,IF(B42="G마켓",ROUNDDOWN(MIN(L42*$D$19,IF($E$19="",9E+99,$E$19)),0),ROUNDUP(MIN(L42*$D$19,IF($E$19="",9E+99,$E$19)),0))))</f>
        <v/>
      </c>
      <c r="Q42" s="19">
        <f>IF(G42="","",L42-MAX(M42:P42))</f>
        <v/>
      </c>
      <c r="R42" s="20">
        <f>IF(Q42="","",IF(OR($D$23="",Q42&lt;N($C$23)),0,IF(B42="G마켓",ROUNDDOWN(MIN(Q42*$D$23,IF($E$23="",9E+99,$E$23)),0),ROUNDUP(MIN(Q42*$D$23,IF($E$23="",9E+99,$E$23)),0))))</f>
        <v/>
      </c>
      <c r="S42" s="20">
        <f>IF(Q42="","",IF(OR($D$24="",Q42&lt;N($C$24)),0,IF(B42="G마켓",ROUNDDOWN(MIN(Q42*$D$24,IF($E$24="",9E+99,$E$24)),0),ROUNDUP(MIN(Q42*$D$24,IF($E$24="",9E+99,$E$24)),0))))</f>
        <v/>
      </c>
      <c r="T42" s="20">
        <f>IF(Q42="","",IF(OR($D$25="",Q42&lt;N($C$25)),0,IF(B42="G마켓",ROUNDDOWN(MIN(Q42*$D$25,IF($E$25="",9E+99,$E$25)),0),ROUNDUP(MIN(Q42*$D$25,IF($E$25="",9E+99,$E$25)),0))))</f>
        <v/>
      </c>
      <c r="U42" s="19">
        <f>IF(G42="","",MAX(R42:T42))</f>
        <v/>
      </c>
      <c r="V42" s="21">
        <f>IF(G42="","",Q42-U42)</f>
        <v/>
      </c>
      <c r="W42" s="19">
        <f>IF(G42="","",IF(B42="G마켓",ROUNDDOWN(MAX(I42*N($G$10),J42*N($G$11),K42*N($G$12))+MAX(M42*N($G$16),N42*N($G$17),O42*N($G$18),P42*N($G$19))+MAX(R42*N($G$23),S42*N($G$24),T42*N($G$25)),0),ROUNDUP(MAX(I42*N($G$10),J42*N($G$11),K42*N($G$12))+MAX(M42*N($G$16),N42*N($G$17),O42*N($G$18),P42*N($G$19))+MAX(R42*N($G$23),S42*N($G$24),T42*N($G$25)),0)))</f>
        <v/>
      </c>
      <c r="X42" s="21">
        <f>IF(G42="","",IF(B42="G마켓",ROUNDDOWN(G42-G42*$Q$6-W42,0),ROUNDUP(G42-G42*$Q$6-W42,0)))</f>
        <v/>
      </c>
    </row>
    <row r="43">
      <c r="B43" s="7" t="n"/>
      <c r="C43" s="7" t="n"/>
      <c r="D43" s="22" t="n"/>
      <c r="E43" s="23" t="n"/>
      <c r="F43" s="23" t="n"/>
      <c r="G43" s="19">
        <f>IF(E43="","",E43-N(F43))</f>
        <v/>
      </c>
      <c r="I43" s="20">
        <f>IF(G43="","",IF(OR($D$10="",$H$10="X",G43&lt;N($C$10)),0,IF(B43="G마켓",ROUNDDOWN(MIN(G43*$D$10,IF($E$10="",9E+99,$E$10)),0),ROUNDUP(MIN(G43*$D$10,IF($E$10="",9E+99,$E$10)),0))))</f>
        <v/>
      </c>
      <c r="J43" s="20">
        <f>IF(G43="","",IF(OR($D$11="",$H$11="X",G43&lt;N($C$11)),0,IF(B43="G마켓",ROUNDDOWN(MIN(G43*$D$11,IF($E$11="",9E+99,$E$11)),0),ROUNDUP(MIN(G43*$D$11,IF($E$11="",9E+99,$E$11)),0))))</f>
        <v/>
      </c>
      <c r="K43" s="20">
        <f>IF(G43="","",IF(OR($D$12="",$H$12="X",G43&lt;N($C$12)),0,IF(B43="G마켓",ROUNDDOWN(MIN(G43*$D$12,IF($E$12="",9E+99,$E$12)),0),ROUNDUP(MIN(G43*$D$12,IF($E$12="",9E+99,$E$12)),0))))</f>
        <v/>
      </c>
      <c r="L43" s="19">
        <f>IF(G43="","",G43-MAX(I43:K43))</f>
        <v/>
      </c>
      <c r="M43" s="20">
        <f>IF(L43="","",IF(OR($D$16="",$H$16="X",L43&lt;N($C$16)),0,IF(B43="G마켓",ROUNDDOWN(MIN(L43*$D$16,IF($E$16="",9E+99,$E$16)),0),ROUNDUP(MIN(L43*$D$16,IF($E$16="",9E+99,$E$16)),0))))</f>
        <v/>
      </c>
      <c r="N43" s="20">
        <f>IF(L43="","",IF(OR($D$17="",$H$17="X",L43&lt;N($C$17)),0,IF(B43="G마켓",ROUNDDOWN(MIN(L43*$D$17,IF($E$17="",9E+99,$E$17)),0),ROUNDUP(MIN(L43*$D$17,IF($E$17="",9E+99,$E$17)),0))))</f>
        <v/>
      </c>
      <c r="O43" s="20">
        <f>IF(L43="","",IF(OR($D$18="",$H$18="X",L43&lt;N($C$18)),0,IF(B43="G마켓",ROUNDDOWN(MIN(L43*$D$18,IF($E$18="",9E+99,$E$18)),0),ROUNDUP(MIN(L43*$D$18,IF($E$18="",9E+99,$E$18)),0))))</f>
        <v/>
      </c>
      <c r="P43" s="20">
        <f>IF(L43="","",IF(OR($D$19="",$H$19="X",L43&lt;N($C$19)),0,IF(B43="G마켓",ROUNDDOWN(MIN(L43*$D$19,IF($E$19="",9E+99,$E$19)),0),ROUNDUP(MIN(L43*$D$19,IF($E$19="",9E+99,$E$19)),0))))</f>
        <v/>
      </c>
      <c r="Q43" s="19">
        <f>IF(G43="","",L43-MAX(M43:P43))</f>
        <v/>
      </c>
      <c r="R43" s="20">
        <f>IF(Q43="","",IF(OR($D$23="",Q43&lt;N($C$23)),0,IF(B43="G마켓",ROUNDDOWN(MIN(Q43*$D$23,IF($E$23="",9E+99,$E$23)),0),ROUNDUP(MIN(Q43*$D$23,IF($E$23="",9E+99,$E$23)),0))))</f>
        <v/>
      </c>
      <c r="S43" s="20">
        <f>IF(Q43="","",IF(OR($D$24="",Q43&lt;N($C$24)),0,IF(B43="G마켓",ROUNDDOWN(MIN(Q43*$D$24,IF($E$24="",9E+99,$E$24)),0),ROUNDUP(MIN(Q43*$D$24,IF($E$24="",9E+99,$E$24)),0))))</f>
        <v/>
      </c>
      <c r="T43" s="20">
        <f>IF(Q43="","",IF(OR($D$25="",Q43&lt;N($C$25)),0,IF(B43="G마켓",ROUNDDOWN(MIN(Q43*$D$25,IF($E$25="",9E+99,$E$25)),0),ROUNDUP(MIN(Q43*$D$25,IF($E$25="",9E+99,$E$25)),0))))</f>
        <v/>
      </c>
      <c r="U43" s="19">
        <f>IF(G43="","",MAX(R43:T43))</f>
        <v/>
      </c>
      <c r="V43" s="21">
        <f>IF(G43="","",Q43-U43)</f>
        <v/>
      </c>
      <c r="W43" s="19">
        <f>IF(G43="","",IF(B43="G마켓",ROUNDDOWN(MAX(I43*N($G$10),J43*N($G$11),K43*N($G$12))+MAX(M43*N($G$16),N43*N($G$17),O43*N($G$18),P43*N($G$19))+MAX(R43*N($G$23),S43*N($G$24),T43*N($G$25)),0),ROUNDUP(MAX(I43*N($G$10),J43*N($G$11),K43*N($G$12))+MAX(M43*N($G$16),N43*N($G$17),O43*N($G$18),P43*N($G$19))+MAX(R43*N($G$23),S43*N($G$24),T43*N($G$25)),0)))</f>
        <v/>
      </c>
      <c r="X43" s="21">
        <f>IF(G43="","",IF(B43="G마켓",ROUNDDOWN(G43-G43*$Q$6-W43,0),ROUNDUP(G43-G43*$Q$6-W43,0)))</f>
        <v/>
      </c>
    </row>
    <row r="44">
      <c r="B44" s="7" t="n"/>
      <c r="C44" s="7" t="n"/>
      <c r="D44" s="22" t="n"/>
      <c r="E44" s="23" t="n"/>
      <c r="F44" s="23" t="n"/>
      <c r="G44" s="19">
        <f>IF(E44="","",E44-N(F44))</f>
        <v/>
      </c>
      <c r="I44" s="20">
        <f>IF(G44="","",IF(OR($D$10="",$H$10="X",G44&lt;N($C$10)),0,IF(B44="G마켓",ROUNDDOWN(MIN(G44*$D$10,IF($E$10="",9E+99,$E$10)),0),ROUNDUP(MIN(G44*$D$10,IF($E$10="",9E+99,$E$10)),0))))</f>
        <v/>
      </c>
      <c r="J44" s="20">
        <f>IF(G44="","",IF(OR($D$11="",$H$11="X",G44&lt;N($C$11)),0,IF(B44="G마켓",ROUNDDOWN(MIN(G44*$D$11,IF($E$11="",9E+99,$E$11)),0),ROUNDUP(MIN(G44*$D$11,IF($E$11="",9E+99,$E$11)),0))))</f>
        <v/>
      </c>
      <c r="K44" s="20">
        <f>IF(G44="","",IF(OR($D$12="",$H$12="X",G44&lt;N($C$12)),0,IF(B44="G마켓",ROUNDDOWN(MIN(G44*$D$12,IF($E$12="",9E+99,$E$12)),0),ROUNDUP(MIN(G44*$D$12,IF($E$12="",9E+99,$E$12)),0))))</f>
        <v/>
      </c>
      <c r="L44" s="19">
        <f>IF(G44="","",G44-MAX(I44:K44))</f>
        <v/>
      </c>
      <c r="M44" s="20">
        <f>IF(L44="","",IF(OR($D$16="",$H$16="X",L44&lt;N($C$16)),0,IF(B44="G마켓",ROUNDDOWN(MIN(L44*$D$16,IF($E$16="",9E+99,$E$16)),0),ROUNDUP(MIN(L44*$D$16,IF($E$16="",9E+99,$E$16)),0))))</f>
        <v/>
      </c>
      <c r="N44" s="20">
        <f>IF(L44="","",IF(OR($D$17="",$H$17="X",L44&lt;N($C$17)),0,IF(B44="G마켓",ROUNDDOWN(MIN(L44*$D$17,IF($E$17="",9E+99,$E$17)),0),ROUNDUP(MIN(L44*$D$17,IF($E$17="",9E+99,$E$17)),0))))</f>
        <v/>
      </c>
      <c r="O44" s="20">
        <f>IF(L44="","",IF(OR($D$18="",$H$18="X",L44&lt;N($C$18)),0,IF(B44="G마켓",ROUNDDOWN(MIN(L44*$D$18,IF($E$18="",9E+99,$E$18)),0),ROUNDUP(MIN(L44*$D$18,IF($E$18="",9E+99,$E$18)),0))))</f>
        <v/>
      </c>
      <c r="P44" s="20">
        <f>IF(L44="","",IF(OR($D$19="",$H$19="X",L44&lt;N($C$19)),0,IF(B44="G마켓",ROUNDDOWN(MIN(L44*$D$19,IF($E$19="",9E+99,$E$19)),0),ROUNDUP(MIN(L44*$D$19,IF($E$19="",9E+99,$E$19)),0))))</f>
        <v/>
      </c>
      <c r="Q44" s="19">
        <f>IF(G44="","",L44-MAX(M44:P44))</f>
        <v/>
      </c>
      <c r="R44" s="20">
        <f>IF(Q44="","",IF(OR($D$23="",Q44&lt;N($C$23)),0,IF(B44="G마켓",ROUNDDOWN(MIN(Q44*$D$23,IF($E$23="",9E+99,$E$23)),0),ROUNDUP(MIN(Q44*$D$23,IF($E$23="",9E+99,$E$23)),0))))</f>
        <v/>
      </c>
      <c r="S44" s="20">
        <f>IF(Q44="","",IF(OR($D$24="",Q44&lt;N($C$24)),0,IF(B44="G마켓",ROUNDDOWN(MIN(Q44*$D$24,IF($E$24="",9E+99,$E$24)),0),ROUNDUP(MIN(Q44*$D$24,IF($E$24="",9E+99,$E$24)),0))))</f>
        <v/>
      </c>
      <c r="T44" s="20">
        <f>IF(Q44="","",IF(OR($D$25="",Q44&lt;N($C$25)),0,IF(B44="G마켓",ROUNDDOWN(MIN(Q44*$D$25,IF($E$25="",9E+99,$E$25)),0),ROUNDUP(MIN(Q44*$D$25,IF($E$25="",9E+99,$E$25)),0))))</f>
        <v/>
      </c>
      <c r="U44" s="19">
        <f>IF(G44="","",MAX(R44:T44))</f>
        <v/>
      </c>
      <c r="V44" s="21">
        <f>IF(G44="","",Q44-U44)</f>
        <v/>
      </c>
      <c r="W44" s="19">
        <f>IF(G44="","",IF(B44="G마켓",ROUNDDOWN(MAX(I44*N($G$10),J44*N($G$11),K44*N($G$12))+MAX(M44*N($G$16),N44*N($G$17),O44*N($G$18),P44*N($G$19))+MAX(R44*N($G$23),S44*N($G$24),T44*N($G$25)),0),ROUNDUP(MAX(I44*N($G$10),J44*N($G$11),K44*N($G$12))+MAX(M44*N($G$16),N44*N($G$17),O44*N($G$18),P44*N($G$19))+MAX(R44*N($G$23),S44*N($G$24),T44*N($G$25)),0)))</f>
        <v/>
      </c>
      <c r="X44" s="21">
        <f>IF(G44="","",IF(B44="G마켓",ROUNDDOWN(G44-G44*$Q$6-W44,0),ROUNDUP(G44-G44*$Q$6-W44,0)))</f>
        <v/>
      </c>
    </row>
    <row r="45">
      <c r="B45" s="7" t="n"/>
      <c r="C45" s="7" t="n"/>
      <c r="D45" s="22" t="n"/>
      <c r="E45" s="23" t="n"/>
      <c r="F45" s="23" t="n"/>
      <c r="G45" s="19">
        <f>IF(E45="","",E45-N(F45))</f>
        <v/>
      </c>
      <c r="I45" s="20">
        <f>IF(G45="","",IF(OR($D$10="",$H$10="X",G45&lt;N($C$10)),0,IF(B45="G마켓",ROUNDDOWN(MIN(G45*$D$10,IF($E$10="",9E+99,$E$10)),0),ROUNDUP(MIN(G45*$D$10,IF($E$10="",9E+99,$E$10)),0))))</f>
        <v/>
      </c>
      <c r="J45" s="20">
        <f>IF(G45="","",IF(OR($D$11="",$H$11="X",G45&lt;N($C$11)),0,IF(B45="G마켓",ROUNDDOWN(MIN(G45*$D$11,IF($E$11="",9E+99,$E$11)),0),ROUNDUP(MIN(G45*$D$11,IF($E$11="",9E+99,$E$11)),0))))</f>
        <v/>
      </c>
      <c r="K45" s="20">
        <f>IF(G45="","",IF(OR($D$12="",$H$12="X",G45&lt;N($C$12)),0,IF(B45="G마켓",ROUNDDOWN(MIN(G45*$D$12,IF($E$12="",9E+99,$E$12)),0),ROUNDUP(MIN(G45*$D$12,IF($E$12="",9E+99,$E$12)),0))))</f>
        <v/>
      </c>
      <c r="L45" s="19">
        <f>IF(G45="","",G45-MAX(I45:K45))</f>
        <v/>
      </c>
      <c r="M45" s="20">
        <f>IF(L45="","",IF(OR($D$16="",$H$16="X",L45&lt;N($C$16)),0,IF(B45="G마켓",ROUNDDOWN(MIN(L45*$D$16,IF($E$16="",9E+99,$E$16)),0),ROUNDUP(MIN(L45*$D$16,IF($E$16="",9E+99,$E$16)),0))))</f>
        <v/>
      </c>
      <c r="N45" s="20">
        <f>IF(L45="","",IF(OR($D$17="",$H$17="X",L45&lt;N($C$17)),0,IF(B45="G마켓",ROUNDDOWN(MIN(L45*$D$17,IF($E$17="",9E+99,$E$17)),0),ROUNDUP(MIN(L45*$D$17,IF($E$17="",9E+99,$E$17)),0))))</f>
        <v/>
      </c>
      <c r="O45" s="20">
        <f>IF(L45="","",IF(OR($D$18="",$H$18="X",L45&lt;N($C$18)),0,IF(B45="G마켓",ROUNDDOWN(MIN(L45*$D$18,IF($E$18="",9E+99,$E$18)),0),ROUNDUP(MIN(L45*$D$18,IF($E$18="",9E+99,$E$18)),0))))</f>
        <v/>
      </c>
      <c r="P45" s="20">
        <f>IF(L45="","",IF(OR($D$19="",$H$19="X",L45&lt;N($C$19)),0,IF(B45="G마켓",ROUNDDOWN(MIN(L45*$D$19,IF($E$19="",9E+99,$E$19)),0),ROUNDUP(MIN(L45*$D$19,IF($E$19="",9E+99,$E$19)),0))))</f>
        <v/>
      </c>
      <c r="Q45" s="19">
        <f>IF(G45="","",L45-MAX(M45:P45))</f>
        <v/>
      </c>
      <c r="R45" s="20">
        <f>IF(Q45="","",IF(OR($D$23="",Q45&lt;N($C$23)),0,IF(B45="G마켓",ROUNDDOWN(MIN(Q45*$D$23,IF($E$23="",9E+99,$E$23)),0),ROUNDUP(MIN(Q45*$D$23,IF($E$23="",9E+99,$E$23)),0))))</f>
        <v/>
      </c>
      <c r="S45" s="20">
        <f>IF(Q45="","",IF(OR($D$24="",Q45&lt;N($C$24)),0,IF(B45="G마켓",ROUNDDOWN(MIN(Q45*$D$24,IF($E$24="",9E+99,$E$24)),0),ROUNDUP(MIN(Q45*$D$24,IF($E$24="",9E+99,$E$24)),0))))</f>
        <v/>
      </c>
      <c r="T45" s="20">
        <f>IF(Q45="","",IF(OR($D$25="",Q45&lt;N($C$25)),0,IF(B45="G마켓",ROUNDDOWN(MIN(Q45*$D$25,IF($E$25="",9E+99,$E$25)),0),ROUNDUP(MIN(Q45*$D$25,IF($E$25="",9E+99,$E$25)),0))))</f>
        <v/>
      </c>
      <c r="U45" s="19">
        <f>IF(G45="","",MAX(R45:T45))</f>
        <v/>
      </c>
      <c r="V45" s="21">
        <f>IF(G45="","",Q45-U45)</f>
        <v/>
      </c>
      <c r="W45" s="19">
        <f>IF(G45="","",IF(B45="G마켓",ROUNDDOWN(MAX(I45*N($G$10),J45*N($G$11),K45*N($G$12))+MAX(M45*N($G$16),N45*N($G$17),O45*N($G$18),P45*N($G$19))+MAX(R45*N($G$23),S45*N($G$24),T45*N($G$25)),0),ROUNDUP(MAX(I45*N($G$10),J45*N($G$11),K45*N($G$12))+MAX(M45*N($G$16),N45*N($G$17),O45*N($G$18),P45*N($G$19))+MAX(R45*N($G$23),S45*N($G$24),T45*N($G$25)),0)))</f>
        <v/>
      </c>
      <c r="X45" s="21">
        <f>IF(G45="","",IF(B45="G마켓",ROUNDDOWN(G45-G45*$Q$6-W45,0),ROUNDUP(G45-G45*$Q$6-W45,0)))</f>
        <v/>
      </c>
    </row>
    <row r="46">
      <c r="B46" s="7" t="n"/>
      <c r="C46" s="7" t="n"/>
      <c r="D46" s="22" t="n"/>
      <c r="E46" s="23" t="n"/>
      <c r="F46" s="23" t="n"/>
      <c r="G46" s="19">
        <f>IF(E46="","",E46-N(F46))</f>
        <v/>
      </c>
      <c r="I46" s="20">
        <f>IF(G46="","",IF(OR($D$10="",$H$10="X",G46&lt;N($C$10)),0,IF(B46="G마켓",ROUNDDOWN(MIN(G46*$D$10,IF($E$10="",9E+99,$E$10)),0),ROUNDUP(MIN(G46*$D$10,IF($E$10="",9E+99,$E$10)),0))))</f>
        <v/>
      </c>
      <c r="J46" s="20">
        <f>IF(G46="","",IF(OR($D$11="",$H$11="X",G46&lt;N($C$11)),0,IF(B46="G마켓",ROUNDDOWN(MIN(G46*$D$11,IF($E$11="",9E+99,$E$11)),0),ROUNDUP(MIN(G46*$D$11,IF($E$11="",9E+99,$E$11)),0))))</f>
        <v/>
      </c>
      <c r="K46" s="20">
        <f>IF(G46="","",IF(OR($D$12="",$H$12="X",G46&lt;N($C$12)),0,IF(B46="G마켓",ROUNDDOWN(MIN(G46*$D$12,IF($E$12="",9E+99,$E$12)),0),ROUNDUP(MIN(G46*$D$12,IF($E$12="",9E+99,$E$12)),0))))</f>
        <v/>
      </c>
      <c r="L46" s="19">
        <f>IF(G46="","",G46-MAX(I46:K46))</f>
        <v/>
      </c>
      <c r="M46" s="20">
        <f>IF(L46="","",IF(OR($D$16="",$H$16="X",L46&lt;N($C$16)),0,IF(B46="G마켓",ROUNDDOWN(MIN(L46*$D$16,IF($E$16="",9E+99,$E$16)),0),ROUNDUP(MIN(L46*$D$16,IF($E$16="",9E+99,$E$16)),0))))</f>
        <v/>
      </c>
      <c r="N46" s="20">
        <f>IF(L46="","",IF(OR($D$17="",$H$17="X",L46&lt;N($C$17)),0,IF(B46="G마켓",ROUNDDOWN(MIN(L46*$D$17,IF($E$17="",9E+99,$E$17)),0),ROUNDUP(MIN(L46*$D$17,IF($E$17="",9E+99,$E$17)),0))))</f>
        <v/>
      </c>
      <c r="O46" s="20">
        <f>IF(L46="","",IF(OR($D$18="",$H$18="X",L46&lt;N($C$18)),0,IF(B46="G마켓",ROUNDDOWN(MIN(L46*$D$18,IF($E$18="",9E+99,$E$18)),0),ROUNDUP(MIN(L46*$D$18,IF($E$18="",9E+99,$E$18)),0))))</f>
        <v/>
      </c>
      <c r="P46" s="20">
        <f>IF(L46="","",IF(OR($D$19="",$H$19="X",L46&lt;N($C$19)),0,IF(B46="G마켓",ROUNDDOWN(MIN(L46*$D$19,IF($E$19="",9E+99,$E$19)),0),ROUNDUP(MIN(L46*$D$19,IF($E$19="",9E+99,$E$19)),0))))</f>
        <v/>
      </c>
      <c r="Q46" s="19">
        <f>IF(G46="","",L46-MAX(M46:P46))</f>
        <v/>
      </c>
      <c r="R46" s="20">
        <f>IF(Q46="","",IF(OR($D$23="",Q46&lt;N($C$23)),0,IF(B46="G마켓",ROUNDDOWN(MIN(Q46*$D$23,IF($E$23="",9E+99,$E$23)),0),ROUNDUP(MIN(Q46*$D$23,IF($E$23="",9E+99,$E$23)),0))))</f>
        <v/>
      </c>
      <c r="S46" s="20">
        <f>IF(Q46="","",IF(OR($D$24="",Q46&lt;N($C$24)),0,IF(B46="G마켓",ROUNDDOWN(MIN(Q46*$D$24,IF($E$24="",9E+99,$E$24)),0),ROUNDUP(MIN(Q46*$D$24,IF($E$24="",9E+99,$E$24)),0))))</f>
        <v/>
      </c>
      <c r="T46" s="20">
        <f>IF(Q46="","",IF(OR($D$25="",Q46&lt;N($C$25)),0,IF(B46="G마켓",ROUNDDOWN(MIN(Q46*$D$25,IF($E$25="",9E+99,$E$25)),0),ROUNDUP(MIN(Q46*$D$25,IF($E$25="",9E+99,$E$25)),0))))</f>
        <v/>
      </c>
      <c r="U46" s="19">
        <f>IF(G46="","",MAX(R46:T46))</f>
        <v/>
      </c>
      <c r="V46" s="21">
        <f>IF(G46="","",Q46-U46)</f>
        <v/>
      </c>
      <c r="W46" s="19">
        <f>IF(G46="","",IF(B46="G마켓",ROUNDDOWN(MAX(I46*N($G$10),J46*N($G$11),K46*N($G$12))+MAX(M46*N($G$16),N46*N($G$17),O46*N($G$18),P46*N($G$19))+MAX(R46*N($G$23),S46*N($G$24),T46*N($G$25)),0),ROUNDUP(MAX(I46*N($G$10),J46*N($G$11),K46*N($G$12))+MAX(M46*N($G$16),N46*N($G$17),O46*N($G$18),P46*N($G$19))+MAX(R46*N($G$23),S46*N($G$24),T46*N($G$25)),0)))</f>
        <v/>
      </c>
      <c r="X46" s="21">
        <f>IF(G46="","",IF(B46="G마켓",ROUNDDOWN(G46-G46*$Q$6-W46,0),ROUNDUP(G46-G46*$Q$6-W46,0)))</f>
        <v/>
      </c>
    </row>
    <row r="47">
      <c r="B47" s="7" t="n"/>
      <c r="C47" s="7" t="n"/>
      <c r="D47" s="22" t="n"/>
      <c r="E47" s="23" t="n"/>
      <c r="F47" s="23" t="n"/>
      <c r="G47" s="19">
        <f>IF(E47="","",E47-N(F47))</f>
        <v/>
      </c>
      <c r="I47" s="20">
        <f>IF(G47="","",IF(OR($D$10="",$H$10="X",G47&lt;N($C$10)),0,IF(B47="G마켓",ROUNDDOWN(MIN(G47*$D$10,IF($E$10="",9E+99,$E$10)),0),ROUNDUP(MIN(G47*$D$10,IF($E$10="",9E+99,$E$10)),0))))</f>
        <v/>
      </c>
      <c r="J47" s="20">
        <f>IF(G47="","",IF(OR($D$11="",$H$11="X",G47&lt;N($C$11)),0,IF(B47="G마켓",ROUNDDOWN(MIN(G47*$D$11,IF($E$11="",9E+99,$E$11)),0),ROUNDUP(MIN(G47*$D$11,IF($E$11="",9E+99,$E$11)),0))))</f>
        <v/>
      </c>
      <c r="K47" s="20">
        <f>IF(G47="","",IF(OR($D$12="",$H$12="X",G47&lt;N($C$12)),0,IF(B47="G마켓",ROUNDDOWN(MIN(G47*$D$12,IF($E$12="",9E+99,$E$12)),0),ROUNDUP(MIN(G47*$D$12,IF($E$12="",9E+99,$E$12)),0))))</f>
        <v/>
      </c>
      <c r="L47" s="19">
        <f>IF(G47="","",G47-MAX(I47:K47))</f>
        <v/>
      </c>
      <c r="M47" s="20">
        <f>IF(L47="","",IF(OR($D$16="",$H$16="X",L47&lt;N($C$16)),0,IF(B47="G마켓",ROUNDDOWN(MIN(L47*$D$16,IF($E$16="",9E+99,$E$16)),0),ROUNDUP(MIN(L47*$D$16,IF($E$16="",9E+99,$E$16)),0))))</f>
        <v/>
      </c>
      <c r="N47" s="20">
        <f>IF(L47="","",IF(OR($D$17="",$H$17="X",L47&lt;N($C$17)),0,IF(B47="G마켓",ROUNDDOWN(MIN(L47*$D$17,IF($E$17="",9E+99,$E$17)),0),ROUNDUP(MIN(L47*$D$17,IF($E$17="",9E+99,$E$17)),0))))</f>
        <v/>
      </c>
      <c r="O47" s="20">
        <f>IF(L47="","",IF(OR($D$18="",$H$18="X",L47&lt;N($C$18)),0,IF(B47="G마켓",ROUNDDOWN(MIN(L47*$D$18,IF($E$18="",9E+99,$E$18)),0),ROUNDUP(MIN(L47*$D$18,IF($E$18="",9E+99,$E$18)),0))))</f>
        <v/>
      </c>
      <c r="P47" s="20">
        <f>IF(L47="","",IF(OR($D$19="",$H$19="X",L47&lt;N($C$19)),0,IF(B47="G마켓",ROUNDDOWN(MIN(L47*$D$19,IF($E$19="",9E+99,$E$19)),0),ROUNDUP(MIN(L47*$D$19,IF($E$19="",9E+99,$E$19)),0))))</f>
        <v/>
      </c>
      <c r="Q47" s="19">
        <f>IF(G47="","",L47-MAX(M47:P47))</f>
        <v/>
      </c>
      <c r="R47" s="20">
        <f>IF(Q47="","",IF(OR($D$23="",Q47&lt;N($C$23)),0,IF(B47="G마켓",ROUNDDOWN(MIN(Q47*$D$23,IF($E$23="",9E+99,$E$23)),0),ROUNDUP(MIN(Q47*$D$23,IF($E$23="",9E+99,$E$23)),0))))</f>
        <v/>
      </c>
      <c r="S47" s="20">
        <f>IF(Q47="","",IF(OR($D$24="",Q47&lt;N($C$24)),0,IF(B47="G마켓",ROUNDDOWN(MIN(Q47*$D$24,IF($E$24="",9E+99,$E$24)),0),ROUNDUP(MIN(Q47*$D$24,IF($E$24="",9E+99,$E$24)),0))))</f>
        <v/>
      </c>
      <c r="T47" s="20">
        <f>IF(Q47="","",IF(OR($D$25="",Q47&lt;N($C$25)),0,IF(B47="G마켓",ROUNDDOWN(MIN(Q47*$D$25,IF($E$25="",9E+99,$E$25)),0),ROUNDUP(MIN(Q47*$D$25,IF($E$25="",9E+99,$E$25)),0))))</f>
        <v/>
      </c>
      <c r="U47" s="19">
        <f>IF(G47="","",MAX(R47:T47))</f>
        <v/>
      </c>
      <c r="V47" s="21">
        <f>IF(G47="","",Q47-U47)</f>
        <v/>
      </c>
      <c r="W47" s="19">
        <f>IF(G47="","",IF(B47="G마켓",ROUNDDOWN(MAX(I47*N($G$10),J47*N($G$11),K47*N($G$12))+MAX(M47*N($G$16),N47*N($G$17),O47*N($G$18),P47*N($G$19))+MAX(R47*N($G$23),S47*N($G$24),T47*N($G$25)),0),ROUNDUP(MAX(I47*N($G$10),J47*N($G$11),K47*N($G$12))+MAX(M47*N($G$16),N47*N($G$17),O47*N($G$18),P47*N($G$19))+MAX(R47*N($G$23),S47*N($G$24),T47*N($G$25)),0)))</f>
        <v/>
      </c>
      <c r="X47" s="21">
        <f>IF(G47="","",IF(B47="G마켓",ROUNDDOWN(G47-G47*$Q$6-W47,0),ROUNDUP(G47-G47*$Q$6-W47,0)))</f>
        <v/>
      </c>
    </row>
    <row r="48">
      <c r="B48" s="7" t="n"/>
      <c r="C48" s="7" t="n"/>
      <c r="D48" s="22" t="n"/>
      <c r="E48" s="23" t="n"/>
      <c r="F48" s="23" t="n"/>
      <c r="G48" s="19">
        <f>IF(E48="","",E48-N(F48))</f>
        <v/>
      </c>
      <c r="I48" s="20">
        <f>IF(G48="","",IF(OR($D$10="",$H$10="X",G48&lt;N($C$10)),0,IF(B48="G마켓",ROUNDDOWN(MIN(G48*$D$10,IF($E$10="",9E+99,$E$10)),0),ROUNDUP(MIN(G48*$D$10,IF($E$10="",9E+99,$E$10)),0))))</f>
        <v/>
      </c>
      <c r="J48" s="20">
        <f>IF(G48="","",IF(OR($D$11="",$H$11="X",G48&lt;N($C$11)),0,IF(B48="G마켓",ROUNDDOWN(MIN(G48*$D$11,IF($E$11="",9E+99,$E$11)),0),ROUNDUP(MIN(G48*$D$11,IF($E$11="",9E+99,$E$11)),0))))</f>
        <v/>
      </c>
      <c r="K48" s="20">
        <f>IF(G48="","",IF(OR($D$12="",$H$12="X",G48&lt;N($C$12)),0,IF(B48="G마켓",ROUNDDOWN(MIN(G48*$D$12,IF($E$12="",9E+99,$E$12)),0),ROUNDUP(MIN(G48*$D$12,IF($E$12="",9E+99,$E$12)),0))))</f>
        <v/>
      </c>
      <c r="L48" s="19">
        <f>IF(G48="","",G48-MAX(I48:K48))</f>
        <v/>
      </c>
      <c r="M48" s="20">
        <f>IF(L48="","",IF(OR($D$16="",$H$16="X",L48&lt;N($C$16)),0,IF(B48="G마켓",ROUNDDOWN(MIN(L48*$D$16,IF($E$16="",9E+99,$E$16)),0),ROUNDUP(MIN(L48*$D$16,IF($E$16="",9E+99,$E$16)),0))))</f>
        <v/>
      </c>
      <c r="N48" s="20">
        <f>IF(L48="","",IF(OR($D$17="",$H$17="X",L48&lt;N($C$17)),0,IF(B48="G마켓",ROUNDDOWN(MIN(L48*$D$17,IF($E$17="",9E+99,$E$17)),0),ROUNDUP(MIN(L48*$D$17,IF($E$17="",9E+99,$E$17)),0))))</f>
        <v/>
      </c>
      <c r="O48" s="20">
        <f>IF(L48="","",IF(OR($D$18="",$H$18="X",L48&lt;N($C$18)),0,IF(B48="G마켓",ROUNDDOWN(MIN(L48*$D$18,IF($E$18="",9E+99,$E$18)),0),ROUNDUP(MIN(L48*$D$18,IF($E$18="",9E+99,$E$18)),0))))</f>
        <v/>
      </c>
      <c r="P48" s="20">
        <f>IF(L48="","",IF(OR($D$19="",$H$19="X",L48&lt;N($C$19)),0,IF(B48="G마켓",ROUNDDOWN(MIN(L48*$D$19,IF($E$19="",9E+99,$E$19)),0),ROUNDUP(MIN(L48*$D$19,IF($E$19="",9E+99,$E$19)),0))))</f>
        <v/>
      </c>
      <c r="Q48" s="19">
        <f>IF(G48="","",L48-MAX(M48:P48))</f>
        <v/>
      </c>
      <c r="R48" s="20">
        <f>IF(Q48="","",IF(OR($D$23="",Q48&lt;N($C$23)),0,IF(B48="G마켓",ROUNDDOWN(MIN(Q48*$D$23,IF($E$23="",9E+99,$E$23)),0),ROUNDUP(MIN(Q48*$D$23,IF($E$23="",9E+99,$E$23)),0))))</f>
        <v/>
      </c>
      <c r="S48" s="20">
        <f>IF(Q48="","",IF(OR($D$24="",Q48&lt;N($C$24)),0,IF(B48="G마켓",ROUNDDOWN(MIN(Q48*$D$24,IF($E$24="",9E+99,$E$24)),0),ROUNDUP(MIN(Q48*$D$24,IF($E$24="",9E+99,$E$24)),0))))</f>
        <v/>
      </c>
      <c r="T48" s="20">
        <f>IF(Q48="","",IF(OR($D$25="",Q48&lt;N($C$25)),0,IF(B48="G마켓",ROUNDDOWN(MIN(Q48*$D$25,IF($E$25="",9E+99,$E$25)),0),ROUNDUP(MIN(Q48*$D$25,IF($E$25="",9E+99,$E$25)),0))))</f>
        <v/>
      </c>
      <c r="U48" s="19">
        <f>IF(G48="","",MAX(R48:T48))</f>
        <v/>
      </c>
      <c r="V48" s="21">
        <f>IF(G48="","",Q48-U48)</f>
        <v/>
      </c>
      <c r="W48" s="19">
        <f>IF(G48="","",IF(B48="G마켓",ROUNDDOWN(MAX(I48*N($G$10),J48*N($G$11),K48*N($G$12))+MAX(M48*N($G$16),N48*N($G$17),O48*N($G$18),P48*N($G$19))+MAX(R48*N($G$23),S48*N($G$24),T48*N($G$25)),0),ROUNDUP(MAX(I48*N($G$10),J48*N($G$11),K48*N($G$12))+MAX(M48*N($G$16),N48*N($G$17),O48*N($G$18),P48*N($G$19))+MAX(R48*N($G$23),S48*N($G$24),T48*N($G$25)),0)))</f>
        <v/>
      </c>
      <c r="X48" s="21">
        <f>IF(G48="","",IF(B48="G마켓",ROUNDDOWN(G48-G48*$Q$6-W48,0),ROUNDUP(G48-G48*$Q$6-W48,0)))</f>
        <v/>
      </c>
    </row>
    <row r="49">
      <c r="B49" s="7" t="n"/>
      <c r="C49" s="7" t="n"/>
      <c r="D49" s="22" t="n"/>
      <c r="E49" s="23" t="n"/>
      <c r="F49" s="23" t="n"/>
      <c r="G49" s="19">
        <f>IF(E49="","",E49-N(F49))</f>
        <v/>
      </c>
      <c r="I49" s="20">
        <f>IF(G49="","",IF(OR($D$10="",$H$10="X",G49&lt;N($C$10)),0,IF(B49="G마켓",ROUNDDOWN(MIN(G49*$D$10,IF($E$10="",9E+99,$E$10)),0),ROUNDUP(MIN(G49*$D$10,IF($E$10="",9E+99,$E$10)),0))))</f>
        <v/>
      </c>
      <c r="J49" s="20">
        <f>IF(G49="","",IF(OR($D$11="",$H$11="X",G49&lt;N($C$11)),0,IF(B49="G마켓",ROUNDDOWN(MIN(G49*$D$11,IF($E$11="",9E+99,$E$11)),0),ROUNDUP(MIN(G49*$D$11,IF($E$11="",9E+99,$E$11)),0))))</f>
        <v/>
      </c>
      <c r="K49" s="20">
        <f>IF(G49="","",IF(OR($D$12="",$H$12="X",G49&lt;N($C$12)),0,IF(B49="G마켓",ROUNDDOWN(MIN(G49*$D$12,IF($E$12="",9E+99,$E$12)),0),ROUNDUP(MIN(G49*$D$12,IF($E$12="",9E+99,$E$12)),0))))</f>
        <v/>
      </c>
      <c r="L49" s="19">
        <f>IF(G49="","",G49-MAX(I49:K49))</f>
        <v/>
      </c>
      <c r="M49" s="20">
        <f>IF(L49="","",IF(OR($D$16="",$H$16="X",L49&lt;N($C$16)),0,IF(B49="G마켓",ROUNDDOWN(MIN(L49*$D$16,IF($E$16="",9E+99,$E$16)),0),ROUNDUP(MIN(L49*$D$16,IF($E$16="",9E+99,$E$16)),0))))</f>
        <v/>
      </c>
      <c r="N49" s="20">
        <f>IF(L49="","",IF(OR($D$17="",$H$17="X",L49&lt;N($C$17)),0,IF(B49="G마켓",ROUNDDOWN(MIN(L49*$D$17,IF($E$17="",9E+99,$E$17)),0),ROUNDUP(MIN(L49*$D$17,IF($E$17="",9E+99,$E$17)),0))))</f>
        <v/>
      </c>
      <c r="O49" s="20">
        <f>IF(L49="","",IF(OR($D$18="",$H$18="X",L49&lt;N($C$18)),0,IF(B49="G마켓",ROUNDDOWN(MIN(L49*$D$18,IF($E$18="",9E+99,$E$18)),0),ROUNDUP(MIN(L49*$D$18,IF($E$18="",9E+99,$E$18)),0))))</f>
        <v/>
      </c>
      <c r="P49" s="20">
        <f>IF(L49="","",IF(OR($D$19="",$H$19="X",L49&lt;N($C$19)),0,IF(B49="G마켓",ROUNDDOWN(MIN(L49*$D$19,IF($E$19="",9E+99,$E$19)),0),ROUNDUP(MIN(L49*$D$19,IF($E$19="",9E+99,$E$19)),0))))</f>
        <v/>
      </c>
      <c r="Q49" s="19">
        <f>IF(G49="","",L49-MAX(M49:P49))</f>
        <v/>
      </c>
      <c r="R49" s="20">
        <f>IF(Q49="","",IF(OR($D$23="",Q49&lt;N($C$23)),0,IF(B49="G마켓",ROUNDDOWN(MIN(Q49*$D$23,IF($E$23="",9E+99,$E$23)),0),ROUNDUP(MIN(Q49*$D$23,IF($E$23="",9E+99,$E$23)),0))))</f>
        <v/>
      </c>
      <c r="S49" s="20">
        <f>IF(Q49="","",IF(OR($D$24="",Q49&lt;N($C$24)),0,IF(B49="G마켓",ROUNDDOWN(MIN(Q49*$D$24,IF($E$24="",9E+99,$E$24)),0),ROUNDUP(MIN(Q49*$D$24,IF($E$24="",9E+99,$E$24)),0))))</f>
        <v/>
      </c>
      <c r="T49" s="20">
        <f>IF(Q49="","",IF(OR($D$25="",Q49&lt;N($C$25)),0,IF(B49="G마켓",ROUNDDOWN(MIN(Q49*$D$25,IF($E$25="",9E+99,$E$25)),0),ROUNDUP(MIN(Q49*$D$25,IF($E$25="",9E+99,$E$25)),0))))</f>
        <v/>
      </c>
      <c r="U49" s="19">
        <f>IF(G49="","",MAX(R49:T49))</f>
        <v/>
      </c>
      <c r="V49" s="21">
        <f>IF(G49="","",Q49-U49)</f>
        <v/>
      </c>
      <c r="W49" s="19">
        <f>IF(G49="","",IF(B49="G마켓",ROUNDDOWN(MAX(I49*N($G$10),J49*N($G$11),K49*N($G$12))+MAX(M49*N($G$16),N49*N($G$17),O49*N($G$18),P49*N($G$19))+MAX(R49*N($G$23),S49*N($G$24),T49*N($G$25)),0),ROUNDUP(MAX(I49*N($G$10),J49*N($G$11),K49*N($G$12))+MAX(M49*N($G$16),N49*N($G$17),O49*N($G$18),P49*N($G$19))+MAX(R49*N($G$23),S49*N($G$24),T49*N($G$25)),0)))</f>
        <v/>
      </c>
      <c r="X49" s="21">
        <f>IF(G49="","",IF(B49="G마켓",ROUNDDOWN(G49-G49*$Q$6-W49,0),ROUNDUP(G49-G49*$Q$6-W49,0)))</f>
        <v/>
      </c>
    </row>
    <row r="50">
      <c r="B50" s="7" t="n"/>
      <c r="C50" s="7" t="n"/>
      <c r="D50" s="22" t="n"/>
      <c r="E50" s="23" t="n"/>
      <c r="F50" s="23" t="n"/>
      <c r="G50" s="19">
        <f>IF(E50="","",E50-N(F50))</f>
        <v/>
      </c>
      <c r="I50" s="20">
        <f>IF(G50="","",IF(OR($D$10="",$H$10="X",G50&lt;N($C$10)),0,IF(B50="G마켓",ROUNDDOWN(MIN(G50*$D$10,IF($E$10="",9E+99,$E$10)),0),ROUNDUP(MIN(G50*$D$10,IF($E$10="",9E+99,$E$10)),0))))</f>
        <v/>
      </c>
      <c r="J50" s="20">
        <f>IF(G50="","",IF(OR($D$11="",$H$11="X",G50&lt;N($C$11)),0,IF(B50="G마켓",ROUNDDOWN(MIN(G50*$D$11,IF($E$11="",9E+99,$E$11)),0),ROUNDUP(MIN(G50*$D$11,IF($E$11="",9E+99,$E$11)),0))))</f>
        <v/>
      </c>
      <c r="K50" s="20">
        <f>IF(G50="","",IF(OR($D$12="",$H$12="X",G50&lt;N($C$12)),0,IF(B50="G마켓",ROUNDDOWN(MIN(G50*$D$12,IF($E$12="",9E+99,$E$12)),0),ROUNDUP(MIN(G50*$D$12,IF($E$12="",9E+99,$E$12)),0))))</f>
        <v/>
      </c>
      <c r="L50" s="19">
        <f>IF(G50="","",G50-MAX(I50:K50))</f>
        <v/>
      </c>
      <c r="M50" s="20">
        <f>IF(L50="","",IF(OR($D$16="",$H$16="X",L50&lt;N($C$16)),0,IF(B50="G마켓",ROUNDDOWN(MIN(L50*$D$16,IF($E$16="",9E+99,$E$16)),0),ROUNDUP(MIN(L50*$D$16,IF($E$16="",9E+99,$E$16)),0))))</f>
        <v/>
      </c>
      <c r="N50" s="20">
        <f>IF(L50="","",IF(OR($D$17="",$H$17="X",L50&lt;N($C$17)),0,IF(B50="G마켓",ROUNDDOWN(MIN(L50*$D$17,IF($E$17="",9E+99,$E$17)),0),ROUNDUP(MIN(L50*$D$17,IF($E$17="",9E+99,$E$17)),0))))</f>
        <v/>
      </c>
      <c r="O50" s="20">
        <f>IF(L50="","",IF(OR($D$18="",$H$18="X",L50&lt;N($C$18)),0,IF(B50="G마켓",ROUNDDOWN(MIN(L50*$D$18,IF($E$18="",9E+99,$E$18)),0),ROUNDUP(MIN(L50*$D$18,IF($E$18="",9E+99,$E$18)),0))))</f>
        <v/>
      </c>
      <c r="P50" s="20">
        <f>IF(L50="","",IF(OR($D$19="",$H$19="X",L50&lt;N($C$19)),0,IF(B50="G마켓",ROUNDDOWN(MIN(L50*$D$19,IF($E$19="",9E+99,$E$19)),0),ROUNDUP(MIN(L50*$D$19,IF($E$19="",9E+99,$E$19)),0))))</f>
        <v/>
      </c>
      <c r="Q50" s="19">
        <f>IF(G50="","",L50-MAX(M50:P50))</f>
        <v/>
      </c>
      <c r="R50" s="20">
        <f>IF(Q50="","",IF(OR($D$23="",Q50&lt;N($C$23)),0,IF(B50="G마켓",ROUNDDOWN(MIN(Q50*$D$23,IF($E$23="",9E+99,$E$23)),0),ROUNDUP(MIN(Q50*$D$23,IF($E$23="",9E+99,$E$23)),0))))</f>
        <v/>
      </c>
      <c r="S50" s="20">
        <f>IF(Q50="","",IF(OR($D$24="",Q50&lt;N($C$24)),0,IF(B50="G마켓",ROUNDDOWN(MIN(Q50*$D$24,IF($E$24="",9E+99,$E$24)),0),ROUNDUP(MIN(Q50*$D$24,IF($E$24="",9E+99,$E$24)),0))))</f>
        <v/>
      </c>
      <c r="T50" s="20">
        <f>IF(Q50="","",IF(OR($D$25="",Q50&lt;N($C$25)),0,IF(B50="G마켓",ROUNDDOWN(MIN(Q50*$D$25,IF($E$25="",9E+99,$E$25)),0),ROUNDUP(MIN(Q50*$D$25,IF($E$25="",9E+99,$E$25)),0))))</f>
        <v/>
      </c>
      <c r="U50" s="19">
        <f>IF(G50="","",MAX(R50:T50))</f>
        <v/>
      </c>
      <c r="V50" s="21">
        <f>IF(G50="","",Q50-U50)</f>
        <v/>
      </c>
      <c r="W50" s="19">
        <f>IF(G50="","",IF(B50="G마켓",ROUNDDOWN(MAX(I50*N($G$10),J50*N($G$11),K50*N($G$12))+MAX(M50*N($G$16),N50*N($G$17),O50*N($G$18),P50*N($G$19))+MAX(R50*N($G$23),S50*N($G$24),T50*N($G$25)),0),ROUNDUP(MAX(I50*N($G$10),J50*N($G$11),K50*N($G$12))+MAX(M50*N($G$16),N50*N($G$17),O50*N($G$18),P50*N($G$19))+MAX(R50*N($G$23),S50*N($G$24),T50*N($G$25)),0)))</f>
        <v/>
      </c>
      <c r="X50" s="21">
        <f>IF(G50="","",IF(B50="G마켓",ROUNDDOWN(G50-G50*$Q$6-W50,0),ROUNDUP(G50-G50*$Q$6-W50,0)))</f>
        <v/>
      </c>
    </row>
    <row r="51">
      <c r="B51" s="7" t="n"/>
      <c r="C51" s="7" t="n"/>
      <c r="D51" s="22" t="n"/>
      <c r="E51" s="23" t="n"/>
      <c r="F51" s="23" t="n"/>
      <c r="G51" s="19">
        <f>IF(E51="","",E51-N(F51))</f>
        <v/>
      </c>
      <c r="I51" s="20">
        <f>IF(G51="","",IF(OR($D$10="",$H$10="X",G51&lt;N($C$10)),0,IF(B51="G마켓",ROUNDDOWN(MIN(G51*$D$10,IF($E$10="",9E+99,$E$10)),0),ROUNDUP(MIN(G51*$D$10,IF($E$10="",9E+99,$E$10)),0))))</f>
        <v/>
      </c>
      <c r="J51" s="20">
        <f>IF(G51="","",IF(OR($D$11="",$H$11="X",G51&lt;N($C$11)),0,IF(B51="G마켓",ROUNDDOWN(MIN(G51*$D$11,IF($E$11="",9E+99,$E$11)),0),ROUNDUP(MIN(G51*$D$11,IF($E$11="",9E+99,$E$11)),0))))</f>
        <v/>
      </c>
      <c r="K51" s="20">
        <f>IF(G51="","",IF(OR($D$12="",$H$12="X",G51&lt;N($C$12)),0,IF(B51="G마켓",ROUNDDOWN(MIN(G51*$D$12,IF($E$12="",9E+99,$E$12)),0),ROUNDUP(MIN(G51*$D$12,IF($E$12="",9E+99,$E$12)),0))))</f>
        <v/>
      </c>
      <c r="L51" s="19">
        <f>IF(G51="","",G51-MAX(I51:K51))</f>
        <v/>
      </c>
      <c r="M51" s="20">
        <f>IF(L51="","",IF(OR($D$16="",$H$16="X",L51&lt;N($C$16)),0,IF(B51="G마켓",ROUNDDOWN(MIN(L51*$D$16,IF($E$16="",9E+99,$E$16)),0),ROUNDUP(MIN(L51*$D$16,IF($E$16="",9E+99,$E$16)),0))))</f>
        <v/>
      </c>
      <c r="N51" s="20">
        <f>IF(L51="","",IF(OR($D$17="",$H$17="X",L51&lt;N($C$17)),0,IF(B51="G마켓",ROUNDDOWN(MIN(L51*$D$17,IF($E$17="",9E+99,$E$17)),0),ROUNDUP(MIN(L51*$D$17,IF($E$17="",9E+99,$E$17)),0))))</f>
        <v/>
      </c>
      <c r="O51" s="20">
        <f>IF(L51="","",IF(OR($D$18="",$H$18="X",L51&lt;N($C$18)),0,IF(B51="G마켓",ROUNDDOWN(MIN(L51*$D$18,IF($E$18="",9E+99,$E$18)),0),ROUNDUP(MIN(L51*$D$18,IF($E$18="",9E+99,$E$18)),0))))</f>
        <v/>
      </c>
      <c r="P51" s="20">
        <f>IF(L51="","",IF(OR($D$19="",$H$19="X",L51&lt;N($C$19)),0,IF(B51="G마켓",ROUNDDOWN(MIN(L51*$D$19,IF($E$19="",9E+99,$E$19)),0),ROUNDUP(MIN(L51*$D$19,IF($E$19="",9E+99,$E$19)),0))))</f>
        <v/>
      </c>
      <c r="Q51" s="19">
        <f>IF(G51="","",L51-MAX(M51:P51))</f>
        <v/>
      </c>
      <c r="R51" s="20">
        <f>IF(Q51="","",IF(OR($D$23="",Q51&lt;N($C$23)),0,IF(B51="G마켓",ROUNDDOWN(MIN(Q51*$D$23,IF($E$23="",9E+99,$E$23)),0),ROUNDUP(MIN(Q51*$D$23,IF($E$23="",9E+99,$E$23)),0))))</f>
        <v/>
      </c>
      <c r="S51" s="20">
        <f>IF(Q51="","",IF(OR($D$24="",Q51&lt;N($C$24)),0,IF(B51="G마켓",ROUNDDOWN(MIN(Q51*$D$24,IF($E$24="",9E+99,$E$24)),0),ROUNDUP(MIN(Q51*$D$24,IF($E$24="",9E+99,$E$24)),0))))</f>
        <v/>
      </c>
      <c r="T51" s="20">
        <f>IF(Q51="","",IF(OR($D$25="",Q51&lt;N($C$25)),0,IF(B51="G마켓",ROUNDDOWN(MIN(Q51*$D$25,IF($E$25="",9E+99,$E$25)),0),ROUNDUP(MIN(Q51*$D$25,IF($E$25="",9E+99,$E$25)),0))))</f>
        <v/>
      </c>
      <c r="U51" s="19">
        <f>IF(G51="","",MAX(R51:T51))</f>
        <v/>
      </c>
      <c r="V51" s="21">
        <f>IF(G51="","",Q51-U51)</f>
        <v/>
      </c>
      <c r="W51" s="19">
        <f>IF(G51="","",IF(B51="G마켓",ROUNDDOWN(MAX(I51*N($G$10),J51*N($G$11),K51*N($G$12))+MAX(M51*N($G$16),N51*N($G$17),O51*N($G$18),P51*N($G$19))+MAX(R51*N($G$23),S51*N($G$24),T51*N($G$25)),0),ROUNDUP(MAX(I51*N($G$10),J51*N($G$11),K51*N($G$12))+MAX(M51*N($G$16),N51*N($G$17),O51*N($G$18),P51*N($G$19))+MAX(R51*N($G$23),S51*N($G$24),T51*N($G$25)),0)))</f>
        <v/>
      </c>
      <c r="X51" s="21">
        <f>IF(G51="","",IF(B51="G마켓",ROUNDDOWN(G51-G51*$Q$6-W51,0),ROUNDUP(G51-G51*$Q$6-W51,0)))</f>
        <v/>
      </c>
    </row>
    <row r="52">
      <c r="B52" s="7" t="n"/>
      <c r="C52" s="7" t="n"/>
      <c r="D52" s="22" t="n"/>
      <c r="E52" s="23" t="n"/>
      <c r="F52" s="23" t="n"/>
      <c r="G52" s="19">
        <f>IF(E52="","",E52-N(F52))</f>
        <v/>
      </c>
      <c r="I52" s="20">
        <f>IF(G52="","",IF(OR($D$10="",$H$10="X",G52&lt;N($C$10)),0,IF(B52="G마켓",ROUNDDOWN(MIN(G52*$D$10,IF($E$10="",9E+99,$E$10)),0),ROUNDUP(MIN(G52*$D$10,IF($E$10="",9E+99,$E$10)),0))))</f>
        <v/>
      </c>
      <c r="J52" s="20">
        <f>IF(G52="","",IF(OR($D$11="",$H$11="X",G52&lt;N($C$11)),0,IF(B52="G마켓",ROUNDDOWN(MIN(G52*$D$11,IF($E$11="",9E+99,$E$11)),0),ROUNDUP(MIN(G52*$D$11,IF($E$11="",9E+99,$E$11)),0))))</f>
        <v/>
      </c>
      <c r="K52" s="20">
        <f>IF(G52="","",IF(OR($D$12="",$H$12="X",G52&lt;N($C$12)),0,IF(B52="G마켓",ROUNDDOWN(MIN(G52*$D$12,IF($E$12="",9E+99,$E$12)),0),ROUNDUP(MIN(G52*$D$12,IF($E$12="",9E+99,$E$12)),0))))</f>
        <v/>
      </c>
      <c r="L52" s="19">
        <f>IF(G52="","",G52-MAX(I52:K52))</f>
        <v/>
      </c>
      <c r="M52" s="20">
        <f>IF(L52="","",IF(OR($D$16="",$H$16="X",L52&lt;N($C$16)),0,IF(B52="G마켓",ROUNDDOWN(MIN(L52*$D$16,IF($E$16="",9E+99,$E$16)),0),ROUNDUP(MIN(L52*$D$16,IF($E$16="",9E+99,$E$16)),0))))</f>
        <v/>
      </c>
      <c r="N52" s="20">
        <f>IF(L52="","",IF(OR($D$17="",$H$17="X",L52&lt;N($C$17)),0,IF(B52="G마켓",ROUNDDOWN(MIN(L52*$D$17,IF($E$17="",9E+99,$E$17)),0),ROUNDUP(MIN(L52*$D$17,IF($E$17="",9E+99,$E$17)),0))))</f>
        <v/>
      </c>
      <c r="O52" s="20">
        <f>IF(L52="","",IF(OR($D$18="",$H$18="X",L52&lt;N($C$18)),0,IF(B52="G마켓",ROUNDDOWN(MIN(L52*$D$18,IF($E$18="",9E+99,$E$18)),0),ROUNDUP(MIN(L52*$D$18,IF($E$18="",9E+99,$E$18)),0))))</f>
        <v/>
      </c>
      <c r="P52" s="20">
        <f>IF(L52="","",IF(OR($D$19="",$H$19="X",L52&lt;N($C$19)),0,IF(B52="G마켓",ROUNDDOWN(MIN(L52*$D$19,IF($E$19="",9E+99,$E$19)),0),ROUNDUP(MIN(L52*$D$19,IF($E$19="",9E+99,$E$19)),0))))</f>
        <v/>
      </c>
      <c r="Q52" s="19">
        <f>IF(G52="","",L52-MAX(M52:P52))</f>
        <v/>
      </c>
      <c r="R52" s="20">
        <f>IF(Q52="","",IF(OR($D$23="",Q52&lt;N($C$23)),0,IF(B52="G마켓",ROUNDDOWN(MIN(Q52*$D$23,IF($E$23="",9E+99,$E$23)),0),ROUNDUP(MIN(Q52*$D$23,IF($E$23="",9E+99,$E$23)),0))))</f>
        <v/>
      </c>
      <c r="S52" s="20">
        <f>IF(Q52="","",IF(OR($D$24="",Q52&lt;N($C$24)),0,IF(B52="G마켓",ROUNDDOWN(MIN(Q52*$D$24,IF($E$24="",9E+99,$E$24)),0),ROUNDUP(MIN(Q52*$D$24,IF($E$24="",9E+99,$E$24)),0))))</f>
        <v/>
      </c>
      <c r="T52" s="20">
        <f>IF(Q52="","",IF(OR($D$25="",Q52&lt;N($C$25)),0,IF(B52="G마켓",ROUNDDOWN(MIN(Q52*$D$25,IF($E$25="",9E+99,$E$25)),0),ROUNDUP(MIN(Q52*$D$25,IF($E$25="",9E+99,$E$25)),0))))</f>
        <v/>
      </c>
      <c r="U52" s="19">
        <f>IF(G52="","",MAX(R52:T52))</f>
        <v/>
      </c>
      <c r="V52" s="21">
        <f>IF(G52="","",Q52-U52)</f>
        <v/>
      </c>
      <c r="W52" s="19">
        <f>IF(G52="","",IF(B52="G마켓",ROUNDDOWN(MAX(I52*N($G$10),J52*N($G$11),K52*N($G$12))+MAX(M52*N($G$16),N52*N($G$17),O52*N($G$18),P52*N($G$19))+MAX(R52*N($G$23),S52*N($G$24),T52*N($G$25)),0),ROUNDUP(MAX(I52*N($G$10),J52*N($G$11),K52*N($G$12))+MAX(M52*N($G$16),N52*N($G$17),O52*N($G$18),P52*N($G$19))+MAX(R52*N($G$23),S52*N($G$24),T52*N($G$25)),0)))</f>
        <v/>
      </c>
      <c r="X52" s="21">
        <f>IF(G52="","",IF(B52="G마켓",ROUNDDOWN(G52-G52*$Q$6-W52,0),ROUNDUP(G52-G52*$Q$6-W52,0)))</f>
        <v/>
      </c>
    </row>
    <row r="53">
      <c r="B53" s="7" t="n"/>
      <c r="C53" s="7" t="n"/>
      <c r="D53" s="22" t="n"/>
      <c r="E53" s="23" t="n"/>
      <c r="F53" s="23" t="n"/>
      <c r="G53" s="19">
        <f>IF(E53="","",E53-N(F53))</f>
        <v/>
      </c>
      <c r="I53" s="20">
        <f>IF(G53="","",IF(OR($D$10="",$H$10="X",G53&lt;N($C$10)),0,IF(B53="G마켓",ROUNDDOWN(MIN(G53*$D$10,IF($E$10="",9E+99,$E$10)),0),ROUNDUP(MIN(G53*$D$10,IF($E$10="",9E+99,$E$10)),0))))</f>
        <v/>
      </c>
      <c r="J53" s="20">
        <f>IF(G53="","",IF(OR($D$11="",$H$11="X",G53&lt;N($C$11)),0,IF(B53="G마켓",ROUNDDOWN(MIN(G53*$D$11,IF($E$11="",9E+99,$E$11)),0),ROUNDUP(MIN(G53*$D$11,IF($E$11="",9E+99,$E$11)),0))))</f>
        <v/>
      </c>
      <c r="K53" s="20">
        <f>IF(G53="","",IF(OR($D$12="",$H$12="X",G53&lt;N($C$12)),0,IF(B53="G마켓",ROUNDDOWN(MIN(G53*$D$12,IF($E$12="",9E+99,$E$12)),0),ROUNDUP(MIN(G53*$D$12,IF($E$12="",9E+99,$E$12)),0))))</f>
        <v/>
      </c>
      <c r="L53" s="19">
        <f>IF(G53="","",G53-MAX(I53:K53))</f>
        <v/>
      </c>
      <c r="M53" s="20">
        <f>IF(L53="","",IF(OR($D$16="",$H$16="X",L53&lt;N($C$16)),0,IF(B53="G마켓",ROUNDDOWN(MIN(L53*$D$16,IF($E$16="",9E+99,$E$16)),0),ROUNDUP(MIN(L53*$D$16,IF($E$16="",9E+99,$E$16)),0))))</f>
        <v/>
      </c>
      <c r="N53" s="20">
        <f>IF(L53="","",IF(OR($D$17="",$H$17="X",L53&lt;N($C$17)),0,IF(B53="G마켓",ROUNDDOWN(MIN(L53*$D$17,IF($E$17="",9E+99,$E$17)),0),ROUNDUP(MIN(L53*$D$17,IF($E$17="",9E+99,$E$17)),0))))</f>
        <v/>
      </c>
      <c r="O53" s="20">
        <f>IF(L53="","",IF(OR($D$18="",$H$18="X",L53&lt;N($C$18)),0,IF(B53="G마켓",ROUNDDOWN(MIN(L53*$D$18,IF($E$18="",9E+99,$E$18)),0),ROUNDUP(MIN(L53*$D$18,IF($E$18="",9E+99,$E$18)),0))))</f>
        <v/>
      </c>
      <c r="P53" s="20">
        <f>IF(L53="","",IF(OR($D$19="",$H$19="X",L53&lt;N($C$19)),0,IF(B53="G마켓",ROUNDDOWN(MIN(L53*$D$19,IF($E$19="",9E+99,$E$19)),0),ROUNDUP(MIN(L53*$D$19,IF($E$19="",9E+99,$E$19)),0))))</f>
        <v/>
      </c>
      <c r="Q53" s="19">
        <f>IF(G53="","",L53-MAX(M53:P53))</f>
        <v/>
      </c>
      <c r="R53" s="20">
        <f>IF(Q53="","",IF(OR($D$23="",Q53&lt;N($C$23)),0,IF(B53="G마켓",ROUNDDOWN(MIN(Q53*$D$23,IF($E$23="",9E+99,$E$23)),0),ROUNDUP(MIN(Q53*$D$23,IF($E$23="",9E+99,$E$23)),0))))</f>
        <v/>
      </c>
      <c r="S53" s="20">
        <f>IF(Q53="","",IF(OR($D$24="",Q53&lt;N($C$24)),0,IF(B53="G마켓",ROUNDDOWN(MIN(Q53*$D$24,IF($E$24="",9E+99,$E$24)),0),ROUNDUP(MIN(Q53*$D$24,IF($E$24="",9E+99,$E$24)),0))))</f>
        <v/>
      </c>
      <c r="T53" s="20">
        <f>IF(Q53="","",IF(OR($D$25="",Q53&lt;N($C$25)),0,IF(B53="G마켓",ROUNDDOWN(MIN(Q53*$D$25,IF($E$25="",9E+99,$E$25)),0),ROUNDUP(MIN(Q53*$D$25,IF($E$25="",9E+99,$E$25)),0))))</f>
        <v/>
      </c>
      <c r="U53" s="19">
        <f>IF(G53="","",MAX(R53:T53))</f>
        <v/>
      </c>
      <c r="V53" s="21">
        <f>IF(G53="","",Q53-U53)</f>
        <v/>
      </c>
      <c r="W53" s="19">
        <f>IF(G53="","",IF(B53="G마켓",ROUNDDOWN(MAX(I53*N($G$10),J53*N($G$11),K53*N($G$12))+MAX(M53*N($G$16),N53*N($G$17),O53*N($G$18),P53*N($G$19))+MAX(R53*N($G$23),S53*N($G$24),T53*N($G$25)),0),ROUNDUP(MAX(I53*N($G$10),J53*N($G$11),K53*N($G$12))+MAX(M53*N($G$16),N53*N($G$17),O53*N($G$18),P53*N($G$19))+MAX(R53*N($G$23),S53*N($G$24),T53*N($G$25)),0)))</f>
        <v/>
      </c>
      <c r="X53" s="21">
        <f>IF(G53="","",IF(B53="G마켓",ROUNDDOWN(G53-G53*$Q$6-W53,0),ROUNDUP(G53-G53*$Q$6-W53,0)))</f>
        <v/>
      </c>
    </row>
    <row r="54">
      <c r="B54" s="7" t="n"/>
      <c r="C54" s="7" t="n"/>
      <c r="D54" s="22" t="n"/>
      <c r="E54" s="23" t="n"/>
      <c r="F54" s="23" t="n"/>
      <c r="G54" s="19">
        <f>IF(E54="","",E54-N(F54))</f>
        <v/>
      </c>
      <c r="I54" s="20">
        <f>IF(G54="","",IF(OR($D$10="",$H$10="X",G54&lt;N($C$10)),0,IF(B54="G마켓",ROUNDDOWN(MIN(G54*$D$10,IF($E$10="",9E+99,$E$10)),0),ROUNDUP(MIN(G54*$D$10,IF($E$10="",9E+99,$E$10)),0))))</f>
        <v/>
      </c>
      <c r="J54" s="20">
        <f>IF(G54="","",IF(OR($D$11="",$H$11="X",G54&lt;N($C$11)),0,IF(B54="G마켓",ROUNDDOWN(MIN(G54*$D$11,IF($E$11="",9E+99,$E$11)),0),ROUNDUP(MIN(G54*$D$11,IF($E$11="",9E+99,$E$11)),0))))</f>
        <v/>
      </c>
      <c r="K54" s="20">
        <f>IF(G54="","",IF(OR($D$12="",$H$12="X",G54&lt;N($C$12)),0,IF(B54="G마켓",ROUNDDOWN(MIN(G54*$D$12,IF($E$12="",9E+99,$E$12)),0),ROUNDUP(MIN(G54*$D$12,IF($E$12="",9E+99,$E$12)),0))))</f>
        <v/>
      </c>
      <c r="L54" s="19">
        <f>IF(G54="","",G54-MAX(I54:K54))</f>
        <v/>
      </c>
      <c r="M54" s="20">
        <f>IF(L54="","",IF(OR($D$16="",$H$16="X",L54&lt;N($C$16)),0,IF(B54="G마켓",ROUNDDOWN(MIN(L54*$D$16,IF($E$16="",9E+99,$E$16)),0),ROUNDUP(MIN(L54*$D$16,IF($E$16="",9E+99,$E$16)),0))))</f>
        <v/>
      </c>
      <c r="N54" s="20">
        <f>IF(L54="","",IF(OR($D$17="",$H$17="X",L54&lt;N($C$17)),0,IF(B54="G마켓",ROUNDDOWN(MIN(L54*$D$17,IF($E$17="",9E+99,$E$17)),0),ROUNDUP(MIN(L54*$D$17,IF($E$17="",9E+99,$E$17)),0))))</f>
        <v/>
      </c>
      <c r="O54" s="20">
        <f>IF(L54="","",IF(OR($D$18="",$H$18="X",L54&lt;N($C$18)),0,IF(B54="G마켓",ROUNDDOWN(MIN(L54*$D$18,IF($E$18="",9E+99,$E$18)),0),ROUNDUP(MIN(L54*$D$18,IF($E$18="",9E+99,$E$18)),0))))</f>
        <v/>
      </c>
      <c r="P54" s="20">
        <f>IF(L54="","",IF(OR($D$19="",$H$19="X",L54&lt;N($C$19)),0,IF(B54="G마켓",ROUNDDOWN(MIN(L54*$D$19,IF($E$19="",9E+99,$E$19)),0),ROUNDUP(MIN(L54*$D$19,IF($E$19="",9E+99,$E$19)),0))))</f>
        <v/>
      </c>
      <c r="Q54" s="19">
        <f>IF(G54="","",L54-MAX(M54:P54))</f>
        <v/>
      </c>
      <c r="R54" s="20">
        <f>IF(Q54="","",IF(OR($D$23="",Q54&lt;N($C$23)),0,IF(B54="G마켓",ROUNDDOWN(MIN(Q54*$D$23,IF($E$23="",9E+99,$E$23)),0),ROUNDUP(MIN(Q54*$D$23,IF($E$23="",9E+99,$E$23)),0))))</f>
        <v/>
      </c>
      <c r="S54" s="20">
        <f>IF(Q54="","",IF(OR($D$24="",Q54&lt;N($C$24)),0,IF(B54="G마켓",ROUNDDOWN(MIN(Q54*$D$24,IF($E$24="",9E+99,$E$24)),0),ROUNDUP(MIN(Q54*$D$24,IF($E$24="",9E+99,$E$24)),0))))</f>
        <v/>
      </c>
      <c r="T54" s="20">
        <f>IF(Q54="","",IF(OR($D$25="",Q54&lt;N($C$25)),0,IF(B54="G마켓",ROUNDDOWN(MIN(Q54*$D$25,IF($E$25="",9E+99,$E$25)),0),ROUNDUP(MIN(Q54*$D$25,IF($E$25="",9E+99,$E$25)),0))))</f>
        <v/>
      </c>
      <c r="U54" s="19">
        <f>IF(G54="","",MAX(R54:T54))</f>
        <v/>
      </c>
      <c r="V54" s="21">
        <f>IF(G54="","",Q54-U54)</f>
        <v/>
      </c>
      <c r="W54" s="19">
        <f>IF(G54="","",IF(B54="G마켓",ROUNDDOWN(MAX(I54*N($G$10),J54*N($G$11),K54*N($G$12))+MAX(M54*N($G$16),N54*N($G$17),O54*N($G$18),P54*N($G$19))+MAX(R54*N($G$23),S54*N($G$24),T54*N($G$25)),0),ROUNDUP(MAX(I54*N($G$10),J54*N($G$11),K54*N($G$12))+MAX(M54*N($G$16),N54*N($G$17),O54*N($G$18),P54*N($G$19))+MAX(R54*N($G$23),S54*N($G$24),T54*N($G$25)),0)))</f>
        <v/>
      </c>
      <c r="X54" s="21">
        <f>IF(G54="","",IF(B54="G마켓",ROUNDDOWN(G54-G54*$Q$6-W54,0),ROUNDUP(G54-G54*$Q$6-W54,0)))</f>
        <v/>
      </c>
    </row>
    <row r="55">
      <c r="B55" s="7" t="n"/>
      <c r="C55" s="7" t="n"/>
      <c r="D55" s="22" t="n"/>
      <c r="E55" s="23" t="n"/>
      <c r="F55" s="23" t="n"/>
      <c r="G55" s="19">
        <f>IF(E55="","",E55-N(F55))</f>
        <v/>
      </c>
      <c r="I55" s="20">
        <f>IF(G55="","",IF(OR($D$10="",$H$10="X",G55&lt;N($C$10)),0,IF(B55="G마켓",ROUNDDOWN(MIN(G55*$D$10,IF($E$10="",9E+99,$E$10)),0),ROUNDUP(MIN(G55*$D$10,IF($E$10="",9E+99,$E$10)),0))))</f>
        <v/>
      </c>
      <c r="J55" s="20">
        <f>IF(G55="","",IF(OR($D$11="",$H$11="X",G55&lt;N($C$11)),0,IF(B55="G마켓",ROUNDDOWN(MIN(G55*$D$11,IF($E$11="",9E+99,$E$11)),0),ROUNDUP(MIN(G55*$D$11,IF($E$11="",9E+99,$E$11)),0))))</f>
        <v/>
      </c>
      <c r="K55" s="20">
        <f>IF(G55="","",IF(OR($D$12="",$H$12="X",G55&lt;N($C$12)),0,IF(B55="G마켓",ROUNDDOWN(MIN(G55*$D$12,IF($E$12="",9E+99,$E$12)),0),ROUNDUP(MIN(G55*$D$12,IF($E$12="",9E+99,$E$12)),0))))</f>
        <v/>
      </c>
      <c r="L55" s="19">
        <f>IF(G55="","",G55-MAX(I55:K55))</f>
        <v/>
      </c>
      <c r="M55" s="20">
        <f>IF(L55="","",IF(OR($D$16="",$H$16="X",L55&lt;N($C$16)),0,IF(B55="G마켓",ROUNDDOWN(MIN(L55*$D$16,IF($E$16="",9E+99,$E$16)),0),ROUNDUP(MIN(L55*$D$16,IF($E$16="",9E+99,$E$16)),0))))</f>
        <v/>
      </c>
      <c r="N55" s="20">
        <f>IF(L55="","",IF(OR($D$17="",$H$17="X",L55&lt;N($C$17)),0,IF(B55="G마켓",ROUNDDOWN(MIN(L55*$D$17,IF($E$17="",9E+99,$E$17)),0),ROUNDUP(MIN(L55*$D$17,IF($E$17="",9E+99,$E$17)),0))))</f>
        <v/>
      </c>
      <c r="O55" s="20">
        <f>IF(L55="","",IF(OR($D$18="",$H$18="X",L55&lt;N($C$18)),0,IF(B55="G마켓",ROUNDDOWN(MIN(L55*$D$18,IF($E$18="",9E+99,$E$18)),0),ROUNDUP(MIN(L55*$D$18,IF($E$18="",9E+99,$E$18)),0))))</f>
        <v/>
      </c>
      <c r="P55" s="20">
        <f>IF(L55="","",IF(OR($D$19="",$H$19="X",L55&lt;N($C$19)),0,IF(B55="G마켓",ROUNDDOWN(MIN(L55*$D$19,IF($E$19="",9E+99,$E$19)),0),ROUNDUP(MIN(L55*$D$19,IF($E$19="",9E+99,$E$19)),0))))</f>
        <v/>
      </c>
      <c r="Q55" s="19">
        <f>IF(G55="","",L55-MAX(M55:P55))</f>
        <v/>
      </c>
      <c r="R55" s="20">
        <f>IF(Q55="","",IF(OR($D$23="",Q55&lt;N($C$23)),0,IF(B55="G마켓",ROUNDDOWN(MIN(Q55*$D$23,IF($E$23="",9E+99,$E$23)),0),ROUNDUP(MIN(Q55*$D$23,IF($E$23="",9E+99,$E$23)),0))))</f>
        <v/>
      </c>
      <c r="S55" s="20">
        <f>IF(Q55="","",IF(OR($D$24="",Q55&lt;N($C$24)),0,IF(B55="G마켓",ROUNDDOWN(MIN(Q55*$D$24,IF($E$24="",9E+99,$E$24)),0),ROUNDUP(MIN(Q55*$D$24,IF($E$24="",9E+99,$E$24)),0))))</f>
        <v/>
      </c>
      <c r="T55" s="20">
        <f>IF(Q55="","",IF(OR($D$25="",Q55&lt;N($C$25)),0,IF(B55="G마켓",ROUNDDOWN(MIN(Q55*$D$25,IF($E$25="",9E+99,$E$25)),0),ROUNDUP(MIN(Q55*$D$25,IF($E$25="",9E+99,$E$25)),0))))</f>
        <v/>
      </c>
      <c r="U55" s="19">
        <f>IF(G55="","",MAX(R55:T55))</f>
        <v/>
      </c>
      <c r="V55" s="21">
        <f>IF(G55="","",Q55-U55)</f>
        <v/>
      </c>
      <c r="W55" s="19">
        <f>IF(G55="","",IF(B55="G마켓",ROUNDDOWN(MAX(I55*N($G$10),J55*N($G$11),K55*N($G$12))+MAX(M55*N($G$16),N55*N($G$17),O55*N($G$18),P55*N($G$19))+MAX(R55*N($G$23),S55*N($G$24),T55*N($G$25)),0),ROUNDUP(MAX(I55*N($G$10),J55*N($G$11),K55*N($G$12))+MAX(M55*N($G$16),N55*N($G$17),O55*N($G$18),P55*N($G$19))+MAX(R55*N($G$23),S55*N($G$24),T55*N($G$25)),0)))</f>
        <v/>
      </c>
      <c r="X55" s="21">
        <f>IF(G55="","",IF(B55="G마켓",ROUNDDOWN(G55-G55*$Q$6-W55,0),ROUNDUP(G55-G55*$Q$6-W55,0)))</f>
        <v/>
      </c>
    </row>
    <row r="56">
      <c r="B56" s="7" t="n"/>
      <c r="C56" s="7" t="n"/>
      <c r="D56" s="22" t="n"/>
      <c r="E56" s="23" t="n"/>
      <c r="F56" s="23" t="n"/>
      <c r="G56" s="19">
        <f>IF(E56="","",E56-N(F56))</f>
        <v/>
      </c>
      <c r="I56" s="20">
        <f>IF(G56="","",IF(OR($D$10="",$H$10="X",G56&lt;N($C$10)),0,IF(B56="G마켓",ROUNDDOWN(MIN(G56*$D$10,IF($E$10="",9E+99,$E$10)),0),ROUNDUP(MIN(G56*$D$10,IF($E$10="",9E+99,$E$10)),0))))</f>
        <v/>
      </c>
      <c r="J56" s="20">
        <f>IF(G56="","",IF(OR($D$11="",$H$11="X",G56&lt;N($C$11)),0,IF(B56="G마켓",ROUNDDOWN(MIN(G56*$D$11,IF($E$11="",9E+99,$E$11)),0),ROUNDUP(MIN(G56*$D$11,IF($E$11="",9E+99,$E$11)),0))))</f>
        <v/>
      </c>
      <c r="K56" s="20">
        <f>IF(G56="","",IF(OR($D$12="",$H$12="X",G56&lt;N($C$12)),0,IF(B56="G마켓",ROUNDDOWN(MIN(G56*$D$12,IF($E$12="",9E+99,$E$12)),0),ROUNDUP(MIN(G56*$D$12,IF($E$12="",9E+99,$E$12)),0))))</f>
        <v/>
      </c>
      <c r="L56" s="19">
        <f>IF(G56="","",G56-MAX(I56:K56))</f>
        <v/>
      </c>
      <c r="M56" s="20">
        <f>IF(L56="","",IF(OR($D$16="",$H$16="X",L56&lt;N($C$16)),0,IF(B56="G마켓",ROUNDDOWN(MIN(L56*$D$16,IF($E$16="",9E+99,$E$16)),0),ROUNDUP(MIN(L56*$D$16,IF($E$16="",9E+99,$E$16)),0))))</f>
        <v/>
      </c>
      <c r="N56" s="20">
        <f>IF(L56="","",IF(OR($D$17="",$H$17="X",L56&lt;N($C$17)),0,IF(B56="G마켓",ROUNDDOWN(MIN(L56*$D$17,IF($E$17="",9E+99,$E$17)),0),ROUNDUP(MIN(L56*$D$17,IF($E$17="",9E+99,$E$17)),0))))</f>
        <v/>
      </c>
      <c r="O56" s="20">
        <f>IF(L56="","",IF(OR($D$18="",$H$18="X",L56&lt;N($C$18)),0,IF(B56="G마켓",ROUNDDOWN(MIN(L56*$D$18,IF($E$18="",9E+99,$E$18)),0),ROUNDUP(MIN(L56*$D$18,IF($E$18="",9E+99,$E$18)),0))))</f>
        <v/>
      </c>
      <c r="P56" s="20">
        <f>IF(L56="","",IF(OR($D$19="",$H$19="X",L56&lt;N($C$19)),0,IF(B56="G마켓",ROUNDDOWN(MIN(L56*$D$19,IF($E$19="",9E+99,$E$19)),0),ROUNDUP(MIN(L56*$D$19,IF($E$19="",9E+99,$E$19)),0))))</f>
        <v/>
      </c>
      <c r="Q56" s="19">
        <f>IF(G56="","",L56-MAX(M56:P56))</f>
        <v/>
      </c>
      <c r="R56" s="20">
        <f>IF(Q56="","",IF(OR($D$23="",Q56&lt;N($C$23)),0,IF(B56="G마켓",ROUNDDOWN(MIN(Q56*$D$23,IF($E$23="",9E+99,$E$23)),0),ROUNDUP(MIN(Q56*$D$23,IF($E$23="",9E+99,$E$23)),0))))</f>
        <v/>
      </c>
      <c r="S56" s="20">
        <f>IF(Q56="","",IF(OR($D$24="",Q56&lt;N($C$24)),0,IF(B56="G마켓",ROUNDDOWN(MIN(Q56*$D$24,IF($E$24="",9E+99,$E$24)),0),ROUNDUP(MIN(Q56*$D$24,IF($E$24="",9E+99,$E$24)),0))))</f>
        <v/>
      </c>
      <c r="T56" s="20">
        <f>IF(Q56="","",IF(OR($D$25="",Q56&lt;N($C$25)),0,IF(B56="G마켓",ROUNDDOWN(MIN(Q56*$D$25,IF($E$25="",9E+99,$E$25)),0),ROUNDUP(MIN(Q56*$D$25,IF($E$25="",9E+99,$E$25)),0))))</f>
        <v/>
      </c>
      <c r="U56" s="19">
        <f>IF(G56="","",MAX(R56:T56))</f>
        <v/>
      </c>
      <c r="V56" s="21">
        <f>IF(G56="","",Q56-U56)</f>
        <v/>
      </c>
      <c r="W56" s="19">
        <f>IF(G56="","",IF(B56="G마켓",ROUNDDOWN(MAX(I56*N($G$10),J56*N($G$11),K56*N($G$12))+MAX(M56*N($G$16),N56*N($G$17),O56*N($G$18),P56*N($G$19))+MAX(R56*N($G$23),S56*N($G$24),T56*N($G$25)),0),ROUNDUP(MAX(I56*N($G$10),J56*N($G$11),K56*N($G$12))+MAX(M56*N($G$16),N56*N($G$17),O56*N($G$18),P56*N($G$19))+MAX(R56*N($G$23),S56*N($G$24),T56*N($G$25)),0)))</f>
        <v/>
      </c>
      <c r="X56" s="21">
        <f>IF(G56="","",IF(B56="G마켓",ROUNDDOWN(G56-G56*$Q$6-W56,0),ROUNDUP(G56-G56*$Q$6-W56,0)))</f>
        <v/>
      </c>
    </row>
    <row r="57">
      <c r="B57" s="7" t="n"/>
      <c r="C57" s="7" t="n"/>
      <c r="D57" s="22" t="n"/>
      <c r="E57" s="23" t="n"/>
      <c r="F57" s="23" t="n"/>
      <c r="G57" s="19">
        <f>IF(E57="","",E57-N(F57))</f>
        <v/>
      </c>
      <c r="I57" s="20">
        <f>IF(G57="","",IF(OR($D$10="",$H$10="X",G57&lt;N($C$10)),0,IF(B57="G마켓",ROUNDDOWN(MIN(G57*$D$10,IF($E$10="",9E+99,$E$10)),0),ROUNDUP(MIN(G57*$D$10,IF($E$10="",9E+99,$E$10)),0))))</f>
        <v/>
      </c>
      <c r="J57" s="20">
        <f>IF(G57="","",IF(OR($D$11="",$H$11="X",G57&lt;N($C$11)),0,IF(B57="G마켓",ROUNDDOWN(MIN(G57*$D$11,IF($E$11="",9E+99,$E$11)),0),ROUNDUP(MIN(G57*$D$11,IF($E$11="",9E+99,$E$11)),0))))</f>
        <v/>
      </c>
      <c r="K57" s="20">
        <f>IF(G57="","",IF(OR($D$12="",$H$12="X",G57&lt;N($C$12)),0,IF(B57="G마켓",ROUNDDOWN(MIN(G57*$D$12,IF($E$12="",9E+99,$E$12)),0),ROUNDUP(MIN(G57*$D$12,IF($E$12="",9E+99,$E$12)),0))))</f>
        <v/>
      </c>
      <c r="L57" s="19">
        <f>IF(G57="","",G57-MAX(I57:K57))</f>
        <v/>
      </c>
      <c r="M57" s="20">
        <f>IF(L57="","",IF(OR($D$16="",$H$16="X",L57&lt;N($C$16)),0,IF(B57="G마켓",ROUNDDOWN(MIN(L57*$D$16,IF($E$16="",9E+99,$E$16)),0),ROUNDUP(MIN(L57*$D$16,IF($E$16="",9E+99,$E$16)),0))))</f>
        <v/>
      </c>
      <c r="N57" s="20">
        <f>IF(L57="","",IF(OR($D$17="",$H$17="X",L57&lt;N($C$17)),0,IF(B57="G마켓",ROUNDDOWN(MIN(L57*$D$17,IF($E$17="",9E+99,$E$17)),0),ROUNDUP(MIN(L57*$D$17,IF($E$17="",9E+99,$E$17)),0))))</f>
        <v/>
      </c>
      <c r="O57" s="20">
        <f>IF(L57="","",IF(OR($D$18="",$H$18="X",L57&lt;N($C$18)),0,IF(B57="G마켓",ROUNDDOWN(MIN(L57*$D$18,IF($E$18="",9E+99,$E$18)),0),ROUNDUP(MIN(L57*$D$18,IF($E$18="",9E+99,$E$18)),0))))</f>
        <v/>
      </c>
      <c r="P57" s="20">
        <f>IF(L57="","",IF(OR($D$19="",$H$19="X",L57&lt;N($C$19)),0,IF(B57="G마켓",ROUNDDOWN(MIN(L57*$D$19,IF($E$19="",9E+99,$E$19)),0),ROUNDUP(MIN(L57*$D$19,IF($E$19="",9E+99,$E$19)),0))))</f>
        <v/>
      </c>
      <c r="Q57" s="19">
        <f>IF(G57="","",L57-MAX(M57:P57))</f>
        <v/>
      </c>
      <c r="R57" s="20">
        <f>IF(Q57="","",IF(OR($D$23="",Q57&lt;N($C$23)),0,IF(B57="G마켓",ROUNDDOWN(MIN(Q57*$D$23,IF($E$23="",9E+99,$E$23)),0),ROUNDUP(MIN(Q57*$D$23,IF($E$23="",9E+99,$E$23)),0))))</f>
        <v/>
      </c>
      <c r="S57" s="20">
        <f>IF(Q57="","",IF(OR($D$24="",Q57&lt;N($C$24)),0,IF(B57="G마켓",ROUNDDOWN(MIN(Q57*$D$24,IF($E$24="",9E+99,$E$24)),0),ROUNDUP(MIN(Q57*$D$24,IF($E$24="",9E+99,$E$24)),0))))</f>
        <v/>
      </c>
      <c r="T57" s="20">
        <f>IF(Q57="","",IF(OR($D$25="",Q57&lt;N($C$25)),0,IF(B57="G마켓",ROUNDDOWN(MIN(Q57*$D$25,IF($E$25="",9E+99,$E$25)),0),ROUNDUP(MIN(Q57*$D$25,IF($E$25="",9E+99,$E$25)),0))))</f>
        <v/>
      </c>
      <c r="U57" s="19">
        <f>IF(G57="","",MAX(R57:T57))</f>
        <v/>
      </c>
      <c r="V57" s="21">
        <f>IF(G57="","",Q57-U57)</f>
        <v/>
      </c>
      <c r="W57" s="19">
        <f>IF(G57="","",IF(B57="G마켓",ROUNDDOWN(MAX(I57*N($G$10),J57*N($G$11),K57*N($G$12))+MAX(M57*N($G$16),N57*N($G$17),O57*N($G$18),P57*N($G$19))+MAX(R57*N($G$23),S57*N($G$24),T57*N($G$25)),0),ROUNDUP(MAX(I57*N($G$10),J57*N($G$11),K57*N($G$12))+MAX(M57*N($G$16),N57*N($G$17),O57*N($G$18),P57*N($G$19))+MAX(R57*N($G$23),S57*N($G$24),T57*N($G$25)),0)))</f>
        <v/>
      </c>
      <c r="X57" s="21">
        <f>IF(G57="","",IF(B57="G마켓",ROUNDDOWN(G57-G57*$Q$6-W57,0),ROUNDUP(G57-G57*$Q$6-W57,0)))</f>
        <v/>
      </c>
    </row>
    <row r="58">
      <c r="B58" s="7" t="n"/>
      <c r="C58" s="7" t="n"/>
      <c r="D58" s="22" t="n"/>
      <c r="E58" s="23" t="n"/>
      <c r="F58" s="23" t="n"/>
      <c r="G58" s="19">
        <f>IF(E58="","",E58-N(F58))</f>
        <v/>
      </c>
      <c r="I58" s="20">
        <f>IF(G58="","",IF(OR($D$10="",$H$10="X",G58&lt;N($C$10)),0,IF(B58="G마켓",ROUNDDOWN(MIN(G58*$D$10,IF($E$10="",9E+99,$E$10)),0),ROUNDUP(MIN(G58*$D$10,IF($E$10="",9E+99,$E$10)),0))))</f>
        <v/>
      </c>
      <c r="J58" s="20">
        <f>IF(G58="","",IF(OR($D$11="",$H$11="X",G58&lt;N($C$11)),0,IF(B58="G마켓",ROUNDDOWN(MIN(G58*$D$11,IF($E$11="",9E+99,$E$11)),0),ROUNDUP(MIN(G58*$D$11,IF($E$11="",9E+99,$E$11)),0))))</f>
        <v/>
      </c>
      <c r="K58" s="20">
        <f>IF(G58="","",IF(OR($D$12="",$H$12="X",G58&lt;N($C$12)),0,IF(B58="G마켓",ROUNDDOWN(MIN(G58*$D$12,IF($E$12="",9E+99,$E$12)),0),ROUNDUP(MIN(G58*$D$12,IF($E$12="",9E+99,$E$12)),0))))</f>
        <v/>
      </c>
      <c r="L58" s="19">
        <f>IF(G58="","",G58-MAX(I58:K58))</f>
        <v/>
      </c>
      <c r="M58" s="20">
        <f>IF(L58="","",IF(OR($D$16="",$H$16="X",L58&lt;N($C$16)),0,IF(B58="G마켓",ROUNDDOWN(MIN(L58*$D$16,IF($E$16="",9E+99,$E$16)),0),ROUNDUP(MIN(L58*$D$16,IF($E$16="",9E+99,$E$16)),0))))</f>
        <v/>
      </c>
      <c r="N58" s="20">
        <f>IF(L58="","",IF(OR($D$17="",$H$17="X",L58&lt;N($C$17)),0,IF(B58="G마켓",ROUNDDOWN(MIN(L58*$D$17,IF($E$17="",9E+99,$E$17)),0),ROUNDUP(MIN(L58*$D$17,IF($E$17="",9E+99,$E$17)),0))))</f>
        <v/>
      </c>
      <c r="O58" s="20">
        <f>IF(L58="","",IF(OR($D$18="",$H$18="X",L58&lt;N($C$18)),0,IF(B58="G마켓",ROUNDDOWN(MIN(L58*$D$18,IF($E$18="",9E+99,$E$18)),0),ROUNDUP(MIN(L58*$D$18,IF($E$18="",9E+99,$E$18)),0))))</f>
        <v/>
      </c>
      <c r="P58" s="20">
        <f>IF(L58="","",IF(OR($D$19="",$H$19="X",L58&lt;N($C$19)),0,IF(B58="G마켓",ROUNDDOWN(MIN(L58*$D$19,IF($E$19="",9E+99,$E$19)),0),ROUNDUP(MIN(L58*$D$19,IF($E$19="",9E+99,$E$19)),0))))</f>
        <v/>
      </c>
      <c r="Q58" s="19">
        <f>IF(G58="","",L58-MAX(M58:P58))</f>
        <v/>
      </c>
      <c r="R58" s="20">
        <f>IF(Q58="","",IF(OR($D$23="",Q58&lt;N($C$23)),0,IF(B58="G마켓",ROUNDDOWN(MIN(Q58*$D$23,IF($E$23="",9E+99,$E$23)),0),ROUNDUP(MIN(Q58*$D$23,IF($E$23="",9E+99,$E$23)),0))))</f>
        <v/>
      </c>
      <c r="S58" s="20">
        <f>IF(Q58="","",IF(OR($D$24="",Q58&lt;N($C$24)),0,IF(B58="G마켓",ROUNDDOWN(MIN(Q58*$D$24,IF($E$24="",9E+99,$E$24)),0),ROUNDUP(MIN(Q58*$D$24,IF($E$24="",9E+99,$E$24)),0))))</f>
        <v/>
      </c>
      <c r="T58" s="20">
        <f>IF(Q58="","",IF(OR($D$25="",Q58&lt;N($C$25)),0,IF(B58="G마켓",ROUNDDOWN(MIN(Q58*$D$25,IF($E$25="",9E+99,$E$25)),0),ROUNDUP(MIN(Q58*$D$25,IF($E$25="",9E+99,$E$25)),0))))</f>
        <v/>
      </c>
      <c r="U58" s="19">
        <f>IF(G58="","",MAX(R58:T58))</f>
        <v/>
      </c>
      <c r="V58" s="21">
        <f>IF(G58="","",Q58-U58)</f>
        <v/>
      </c>
      <c r="W58" s="19">
        <f>IF(G58="","",IF(B58="G마켓",ROUNDDOWN(MAX(I58*N($G$10),J58*N($G$11),K58*N($G$12))+MAX(M58*N($G$16),N58*N($G$17),O58*N($G$18),P58*N($G$19))+MAX(R58*N($G$23),S58*N($G$24),T58*N($G$25)),0),ROUNDUP(MAX(I58*N($G$10),J58*N($G$11),K58*N($G$12))+MAX(M58*N($G$16),N58*N($G$17),O58*N($G$18),P58*N($G$19))+MAX(R58*N($G$23),S58*N($G$24),T58*N($G$25)),0)))</f>
        <v/>
      </c>
      <c r="X58" s="21">
        <f>IF(G58="","",IF(B58="G마켓",ROUNDDOWN(G58-G58*$Q$6-W58,0),ROUNDUP(G58-G58*$Q$6-W58,0)))</f>
        <v/>
      </c>
    </row>
    <row r="59">
      <c r="B59" s="7" t="n"/>
      <c r="C59" s="7" t="n"/>
      <c r="D59" s="22" t="n"/>
      <c r="E59" s="23" t="n"/>
      <c r="F59" s="23" t="n"/>
      <c r="G59" s="19">
        <f>IF(E59="","",E59-N(F59))</f>
        <v/>
      </c>
      <c r="I59" s="20">
        <f>IF(G59="","",IF(OR($D$10="",$H$10="X",G59&lt;N($C$10)),0,IF(B59="G마켓",ROUNDDOWN(MIN(G59*$D$10,IF($E$10="",9E+99,$E$10)),0),ROUNDUP(MIN(G59*$D$10,IF($E$10="",9E+99,$E$10)),0))))</f>
        <v/>
      </c>
      <c r="J59" s="20">
        <f>IF(G59="","",IF(OR($D$11="",$H$11="X",G59&lt;N($C$11)),0,IF(B59="G마켓",ROUNDDOWN(MIN(G59*$D$11,IF($E$11="",9E+99,$E$11)),0),ROUNDUP(MIN(G59*$D$11,IF($E$11="",9E+99,$E$11)),0))))</f>
        <v/>
      </c>
      <c r="K59" s="20">
        <f>IF(G59="","",IF(OR($D$12="",$H$12="X",G59&lt;N($C$12)),0,IF(B59="G마켓",ROUNDDOWN(MIN(G59*$D$12,IF($E$12="",9E+99,$E$12)),0),ROUNDUP(MIN(G59*$D$12,IF($E$12="",9E+99,$E$12)),0))))</f>
        <v/>
      </c>
      <c r="L59" s="19">
        <f>IF(G59="","",G59-MAX(I59:K59))</f>
        <v/>
      </c>
      <c r="M59" s="20">
        <f>IF(L59="","",IF(OR($D$16="",$H$16="X",L59&lt;N($C$16)),0,IF(B59="G마켓",ROUNDDOWN(MIN(L59*$D$16,IF($E$16="",9E+99,$E$16)),0),ROUNDUP(MIN(L59*$D$16,IF($E$16="",9E+99,$E$16)),0))))</f>
        <v/>
      </c>
      <c r="N59" s="20">
        <f>IF(L59="","",IF(OR($D$17="",$H$17="X",L59&lt;N($C$17)),0,IF(B59="G마켓",ROUNDDOWN(MIN(L59*$D$17,IF($E$17="",9E+99,$E$17)),0),ROUNDUP(MIN(L59*$D$17,IF($E$17="",9E+99,$E$17)),0))))</f>
        <v/>
      </c>
      <c r="O59" s="20">
        <f>IF(L59="","",IF(OR($D$18="",$H$18="X",L59&lt;N($C$18)),0,IF(B59="G마켓",ROUNDDOWN(MIN(L59*$D$18,IF($E$18="",9E+99,$E$18)),0),ROUNDUP(MIN(L59*$D$18,IF($E$18="",9E+99,$E$18)),0))))</f>
        <v/>
      </c>
      <c r="P59" s="20">
        <f>IF(L59="","",IF(OR($D$19="",$H$19="X",L59&lt;N($C$19)),0,IF(B59="G마켓",ROUNDDOWN(MIN(L59*$D$19,IF($E$19="",9E+99,$E$19)),0),ROUNDUP(MIN(L59*$D$19,IF($E$19="",9E+99,$E$19)),0))))</f>
        <v/>
      </c>
      <c r="Q59" s="19">
        <f>IF(G59="","",L59-MAX(M59:P59))</f>
        <v/>
      </c>
      <c r="R59" s="20">
        <f>IF(Q59="","",IF(OR($D$23="",Q59&lt;N($C$23)),0,IF(B59="G마켓",ROUNDDOWN(MIN(Q59*$D$23,IF($E$23="",9E+99,$E$23)),0),ROUNDUP(MIN(Q59*$D$23,IF($E$23="",9E+99,$E$23)),0))))</f>
        <v/>
      </c>
      <c r="S59" s="20">
        <f>IF(Q59="","",IF(OR($D$24="",Q59&lt;N($C$24)),0,IF(B59="G마켓",ROUNDDOWN(MIN(Q59*$D$24,IF($E$24="",9E+99,$E$24)),0),ROUNDUP(MIN(Q59*$D$24,IF($E$24="",9E+99,$E$24)),0))))</f>
        <v/>
      </c>
      <c r="T59" s="20">
        <f>IF(Q59="","",IF(OR($D$25="",Q59&lt;N($C$25)),0,IF(B59="G마켓",ROUNDDOWN(MIN(Q59*$D$25,IF($E$25="",9E+99,$E$25)),0),ROUNDUP(MIN(Q59*$D$25,IF($E$25="",9E+99,$E$25)),0))))</f>
        <v/>
      </c>
      <c r="U59" s="19">
        <f>IF(G59="","",MAX(R59:T59))</f>
        <v/>
      </c>
      <c r="V59" s="21">
        <f>IF(G59="","",Q59-U59)</f>
        <v/>
      </c>
      <c r="W59" s="19">
        <f>IF(G59="","",IF(B59="G마켓",ROUNDDOWN(MAX(I59*N($G$10),J59*N($G$11),K59*N($G$12))+MAX(M59*N($G$16),N59*N($G$17),O59*N($G$18),P59*N($G$19))+MAX(R59*N($G$23),S59*N($G$24),T59*N($G$25)),0),ROUNDUP(MAX(I59*N($G$10),J59*N($G$11),K59*N($G$12))+MAX(M59*N($G$16),N59*N($G$17),O59*N($G$18),P59*N($G$19))+MAX(R59*N($G$23),S59*N($G$24),T59*N($G$25)),0)))</f>
        <v/>
      </c>
      <c r="X59" s="21">
        <f>IF(G59="","",IF(B59="G마켓",ROUNDDOWN(G59-G59*$Q$6-W59,0),ROUNDUP(G59-G59*$Q$6-W59,0)))</f>
        <v/>
      </c>
    </row>
    <row r="60">
      <c r="B60" s="7" t="n"/>
      <c r="C60" s="7" t="n"/>
      <c r="D60" s="22" t="n"/>
      <c r="E60" s="23" t="n"/>
      <c r="F60" s="23" t="n"/>
      <c r="G60" s="19">
        <f>IF(E60="","",E60-N(F60))</f>
        <v/>
      </c>
      <c r="I60" s="20">
        <f>IF(G60="","",IF(OR($D$10="",$H$10="X",G60&lt;N($C$10)),0,IF(B60="G마켓",ROUNDDOWN(MIN(G60*$D$10,IF($E$10="",9E+99,$E$10)),0),ROUNDUP(MIN(G60*$D$10,IF($E$10="",9E+99,$E$10)),0))))</f>
        <v/>
      </c>
      <c r="J60" s="20">
        <f>IF(G60="","",IF(OR($D$11="",$H$11="X",G60&lt;N($C$11)),0,IF(B60="G마켓",ROUNDDOWN(MIN(G60*$D$11,IF($E$11="",9E+99,$E$11)),0),ROUNDUP(MIN(G60*$D$11,IF($E$11="",9E+99,$E$11)),0))))</f>
        <v/>
      </c>
      <c r="K60" s="20">
        <f>IF(G60="","",IF(OR($D$12="",$H$12="X",G60&lt;N($C$12)),0,IF(B60="G마켓",ROUNDDOWN(MIN(G60*$D$12,IF($E$12="",9E+99,$E$12)),0),ROUNDUP(MIN(G60*$D$12,IF($E$12="",9E+99,$E$12)),0))))</f>
        <v/>
      </c>
      <c r="L60" s="19">
        <f>IF(G60="","",G60-MAX(I60:K60))</f>
        <v/>
      </c>
      <c r="M60" s="20">
        <f>IF(L60="","",IF(OR($D$16="",$H$16="X",L60&lt;N($C$16)),0,IF(B60="G마켓",ROUNDDOWN(MIN(L60*$D$16,IF($E$16="",9E+99,$E$16)),0),ROUNDUP(MIN(L60*$D$16,IF($E$16="",9E+99,$E$16)),0))))</f>
        <v/>
      </c>
      <c r="N60" s="20">
        <f>IF(L60="","",IF(OR($D$17="",$H$17="X",L60&lt;N($C$17)),0,IF(B60="G마켓",ROUNDDOWN(MIN(L60*$D$17,IF($E$17="",9E+99,$E$17)),0),ROUNDUP(MIN(L60*$D$17,IF($E$17="",9E+99,$E$17)),0))))</f>
        <v/>
      </c>
      <c r="O60" s="20">
        <f>IF(L60="","",IF(OR($D$18="",$H$18="X",L60&lt;N($C$18)),0,IF(B60="G마켓",ROUNDDOWN(MIN(L60*$D$18,IF($E$18="",9E+99,$E$18)),0),ROUNDUP(MIN(L60*$D$18,IF($E$18="",9E+99,$E$18)),0))))</f>
        <v/>
      </c>
      <c r="P60" s="20">
        <f>IF(L60="","",IF(OR($D$19="",$H$19="X",L60&lt;N($C$19)),0,IF(B60="G마켓",ROUNDDOWN(MIN(L60*$D$19,IF($E$19="",9E+99,$E$19)),0),ROUNDUP(MIN(L60*$D$19,IF($E$19="",9E+99,$E$19)),0))))</f>
        <v/>
      </c>
      <c r="Q60" s="19">
        <f>IF(G60="","",L60-MAX(M60:P60))</f>
        <v/>
      </c>
      <c r="R60" s="20">
        <f>IF(Q60="","",IF(OR($D$23="",Q60&lt;N($C$23)),0,IF(B60="G마켓",ROUNDDOWN(MIN(Q60*$D$23,IF($E$23="",9E+99,$E$23)),0),ROUNDUP(MIN(Q60*$D$23,IF($E$23="",9E+99,$E$23)),0))))</f>
        <v/>
      </c>
      <c r="S60" s="20">
        <f>IF(Q60="","",IF(OR($D$24="",Q60&lt;N($C$24)),0,IF(B60="G마켓",ROUNDDOWN(MIN(Q60*$D$24,IF($E$24="",9E+99,$E$24)),0),ROUNDUP(MIN(Q60*$D$24,IF($E$24="",9E+99,$E$24)),0))))</f>
        <v/>
      </c>
      <c r="T60" s="20">
        <f>IF(Q60="","",IF(OR($D$25="",Q60&lt;N($C$25)),0,IF(B60="G마켓",ROUNDDOWN(MIN(Q60*$D$25,IF($E$25="",9E+99,$E$25)),0),ROUNDUP(MIN(Q60*$D$25,IF($E$25="",9E+99,$E$25)),0))))</f>
        <v/>
      </c>
      <c r="U60" s="19">
        <f>IF(G60="","",MAX(R60:T60))</f>
        <v/>
      </c>
      <c r="V60" s="21">
        <f>IF(G60="","",Q60-U60)</f>
        <v/>
      </c>
      <c r="W60" s="19">
        <f>IF(G60="","",IF(B60="G마켓",ROUNDDOWN(MAX(I60*N($G$10),J60*N($G$11),K60*N($G$12))+MAX(M60*N($G$16),N60*N($G$17),O60*N($G$18),P60*N($G$19))+MAX(R60*N($G$23),S60*N($G$24),T60*N($G$25)),0),ROUNDUP(MAX(I60*N($G$10),J60*N($G$11),K60*N($G$12))+MAX(M60*N($G$16),N60*N($G$17),O60*N($G$18),P60*N($G$19))+MAX(R60*N($G$23),S60*N($G$24),T60*N($G$25)),0)))</f>
        <v/>
      </c>
      <c r="X60" s="21">
        <f>IF(G60="","",IF(B60="G마켓",ROUNDDOWN(G60-G60*$Q$6-W60,0),ROUNDUP(G60-G60*$Q$6-W60,0)))</f>
        <v/>
      </c>
    </row>
    <row r="61">
      <c r="B61" s="7" t="n"/>
      <c r="C61" s="7" t="n"/>
      <c r="D61" s="22" t="n"/>
      <c r="E61" s="23" t="n"/>
      <c r="F61" s="23" t="n"/>
      <c r="G61" s="19">
        <f>IF(E61="","",E61-N(F61))</f>
        <v/>
      </c>
      <c r="I61" s="20">
        <f>IF(G61="","",IF(OR($D$10="",$H$10="X",G61&lt;N($C$10)),0,IF(B61="G마켓",ROUNDDOWN(MIN(G61*$D$10,IF($E$10="",9E+99,$E$10)),0),ROUNDUP(MIN(G61*$D$10,IF($E$10="",9E+99,$E$10)),0))))</f>
        <v/>
      </c>
      <c r="J61" s="20">
        <f>IF(G61="","",IF(OR($D$11="",$H$11="X",G61&lt;N($C$11)),0,IF(B61="G마켓",ROUNDDOWN(MIN(G61*$D$11,IF($E$11="",9E+99,$E$11)),0),ROUNDUP(MIN(G61*$D$11,IF($E$11="",9E+99,$E$11)),0))))</f>
        <v/>
      </c>
      <c r="K61" s="20">
        <f>IF(G61="","",IF(OR($D$12="",$H$12="X",G61&lt;N($C$12)),0,IF(B61="G마켓",ROUNDDOWN(MIN(G61*$D$12,IF($E$12="",9E+99,$E$12)),0),ROUNDUP(MIN(G61*$D$12,IF($E$12="",9E+99,$E$12)),0))))</f>
        <v/>
      </c>
      <c r="L61" s="19">
        <f>IF(G61="","",G61-MAX(I61:K61))</f>
        <v/>
      </c>
      <c r="M61" s="20">
        <f>IF(L61="","",IF(OR($D$16="",$H$16="X",L61&lt;N($C$16)),0,IF(B61="G마켓",ROUNDDOWN(MIN(L61*$D$16,IF($E$16="",9E+99,$E$16)),0),ROUNDUP(MIN(L61*$D$16,IF($E$16="",9E+99,$E$16)),0))))</f>
        <v/>
      </c>
      <c r="N61" s="20">
        <f>IF(L61="","",IF(OR($D$17="",$H$17="X",L61&lt;N($C$17)),0,IF(B61="G마켓",ROUNDDOWN(MIN(L61*$D$17,IF($E$17="",9E+99,$E$17)),0),ROUNDUP(MIN(L61*$D$17,IF($E$17="",9E+99,$E$17)),0))))</f>
        <v/>
      </c>
      <c r="O61" s="20">
        <f>IF(L61="","",IF(OR($D$18="",$H$18="X",L61&lt;N($C$18)),0,IF(B61="G마켓",ROUNDDOWN(MIN(L61*$D$18,IF($E$18="",9E+99,$E$18)),0),ROUNDUP(MIN(L61*$D$18,IF($E$18="",9E+99,$E$18)),0))))</f>
        <v/>
      </c>
      <c r="P61" s="20">
        <f>IF(L61="","",IF(OR($D$19="",$H$19="X",L61&lt;N($C$19)),0,IF(B61="G마켓",ROUNDDOWN(MIN(L61*$D$19,IF($E$19="",9E+99,$E$19)),0),ROUNDUP(MIN(L61*$D$19,IF($E$19="",9E+99,$E$19)),0))))</f>
        <v/>
      </c>
      <c r="Q61" s="19">
        <f>IF(G61="","",L61-MAX(M61:P61))</f>
        <v/>
      </c>
      <c r="R61" s="20">
        <f>IF(Q61="","",IF(OR($D$23="",Q61&lt;N($C$23)),0,IF(B61="G마켓",ROUNDDOWN(MIN(Q61*$D$23,IF($E$23="",9E+99,$E$23)),0),ROUNDUP(MIN(Q61*$D$23,IF($E$23="",9E+99,$E$23)),0))))</f>
        <v/>
      </c>
      <c r="S61" s="20">
        <f>IF(Q61="","",IF(OR($D$24="",Q61&lt;N($C$24)),0,IF(B61="G마켓",ROUNDDOWN(MIN(Q61*$D$24,IF($E$24="",9E+99,$E$24)),0),ROUNDUP(MIN(Q61*$D$24,IF($E$24="",9E+99,$E$24)),0))))</f>
        <v/>
      </c>
      <c r="T61" s="20">
        <f>IF(Q61="","",IF(OR($D$25="",Q61&lt;N($C$25)),0,IF(B61="G마켓",ROUNDDOWN(MIN(Q61*$D$25,IF($E$25="",9E+99,$E$25)),0),ROUNDUP(MIN(Q61*$D$25,IF($E$25="",9E+99,$E$25)),0))))</f>
        <v/>
      </c>
      <c r="U61" s="19">
        <f>IF(G61="","",MAX(R61:T61))</f>
        <v/>
      </c>
      <c r="V61" s="21">
        <f>IF(G61="","",Q61-U61)</f>
        <v/>
      </c>
      <c r="W61" s="19">
        <f>IF(G61="","",IF(B61="G마켓",ROUNDDOWN(MAX(I61*N($G$10),J61*N($G$11),K61*N($G$12))+MAX(M61*N($G$16),N61*N($G$17),O61*N($G$18),P61*N($G$19))+MAX(R61*N($G$23),S61*N($G$24),T61*N($G$25)),0),ROUNDUP(MAX(I61*N($G$10),J61*N($G$11),K61*N($G$12))+MAX(M61*N($G$16),N61*N($G$17),O61*N($G$18),P61*N($G$19))+MAX(R61*N($G$23),S61*N($G$24),T61*N($G$25)),0)))</f>
        <v/>
      </c>
      <c r="X61" s="21">
        <f>IF(G61="","",IF(B61="G마켓",ROUNDDOWN(G61-G61*$Q$6-W61,0),ROUNDUP(G61-G61*$Q$6-W61,0)))</f>
        <v/>
      </c>
    </row>
    <row r="62">
      <c r="B62" s="7" t="n"/>
      <c r="C62" s="7" t="n"/>
      <c r="D62" s="22" t="n"/>
      <c r="E62" s="23" t="n"/>
      <c r="F62" s="23" t="n"/>
      <c r="G62" s="19">
        <f>IF(E62="","",E62-N(F62))</f>
        <v/>
      </c>
      <c r="I62" s="20">
        <f>IF(G62="","",IF(OR($D$10="",$H$10="X",G62&lt;N($C$10)),0,IF(B62="G마켓",ROUNDDOWN(MIN(G62*$D$10,IF($E$10="",9E+99,$E$10)),0),ROUNDUP(MIN(G62*$D$10,IF($E$10="",9E+99,$E$10)),0))))</f>
        <v/>
      </c>
      <c r="J62" s="20">
        <f>IF(G62="","",IF(OR($D$11="",$H$11="X",G62&lt;N($C$11)),0,IF(B62="G마켓",ROUNDDOWN(MIN(G62*$D$11,IF($E$11="",9E+99,$E$11)),0),ROUNDUP(MIN(G62*$D$11,IF($E$11="",9E+99,$E$11)),0))))</f>
        <v/>
      </c>
      <c r="K62" s="20">
        <f>IF(G62="","",IF(OR($D$12="",$H$12="X",G62&lt;N($C$12)),0,IF(B62="G마켓",ROUNDDOWN(MIN(G62*$D$12,IF($E$12="",9E+99,$E$12)),0),ROUNDUP(MIN(G62*$D$12,IF($E$12="",9E+99,$E$12)),0))))</f>
        <v/>
      </c>
      <c r="L62" s="19">
        <f>IF(G62="","",G62-MAX(I62:K62))</f>
        <v/>
      </c>
      <c r="M62" s="20">
        <f>IF(L62="","",IF(OR($D$16="",$H$16="X",L62&lt;N($C$16)),0,IF(B62="G마켓",ROUNDDOWN(MIN(L62*$D$16,IF($E$16="",9E+99,$E$16)),0),ROUNDUP(MIN(L62*$D$16,IF($E$16="",9E+99,$E$16)),0))))</f>
        <v/>
      </c>
      <c r="N62" s="20">
        <f>IF(L62="","",IF(OR($D$17="",$H$17="X",L62&lt;N($C$17)),0,IF(B62="G마켓",ROUNDDOWN(MIN(L62*$D$17,IF($E$17="",9E+99,$E$17)),0),ROUNDUP(MIN(L62*$D$17,IF($E$17="",9E+99,$E$17)),0))))</f>
        <v/>
      </c>
      <c r="O62" s="20">
        <f>IF(L62="","",IF(OR($D$18="",$H$18="X",L62&lt;N($C$18)),0,IF(B62="G마켓",ROUNDDOWN(MIN(L62*$D$18,IF($E$18="",9E+99,$E$18)),0),ROUNDUP(MIN(L62*$D$18,IF($E$18="",9E+99,$E$18)),0))))</f>
        <v/>
      </c>
      <c r="P62" s="20">
        <f>IF(L62="","",IF(OR($D$19="",$H$19="X",L62&lt;N($C$19)),0,IF(B62="G마켓",ROUNDDOWN(MIN(L62*$D$19,IF($E$19="",9E+99,$E$19)),0),ROUNDUP(MIN(L62*$D$19,IF($E$19="",9E+99,$E$19)),0))))</f>
        <v/>
      </c>
      <c r="Q62" s="19">
        <f>IF(G62="","",L62-MAX(M62:P62))</f>
        <v/>
      </c>
      <c r="R62" s="20">
        <f>IF(Q62="","",IF(OR($D$23="",Q62&lt;N($C$23)),0,IF(B62="G마켓",ROUNDDOWN(MIN(Q62*$D$23,IF($E$23="",9E+99,$E$23)),0),ROUNDUP(MIN(Q62*$D$23,IF($E$23="",9E+99,$E$23)),0))))</f>
        <v/>
      </c>
      <c r="S62" s="20">
        <f>IF(Q62="","",IF(OR($D$24="",Q62&lt;N($C$24)),0,IF(B62="G마켓",ROUNDDOWN(MIN(Q62*$D$24,IF($E$24="",9E+99,$E$24)),0),ROUNDUP(MIN(Q62*$D$24,IF($E$24="",9E+99,$E$24)),0))))</f>
        <v/>
      </c>
      <c r="T62" s="20">
        <f>IF(Q62="","",IF(OR($D$25="",Q62&lt;N($C$25)),0,IF(B62="G마켓",ROUNDDOWN(MIN(Q62*$D$25,IF($E$25="",9E+99,$E$25)),0),ROUNDUP(MIN(Q62*$D$25,IF($E$25="",9E+99,$E$25)),0))))</f>
        <v/>
      </c>
      <c r="U62" s="19">
        <f>IF(G62="","",MAX(R62:T62))</f>
        <v/>
      </c>
      <c r="V62" s="21">
        <f>IF(G62="","",Q62-U62)</f>
        <v/>
      </c>
      <c r="W62" s="19">
        <f>IF(G62="","",IF(B62="G마켓",ROUNDDOWN(MAX(I62*N($G$10),J62*N($G$11),K62*N($G$12))+MAX(M62*N($G$16),N62*N($G$17),O62*N($G$18),P62*N($G$19))+MAX(R62*N($G$23),S62*N($G$24),T62*N($G$25)),0),ROUNDUP(MAX(I62*N($G$10),J62*N($G$11),K62*N($G$12))+MAX(M62*N($G$16),N62*N($G$17),O62*N($G$18),P62*N($G$19))+MAX(R62*N($G$23),S62*N($G$24),T62*N($G$25)),0)))</f>
        <v/>
      </c>
      <c r="X62" s="21">
        <f>IF(G62="","",IF(B62="G마켓",ROUNDDOWN(G62-G62*$Q$6-W62,0),ROUNDUP(G62-G62*$Q$6-W62,0)))</f>
        <v/>
      </c>
    </row>
    <row r="63">
      <c r="B63" s="7" t="n"/>
      <c r="C63" s="7" t="n"/>
      <c r="D63" s="22" t="n"/>
      <c r="E63" s="23" t="n"/>
      <c r="F63" s="23" t="n"/>
      <c r="G63" s="19">
        <f>IF(E63="","",E63-N(F63))</f>
        <v/>
      </c>
      <c r="I63" s="20">
        <f>IF(G63="","",IF(OR($D$10="",$H$10="X",G63&lt;N($C$10)),0,IF(B63="G마켓",ROUNDDOWN(MIN(G63*$D$10,IF($E$10="",9E+99,$E$10)),0),ROUNDUP(MIN(G63*$D$10,IF($E$10="",9E+99,$E$10)),0))))</f>
        <v/>
      </c>
      <c r="J63" s="20">
        <f>IF(G63="","",IF(OR($D$11="",$H$11="X",G63&lt;N($C$11)),0,IF(B63="G마켓",ROUNDDOWN(MIN(G63*$D$11,IF($E$11="",9E+99,$E$11)),0),ROUNDUP(MIN(G63*$D$11,IF($E$11="",9E+99,$E$11)),0))))</f>
        <v/>
      </c>
      <c r="K63" s="20">
        <f>IF(G63="","",IF(OR($D$12="",$H$12="X",G63&lt;N($C$12)),0,IF(B63="G마켓",ROUNDDOWN(MIN(G63*$D$12,IF($E$12="",9E+99,$E$12)),0),ROUNDUP(MIN(G63*$D$12,IF($E$12="",9E+99,$E$12)),0))))</f>
        <v/>
      </c>
      <c r="L63" s="19">
        <f>IF(G63="","",G63-MAX(I63:K63))</f>
        <v/>
      </c>
      <c r="M63" s="20">
        <f>IF(L63="","",IF(OR($D$16="",$H$16="X",L63&lt;N($C$16)),0,IF(B63="G마켓",ROUNDDOWN(MIN(L63*$D$16,IF($E$16="",9E+99,$E$16)),0),ROUNDUP(MIN(L63*$D$16,IF($E$16="",9E+99,$E$16)),0))))</f>
        <v/>
      </c>
      <c r="N63" s="20">
        <f>IF(L63="","",IF(OR($D$17="",$H$17="X",L63&lt;N($C$17)),0,IF(B63="G마켓",ROUNDDOWN(MIN(L63*$D$17,IF($E$17="",9E+99,$E$17)),0),ROUNDUP(MIN(L63*$D$17,IF($E$17="",9E+99,$E$17)),0))))</f>
        <v/>
      </c>
      <c r="O63" s="20">
        <f>IF(L63="","",IF(OR($D$18="",$H$18="X",L63&lt;N($C$18)),0,IF(B63="G마켓",ROUNDDOWN(MIN(L63*$D$18,IF($E$18="",9E+99,$E$18)),0),ROUNDUP(MIN(L63*$D$18,IF($E$18="",9E+99,$E$18)),0))))</f>
        <v/>
      </c>
      <c r="P63" s="20">
        <f>IF(L63="","",IF(OR($D$19="",$H$19="X",L63&lt;N($C$19)),0,IF(B63="G마켓",ROUNDDOWN(MIN(L63*$D$19,IF($E$19="",9E+99,$E$19)),0),ROUNDUP(MIN(L63*$D$19,IF($E$19="",9E+99,$E$19)),0))))</f>
        <v/>
      </c>
      <c r="Q63" s="19">
        <f>IF(G63="","",L63-MAX(M63:P63))</f>
        <v/>
      </c>
      <c r="R63" s="20">
        <f>IF(Q63="","",IF(OR($D$23="",Q63&lt;N($C$23)),0,IF(B63="G마켓",ROUNDDOWN(MIN(Q63*$D$23,IF($E$23="",9E+99,$E$23)),0),ROUNDUP(MIN(Q63*$D$23,IF($E$23="",9E+99,$E$23)),0))))</f>
        <v/>
      </c>
      <c r="S63" s="20">
        <f>IF(Q63="","",IF(OR($D$24="",Q63&lt;N($C$24)),0,IF(B63="G마켓",ROUNDDOWN(MIN(Q63*$D$24,IF($E$24="",9E+99,$E$24)),0),ROUNDUP(MIN(Q63*$D$24,IF($E$24="",9E+99,$E$24)),0))))</f>
        <v/>
      </c>
      <c r="T63" s="20">
        <f>IF(Q63="","",IF(OR($D$25="",Q63&lt;N($C$25)),0,IF(B63="G마켓",ROUNDDOWN(MIN(Q63*$D$25,IF($E$25="",9E+99,$E$25)),0),ROUNDUP(MIN(Q63*$D$25,IF($E$25="",9E+99,$E$25)),0))))</f>
        <v/>
      </c>
      <c r="U63" s="19">
        <f>IF(G63="","",MAX(R63:T63))</f>
        <v/>
      </c>
      <c r="V63" s="21">
        <f>IF(G63="","",Q63-U63)</f>
        <v/>
      </c>
      <c r="W63" s="19">
        <f>IF(G63="","",IF(B63="G마켓",ROUNDDOWN(MAX(I63*N($G$10),J63*N($G$11),K63*N($G$12))+MAX(M63*N($G$16),N63*N($G$17),O63*N($G$18),P63*N($G$19))+MAX(R63*N($G$23),S63*N($G$24),T63*N($G$25)),0),ROUNDUP(MAX(I63*N($G$10),J63*N($G$11),K63*N($G$12))+MAX(M63*N($G$16),N63*N($G$17),O63*N($G$18),P63*N($G$19))+MAX(R63*N($G$23),S63*N($G$24),T63*N($G$25)),0)))</f>
        <v/>
      </c>
      <c r="X63" s="21">
        <f>IF(G63="","",IF(B63="G마켓",ROUNDDOWN(G63-G63*$Q$6-W63,0),ROUNDUP(G63-G63*$Q$6-W63,0)))</f>
        <v/>
      </c>
    </row>
    <row r="64">
      <c r="B64" s="7" t="n"/>
      <c r="C64" s="7" t="n"/>
      <c r="D64" s="22" t="n"/>
      <c r="E64" s="23" t="n"/>
      <c r="F64" s="23" t="n"/>
      <c r="G64" s="19">
        <f>IF(E64="","",E64-N(F64))</f>
        <v/>
      </c>
      <c r="I64" s="20">
        <f>IF(G64="","",IF(OR($D$10="",$H$10="X",G64&lt;N($C$10)),0,IF(B64="G마켓",ROUNDDOWN(MIN(G64*$D$10,IF($E$10="",9E+99,$E$10)),0),ROUNDUP(MIN(G64*$D$10,IF($E$10="",9E+99,$E$10)),0))))</f>
        <v/>
      </c>
      <c r="J64" s="20">
        <f>IF(G64="","",IF(OR($D$11="",$H$11="X",G64&lt;N($C$11)),0,IF(B64="G마켓",ROUNDDOWN(MIN(G64*$D$11,IF($E$11="",9E+99,$E$11)),0),ROUNDUP(MIN(G64*$D$11,IF($E$11="",9E+99,$E$11)),0))))</f>
        <v/>
      </c>
      <c r="K64" s="20">
        <f>IF(G64="","",IF(OR($D$12="",$H$12="X",G64&lt;N($C$12)),0,IF(B64="G마켓",ROUNDDOWN(MIN(G64*$D$12,IF($E$12="",9E+99,$E$12)),0),ROUNDUP(MIN(G64*$D$12,IF($E$12="",9E+99,$E$12)),0))))</f>
        <v/>
      </c>
      <c r="L64" s="19">
        <f>IF(G64="","",G64-MAX(I64:K64))</f>
        <v/>
      </c>
      <c r="M64" s="20">
        <f>IF(L64="","",IF(OR($D$16="",$H$16="X",L64&lt;N($C$16)),0,IF(B64="G마켓",ROUNDDOWN(MIN(L64*$D$16,IF($E$16="",9E+99,$E$16)),0),ROUNDUP(MIN(L64*$D$16,IF($E$16="",9E+99,$E$16)),0))))</f>
        <v/>
      </c>
      <c r="N64" s="20">
        <f>IF(L64="","",IF(OR($D$17="",$H$17="X",L64&lt;N($C$17)),0,IF(B64="G마켓",ROUNDDOWN(MIN(L64*$D$17,IF($E$17="",9E+99,$E$17)),0),ROUNDUP(MIN(L64*$D$17,IF($E$17="",9E+99,$E$17)),0))))</f>
        <v/>
      </c>
      <c r="O64" s="20">
        <f>IF(L64="","",IF(OR($D$18="",$H$18="X",L64&lt;N($C$18)),0,IF(B64="G마켓",ROUNDDOWN(MIN(L64*$D$18,IF($E$18="",9E+99,$E$18)),0),ROUNDUP(MIN(L64*$D$18,IF($E$18="",9E+99,$E$18)),0))))</f>
        <v/>
      </c>
      <c r="P64" s="20">
        <f>IF(L64="","",IF(OR($D$19="",$H$19="X",L64&lt;N($C$19)),0,IF(B64="G마켓",ROUNDDOWN(MIN(L64*$D$19,IF($E$19="",9E+99,$E$19)),0),ROUNDUP(MIN(L64*$D$19,IF($E$19="",9E+99,$E$19)),0))))</f>
        <v/>
      </c>
      <c r="Q64" s="19">
        <f>IF(G64="","",L64-MAX(M64:P64))</f>
        <v/>
      </c>
      <c r="R64" s="20">
        <f>IF(Q64="","",IF(OR($D$23="",Q64&lt;N($C$23)),0,IF(B64="G마켓",ROUNDDOWN(MIN(Q64*$D$23,IF($E$23="",9E+99,$E$23)),0),ROUNDUP(MIN(Q64*$D$23,IF($E$23="",9E+99,$E$23)),0))))</f>
        <v/>
      </c>
      <c r="S64" s="20">
        <f>IF(Q64="","",IF(OR($D$24="",Q64&lt;N($C$24)),0,IF(B64="G마켓",ROUNDDOWN(MIN(Q64*$D$24,IF($E$24="",9E+99,$E$24)),0),ROUNDUP(MIN(Q64*$D$24,IF($E$24="",9E+99,$E$24)),0))))</f>
        <v/>
      </c>
      <c r="T64" s="20">
        <f>IF(Q64="","",IF(OR($D$25="",Q64&lt;N($C$25)),0,IF(B64="G마켓",ROUNDDOWN(MIN(Q64*$D$25,IF($E$25="",9E+99,$E$25)),0),ROUNDUP(MIN(Q64*$D$25,IF($E$25="",9E+99,$E$25)),0))))</f>
        <v/>
      </c>
      <c r="U64" s="19">
        <f>IF(G64="","",MAX(R64:T64))</f>
        <v/>
      </c>
      <c r="V64" s="21">
        <f>IF(G64="","",Q64-U64)</f>
        <v/>
      </c>
      <c r="W64" s="19">
        <f>IF(G64="","",IF(B64="G마켓",ROUNDDOWN(MAX(I64*N($G$10),J64*N($G$11),K64*N($G$12))+MAX(M64*N($G$16),N64*N($G$17),O64*N($G$18),P64*N($G$19))+MAX(R64*N($G$23),S64*N($G$24),T64*N($G$25)),0),ROUNDUP(MAX(I64*N($G$10),J64*N($G$11),K64*N($G$12))+MAX(M64*N($G$16),N64*N($G$17),O64*N($G$18),P64*N($G$19))+MAX(R64*N($G$23),S64*N($G$24),T64*N($G$25)),0)))</f>
        <v/>
      </c>
      <c r="X64" s="21">
        <f>IF(G64="","",IF(B64="G마켓",ROUNDDOWN(G64-G64*$Q$6-W64,0),ROUNDUP(G64-G64*$Q$6-W64,0)))</f>
        <v/>
      </c>
    </row>
    <row r="65">
      <c r="B65" s="7" t="n"/>
      <c r="C65" s="7" t="n"/>
      <c r="D65" s="22" t="n"/>
      <c r="E65" s="23" t="n"/>
      <c r="F65" s="23" t="n"/>
      <c r="G65" s="19">
        <f>IF(E65="","",E65-N(F65))</f>
        <v/>
      </c>
      <c r="I65" s="20">
        <f>IF(G65="","",IF(OR($D$10="",$H$10="X",G65&lt;N($C$10)),0,IF(B65="G마켓",ROUNDDOWN(MIN(G65*$D$10,IF($E$10="",9E+99,$E$10)),0),ROUNDUP(MIN(G65*$D$10,IF($E$10="",9E+99,$E$10)),0))))</f>
        <v/>
      </c>
      <c r="J65" s="20">
        <f>IF(G65="","",IF(OR($D$11="",$H$11="X",G65&lt;N($C$11)),0,IF(B65="G마켓",ROUNDDOWN(MIN(G65*$D$11,IF($E$11="",9E+99,$E$11)),0),ROUNDUP(MIN(G65*$D$11,IF($E$11="",9E+99,$E$11)),0))))</f>
        <v/>
      </c>
      <c r="K65" s="20">
        <f>IF(G65="","",IF(OR($D$12="",$H$12="X",G65&lt;N($C$12)),0,IF(B65="G마켓",ROUNDDOWN(MIN(G65*$D$12,IF($E$12="",9E+99,$E$12)),0),ROUNDUP(MIN(G65*$D$12,IF($E$12="",9E+99,$E$12)),0))))</f>
        <v/>
      </c>
      <c r="L65" s="19">
        <f>IF(G65="","",G65-MAX(I65:K65))</f>
        <v/>
      </c>
      <c r="M65" s="20">
        <f>IF(L65="","",IF(OR($D$16="",$H$16="X",L65&lt;N($C$16)),0,IF(B65="G마켓",ROUNDDOWN(MIN(L65*$D$16,IF($E$16="",9E+99,$E$16)),0),ROUNDUP(MIN(L65*$D$16,IF($E$16="",9E+99,$E$16)),0))))</f>
        <v/>
      </c>
      <c r="N65" s="20">
        <f>IF(L65="","",IF(OR($D$17="",$H$17="X",L65&lt;N($C$17)),0,IF(B65="G마켓",ROUNDDOWN(MIN(L65*$D$17,IF($E$17="",9E+99,$E$17)),0),ROUNDUP(MIN(L65*$D$17,IF($E$17="",9E+99,$E$17)),0))))</f>
        <v/>
      </c>
      <c r="O65" s="20">
        <f>IF(L65="","",IF(OR($D$18="",$H$18="X",L65&lt;N($C$18)),0,IF(B65="G마켓",ROUNDDOWN(MIN(L65*$D$18,IF($E$18="",9E+99,$E$18)),0),ROUNDUP(MIN(L65*$D$18,IF($E$18="",9E+99,$E$18)),0))))</f>
        <v/>
      </c>
      <c r="P65" s="20">
        <f>IF(L65="","",IF(OR($D$19="",$H$19="X",L65&lt;N($C$19)),0,IF(B65="G마켓",ROUNDDOWN(MIN(L65*$D$19,IF($E$19="",9E+99,$E$19)),0),ROUNDUP(MIN(L65*$D$19,IF($E$19="",9E+99,$E$19)),0))))</f>
        <v/>
      </c>
      <c r="Q65" s="19">
        <f>IF(G65="","",L65-MAX(M65:P65))</f>
        <v/>
      </c>
      <c r="R65" s="20">
        <f>IF(Q65="","",IF(OR($D$23="",Q65&lt;N($C$23)),0,IF(B65="G마켓",ROUNDDOWN(MIN(Q65*$D$23,IF($E$23="",9E+99,$E$23)),0),ROUNDUP(MIN(Q65*$D$23,IF($E$23="",9E+99,$E$23)),0))))</f>
        <v/>
      </c>
      <c r="S65" s="20">
        <f>IF(Q65="","",IF(OR($D$24="",Q65&lt;N($C$24)),0,IF(B65="G마켓",ROUNDDOWN(MIN(Q65*$D$24,IF($E$24="",9E+99,$E$24)),0),ROUNDUP(MIN(Q65*$D$24,IF($E$24="",9E+99,$E$24)),0))))</f>
        <v/>
      </c>
      <c r="T65" s="20">
        <f>IF(Q65="","",IF(OR($D$25="",Q65&lt;N($C$25)),0,IF(B65="G마켓",ROUNDDOWN(MIN(Q65*$D$25,IF($E$25="",9E+99,$E$25)),0),ROUNDUP(MIN(Q65*$D$25,IF($E$25="",9E+99,$E$25)),0))))</f>
        <v/>
      </c>
      <c r="U65" s="19">
        <f>IF(G65="","",MAX(R65:T65))</f>
        <v/>
      </c>
      <c r="V65" s="21">
        <f>IF(G65="","",Q65-U65)</f>
        <v/>
      </c>
      <c r="W65" s="19">
        <f>IF(G65="","",IF(B65="G마켓",ROUNDDOWN(MAX(I65*N($G$10),J65*N($G$11),K65*N($G$12))+MAX(M65*N($G$16),N65*N($G$17),O65*N($G$18),P65*N($G$19))+MAX(R65*N($G$23),S65*N($G$24),T65*N($G$25)),0),ROUNDUP(MAX(I65*N($G$10),J65*N($G$11),K65*N($G$12))+MAX(M65*N($G$16),N65*N($G$17),O65*N($G$18),P65*N($G$19))+MAX(R65*N($G$23),S65*N($G$24),T65*N($G$25)),0)))</f>
        <v/>
      </c>
      <c r="X65" s="21">
        <f>IF(G65="","",IF(B65="G마켓",ROUNDDOWN(G65-G65*$Q$6-W65,0),ROUNDUP(G65-G65*$Q$6-W65,0)))</f>
        <v/>
      </c>
    </row>
    <row r="66">
      <c r="B66" s="7" t="n"/>
      <c r="C66" s="7" t="n"/>
      <c r="D66" s="22" t="n"/>
      <c r="E66" s="23" t="n"/>
      <c r="F66" s="23" t="n"/>
      <c r="G66" s="19">
        <f>IF(E66="","",E66-N(F66))</f>
        <v/>
      </c>
      <c r="I66" s="20">
        <f>IF(G66="","",IF(OR($D$10="",$H$10="X",G66&lt;N($C$10)),0,IF(B66="G마켓",ROUNDDOWN(MIN(G66*$D$10,IF($E$10="",9E+99,$E$10)),0),ROUNDUP(MIN(G66*$D$10,IF($E$10="",9E+99,$E$10)),0))))</f>
        <v/>
      </c>
      <c r="J66" s="20">
        <f>IF(G66="","",IF(OR($D$11="",$H$11="X",G66&lt;N($C$11)),0,IF(B66="G마켓",ROUNDDOWN(MIN(G66*$D$11,IF($E$11="",9E+99,$E$11)),0),ROUNDUP(MIN(G66*$D$11,IF($E$11="",9E+99,$E$11)),0))))</f>
        <v/>
      </c>
      <c r="K66" s="20">
        <f>IF(G66="","",IF(OR($D$12="",$H$12="X",G66&lt;N($C$12)),0,IF(B66="G마켓",ROUNDDOWN(MIN(G66*$D$12,IF($E$12="",9E+99,$E$12)),0),ROUNDUP(MIN(G66*$D$12,IF($E$12="",9E+99,$E$12)),0))))</f>
        <v/>
      </c>
      <c r="L66" s="19">
        <f>IF(G66="","",G66-MAX(I66:K66))</f>
        <v/>
      </c>
      <c r="M66" s="20">
        <f>IF(L66="","",IF(OR($D$16="",$H$16="X",L66&lt;N($C$16)),0,IF(B66="G마켓",ROUNDDOWN(MIN(L66*$D$16,IF($E$16="",9E+99,$E$16)),0),ROUNDUP(MIN(L66*$D$16,IF($E$16="",9E+99,$E$16)),0))))</f>
        <v/>
      </c>
      <c r="N66" s="20">
        <f>IF(L66="","",IF(OR($D$17="",$H$17="X",L66&lt;N($C$17)),0,IF(B66="G마켓",ROUNDDOWN(MIN(L66*$D$17,IF($E$17="",9E+99,$E$17)),0),ROUNDUP(MIN(L66*$D$17,IF($E$17="",9E+99,$E$17)),0))))</f>
        <v/>
      </c>
      <c r="O66" s="20">
        <f>IF(L66="","",IF(OR($D$18="",$H$18="X",L66&lt;N($C$18)),0,IF(B66="G마켓",ROUNDDOWN(MIN(L66*$D$18,IF($E$18="",9E+99,$E$18)),0),ROUNDUP(MIN(L66*$D$18,IF($E$18="",9E+99,$E$18)),0))))</f>
        <v/>
      </c>
      <c r="P66" s="20">
        <f>IF(L66="","",IF(OR($D$19="",$H$19="X",L66&lt;N($C$19)),0,IF(B66="G마켓",ROUNDDOWN(MIN(L66*$D$19,IF($E$19="",9E+99,$E$19)),0),ROUNDUP(MIN(L66*$D$19,IF($E$19="",9E+99,$E$19)),0))))</f>
        <v/>
      </c>
      <c r="Q66" s="19">
        <f>IF(G66="","",L66-MAX(M66:P66))</f>
        <v/>
      </c>
      <c r="R66" s="20">
        <f>IF(Q66="","",IF(OR($D$23="",Q66&lt;N($C$23)),0,IF(B66="G마켓",ROUNDDOWN(MIN(Q66*$D$23,IF($E$23="",9E+99,$E$23)),0),ROUNDUP(MIN(Q66*$D$23,IF($E$23="",9E+99,$E$23)),0))))</f>
        <v/>
      </c>
      <c r="S66" s="20">
        <f>IF(Q66="","",IF(OR($D$24="",Q66&lt;N($C$24)),0,IF(B66="G마켓",ROUNDDOWN(MIN(Q66*$D$24,IF($E$24="",9E+99,$E$24)),0),ROUNDUP(MIN(Q66*$D$24,IF($E$24="",9E+99,$E$24)),0))))</f>
        <v/>
      </c>
      <c r="T66" s="20">
        <f>IF(Q66="","",IF(OR($D$25="",Q66&lt;N($C$25)),0,IF(B66="G마켓",ROUNDDOWN(MIN(Q66*$D$25,IF($E$25="",9E+99,$E$25)),0),ROUNDUP(MIN(Q66*$D$25,IF($E$25="",9E+99,$E$25)),0))))</f>
        <v/>
      </c>
      <c r="U66" s="19">
        <f>IF(G66="","",MAX(R66:T66))</f>
        <v/>
      </c>
      <c r="V66" s="21">
        <f>IF(G66="","",Q66-U66)</f>
        <v/>
      </c>
      <c r="W66" s="19">
        <f>IF(G66="","",IF(B66="G마켓",ROUNDDOWN(MAX(I66*N($G$10),J66*N($G$11),K66*N($G$12))+MAX(M66*N($G$16),N66*N($G$17),O66*N($G$18),P66*N($G$19))+MAX(R66*N($G$23),S66*N($G$24),T66*N($G$25)),0),ROUNDUP(MAX(I66*N($G$10),J66*N($G$11),K66*N($G$12))+MAX(M66*N($G$16),N66*N($G$17),O66*N($G$18),P66*N($G$19))+MAX(R66*N($G$23),S66*N($G$24),T66*N($G$25)),0)))</f>
        <v/>
      </c>
      <c r="X66" s="21">
        <f>IF(G66="","",IF(B66="G마켓",ROUNDDOWN(G66-G66*$Q$6-W66,0),ROUNDUP(G66-G66*$Q$6-W66,0)))</f>
        <v/>
      </c>
    </row>
    <row r="67">
      <c r="B67" s="7" t="n"/>
      <c r="C67" s="7" t="n"/>
      <c r="D67" s="22" t="n"/>
      <c r="E67" s="23" t="n"/>
      <c r="F67" s="23" t="n"/>
      <c r="G67" s="19">
        <f>IF(E67="","",E67-N(F67))</f>
        <v/>
      </c>
      <c r="I67" s="20">
        <f>IF(G67="","",IF(OR($D$10="",$H$10="X",G67&lt;N($C$10)),0,IF(B67="G마켓",ROUNDDOWN(MIN(G67*$D$10,IF($E$10="",9E+99,$E$10)),0),ROUNDUP(MIN(G67*$D$10,IF($E$10="",9E+99,$E$10)),0))))</f>
        <v/>
      </c>
      <c r="J67" s="20">
        <f>IF(G67="","",IF(OR($D$11="",$H$11="X",G67&lt;N($C$11)),0,IF(B67="G마켓",ROUNDDOWN(MIN(G67*$D$11,IF($E$11="",9E+99,$E$11)),0),ROUNDUP(MIN(G67*$D$11,IF($E$11="",9E+99,$E$11)),0))))</f>
        <v/>
      </c>
      <c r="K67" s="20">
        <f>IF(G67="","",IF(OR($D$12="",$H$12="X",G67&lt;N($C$12)),0,IF(B67="G마켓",ROUNDDOWN(MIN(G67*$D$12,IF($E$12="",9E+99,$E$12)),0),ROUNDUP(MIN(G67*$D$12,IF($E$12="",9E+99,$E$12)),0))))</f>
        <v/>
      </c>
      <c r="L67" s="19">
        <f>IF(G67="","",G67-MAX(I67:K67))</f>
        <v/>
      </c>
      <c r="M67" s="20">
        <f>IF(L67="","",IF(OR($D$16="",$H$16="X",L67&lt;N($C$16)),0,IF(B67="G마켓",ROUNDDOWN(MIN(L67*$D$16,IF($E$16="",9E+99,$E$16)),0),ROUNDUP(MIN(L67*$D$16,IF($E$16="",9E+99,$E$16)),0))))</f>
        <v/>
      </c>
      <c r="N67" s="20">
        <f>IF(L67="","",IF(OR($D$17="",$H$17="X",L67&lt;N($C$17)),0,IF(B67="G마켓",ROUNDDOWN(MIN(L67*$D$17,IF($E$17="",9E+99,$E$17)),0),ROUNDUP(MIN(L67*$D$17,IF($E$17="",9E+99,$E$17)),0))))</f>
        <v/>
      </c>
      <c r="O67" s="20">
        <f>IF(L67="","",IF(OR($D$18="",$H$18="X",L67&lt;N($C$18)),0,IF(B67="G마켓",ROUNDDOWN(MIN(L67*$D$18,IF($E$18="",9E+99,$E$18)),0),ROUNDUP(MIN(L67*$D$18,IF($E$18="",9E+99,$E$18)),0))))</f>
        <v/>
      </c>
      <c r="P67" s="20">
        <f>IF(L67="","",IF(OR($D$19="",$H$19="X",L67&lt;N($C$19)),0,IF(B67="G마켓",ROUNDDOWN(MIN(L67*$D$19,IF($E$19="",9E+99,$E$19)),0),ROUNDUP(MIN(L67*$D$19,IF($E$19="",9E+99,$E$19)),0))))</f>
        <v/>
      </c>
      <c r="Q67" s="19">
        <f>IF(G67="","",L67-MAX(M67:P67))</f>
        <v/>
      </c>
      <c r="R67" s="20">
        <f>IF(Q67="","",IF(OR($D$23="",Q67&lt;N($C$23)),0,IF(B67="G마켓",ROUNDDOWN(MIN(Q67*$D$23,IF($E$23="",9E+99,$E$23)),0),ROUNDUP(MIN(Q67*$D$23,IF($E$23="",9E+99,$E$23)),0))))</f>
        <v/>
      </c>
      <c r="S67" s="20">
        <f>IF(Q67="","",IF(OR($D$24="",Q67&lt;N($C$24)),0,IF(B67="G마켓",ROUNDDOWN(MIN(Q67*$D$24,IF($E$24="",9E+99,$E$24)),0),ROUNDUP(MIN(Q67*$D$24,IF($E$24="",9E+99,$E$24)),0))))</f>
        <v/>
      </c>
      <c r="T67" s="20">
        <f>IF(Q67="","",IF(OR($D$25="",Q67&lt;N($C$25)),0,IF(B67="G마켓",ROUNDDOWN(MIN(Q67*$D$25,IF($E$25="",9E+99,$E$25)),0),ROUNDUP(MIN(Q67*$D$25,IF($E$25="",9E+99,$E$25)),0))))</f>
        <v/>
      </c>
      <c r="U67" s="19">
        <f>IF(G67="","",MAX(R67:T67))</f>
        <v/>
      </c>
      <c r="V67" s="21">
        <f>IF(G67="","",Q67-U67)</f>
        <v/>
      </c>
      <c r="W67" s="19">
        <f>IF(G67="","",IF(B67="G마켓",ROUNDDOWN(MAX(I67*N($G$10),J67*N($G$11),K67*N($G$12))+MAX(M67*N($G$16),N67*N($G$17),O67*N($G$18),P67*N($G$19))+MAX(R67*N($G$23),S67*N($G$24),T67*N($G$25)),0),ROUNDUP(MAX(I67*N($G$10),J67*N($G$11),K67*N($G$12))+MAX(M67*N($G$16),N67*N($G$17),O67*N($G$18),P67*N($G$19))+MAX(R67*N($G$23),S67*N($G$24),T67*N($G$25)),0)))</f>
        <v/>
      </c>
      <c r="X67" s="21">
        <f>IF(G67="","",IF(B67="G마켓",ROUNDDOWN(G67-G67*$Q$6-W67,0),ROUNDUP(G67-G67*$Q$6-W67,0)))</f>
        <v/>
      </c>
    </row>
    <row r="68">
      <c r="B68" s="7" t="n"/>
      <c r="C68" s="7" t="n"/>
      <c r="D68" s="22" t="n"/>
      <c r="E68" s="23" t="n"/>
      <c r="F68" s="23" t="n"/>
      <c r="G68" s="19">
        <f>IF(E68="","",E68-N(F68))</f>
        <v/>
      </c>
      <c r="I68" s="20">
        <f>IF(G68="","",IF(OR($D$10="",$H$10="X",G68&lt;N($C$10)),0,IF(B68="G마켓",ROUNDDOWN(MIN(G68*$D$10,IF($E$10="",9E+99,$E$10)),0),ROUNDUP(MIN(G68*$D$10,IF($E$10="",9E+99,$E$10)),0))))</f>
        <v/>
      </c>
      <c r="J68" s="20">
        <f>IF(G68="","",IF(OR($D$11="",$H$11="X",G68&lt;N($C$11)),0,IF(B68="G마켓",ROUNDDOWN(MIN(G68*$D$11,IF($E$11="",9E+99,$E$11)),0),ROUNDUP(MIN(G68*$D$11,IF($E$11="",9E+99,$E$11)),0))))</f>
        <v/>
      </c>
      <c r="K68" s="20">
        <f>IF(G68="","",IF(OR($D$12="",$H$12="X",G68&lt;N($C$12)),0,IF(B68="G마켓",ROUNDDOWN(MIN(G68*$D$12,IF($E$12="",9E+99,$E$12)),0),ROUNDUP(MIN(G68*$D$12,IF($E$12="",9E+99,$E$12)),0))))</f>
        <v/>
      </c>
      <c r="L68" s="19">
        <f>IF(G68="","",G68-MAX(I68:K68))</f>
        <v/>
      </c>
      <c r="M68" s="20">
        <f>IF(L68="","",IF(OR($D$16="",$H$16="X",L68&lt;N($C$16)),0,IF(B68="G마켓",ROUNDDOWN(MIN(L68*$D$16,IF($E$16="",9E+99,$E$16)),0),ROUNDUP(MIN(L68*$D$16,IF($E$16="",9E+99,$E$16)),0))))</f>
        <v/>
      </c>
      <c r="N68" s="20">
        <f>IF(L68="","",IF(OR($D$17="",$H$17="X",L68&lt;N($C$17)),0,IF(B68="G마켓",ROUNDDOWN(MIN(L68*$D$17,IF($E$17="",9E+99,$E$17)),0),ROUNDUP(MIN(L68*$D$17,IF($E$17="",9E+99,$E$17)),0))))</f>
        <v/>
      </c>
      <c r="O68" s="20">
        <f>IF(L68="","",IF(OR($D$18="",$H$18="X",L68&lt;N($C$18)),0,IF(B68="G마켓",ROUNDDOWN(MIN(L68*$D$18,IF($E$18="",9E+99,$E$18)),0),ROUNDUP(MIN(L68*$D$18,IF($E$18="",9E+99,$E$18)),0))))</f>
        <v/>
      </c>
      <c r="P68" s="20">
        <f>IF(L68="","",IF(OR($D$19="",$H$19="X",L68&lt;N($C$19)),0,IF(B68="G마켓",ROUNDDOWN(MIN(L68*$D$19,IF($E$19="",9E+99,$E$19)),0),ROUNDUP(MIN(L68*$D$19,IF($E$19="",9E+99,$E$19)),0))))</f>
        <v/>
      </c>
      <c r="Q68" s="19">
        <f>IF(G68="","",L68-MAX(M68:P68))</f>
        <v/>
      </c>
      <c r="R68" s="20">
        <f>IF(Q68="","",IF(OR($D$23="",Q68&lt;N($C$23)),0,IF(B68="G마켓",ROUNDDOWN(MIN(Q68*$D$23,IF($E$23="",9E+99,$E$23)),0),ROUNDUP(MIN(Q68*$D$23,IF($E$23="",9E+99,$E$23)),0))))</f>
        <v/>
      </c>
      <c r="S68" s="20">
        <f>IF(Q68="","",IF(OR($D$24="",Q68&lt;N($C$24)),0,IF(B68="G마켓",ROUNDDOWN(MIN(Q68*$D$24,IF($E$24="",9E+99,$E$24)),0),ROUNDUP(MIN(Q68*$D$24,IF($E$24="",9E+99,$E$24)),0))))</f>
        <v/>
      </c>
      <c r="T68" s="20">
        <f>IF(Q68="","",IF(OR($D$25="",Q68&lt;N($C$25)),0,IF(B68="G마켓",ROUNDDOWN(MIN(Q68*$D$25,IF($E$25="",9E+99,$E$25)),0),ROUNDUP(MIN(Q68*$D$25,IF($E$25="",9E+99,$E$25)),0))))</f>
        <v/>
      </c>
      <c r="U68" s="19">
        <f>IF(G68="","",MAX(R68:T68))</f>
        <v/>
      </c>
      <c r="V68" s="21">
        <f>IF(G68="","",Q68-U68)</f>
        <v/>
      </c>
      <c r="W68" s="19">
        <f>IF(G68="","",IF(B68="G마켓",ROUNDDOWN(MAX(I68*N($G$10),J68*N($G$11),K68*N($G$12))+MAX(M68*N($G$16),N68*N($G$17),O68*N($G$18),P68*N($G$19))+MAX(R68*N($G$23),S68*N($G$24),T68*N($G$25)),0),ROUNDUP(MAX(I68*N($G$10),J68*N($G$11),K68*N($G$12))+MAX(M68*N($G$16),N68*N($G$17),O68*N($G$18),P68*N($G$19))+MAX(R68*N($G$23),S68*N($G$24),T68*N($G$25)),0)))</f>
        <v/>
      </c>
      <c r="X68" s="21">
        <f>IF(G68="","",IF(B68="G마켓",ROUNDDOWN(G68-G68*$Q$6-W68,0),ROUNDUP(G68-G68*$Q$6-W68,0)))</f>
        <v/>
      </c>
    </row>
    <row r="69">
      <c r="B69" s="7" t="n"/>
      <c r="C69" s="7" t="n"/>
      <c r="D69" s="22" t="n"/>
      <c r="E69" s="23" t="n"/>
      <c r="F69" s="23" t="n"/>
      <c r="G69" s="19">
        <f>IF(E69="","",E69-N(F69))</f>
        <v/>
      </c>
      <c r="I69" s="20">
        <f>IF(G69="","",IF(OR($D$10="",$H$10="X",G69&lt;N($C$10)),0,IF(B69="G마켓",ROUNDDOWN(MIN(G69*$D$10,IF($E$10="",9E+99,$E$10)),0),ROUNDUP(MIN(G69*$D$10,IF($E$10="",9E+99,$E$10)),0))))</f>
        <v/>
      </c>
      <c r="J69" s="20">
        <f>IF(G69="","",IF(OR($D$11="",$H$11="X",G69&lt;N($C$11)),0,IF(B69="G마켓",ROUNDDOWN(MIN(G69*$D$11,IF($E$11="",9E+99,$E$11)),0),ROUNDUP(MIN(G69*$D$11,IF($E$11="",9E+99,$E$11)),0))))</f>
        <v/>
      </c>
      <c r="K69" s="20">
        <f>IF(G69="","",IF(OR($D$12="",$H$12="X",G69&lt;N($C$12)),0,IF(B69="G마켓",ROUNDDOWN(MIN(G69*$D$12,IF($E$12="",9E+99,$E$12)),0),ROUNDUP(MIN(G69*$D$12,IF($E$12="",9E+99,$E$12)),0))))</f>
        <v/>
      </c>
      <c r="L69" s="19">
        <f>IF(G69="","",G69-MAX(I69:K69))</f>
        <v/>
      </c>
      <c r="M69" s="20">
        <f>IF(L69="","",IF(OR($D$16="",$H$16="X",L69&lt;N($C$16)),0,IF(B69="G마켓",ROUNDDOWN(MIN(L69*$D$16,IF($E$16="",9E+99,$E$16)),0),ROUNDUP(MIN(L69*$D$16,IF($E$16="",9E+99,$E$16)),0))))</f>
        <v/>
      </c>
      <c r="N69" s="20">
        <f>IF(L69="","",IF(OR($D$17="",$H$17="X",L69&lt;N($C$17)),0,IF(B69="G마켓",ROUNDDOWN(MIN(L69*$D$17,IF($E$17="",9E+99,$E$17)),0),ROUNDUP(MIN(L69*$D$17,IF($E$17="",9E+99,$E$17)),0))))</f>
        <v/>
      </c>
      <c r="O69" s="20">
        <f>IF(L69="","",IF(OR($D$18="",$H$18="X",L69&lt;N($C$18)),0,IF(B69="G마켓",ROUNDDOWN(MIN(L69*$D$18,IF($E$18="",9E+99,$E$18)),0),ROUNDUP(MIN(L69*$D$18,IF($E$18="",9E+99,$E$18)),0))))</f>
        <v/>
      </c>
      <c r="P69" s="20">
        <f>IF(L69="","",IF(OR($D$19="",$H$19="X",L69&lt;N($C$19)),0,IF(B69="G마켓",ROUNDDOWN(MIN(L69*$D$19,IF($E$19="",9E+99,$E$19)),0),ROUNDUP(MIN(L69*$D$19,IF($E$19="",9E+99,$E$19)),0))))</f>
        <v/>
      </c>
      <c r="Q69" s="19">
        <f>IF(G69="","",L69-MAX(M69:P69))</f>
        <v/>
      </c>
      <c r="R69" s="20">
        <f>IF(Q69="","",IF(OR($D$23="",Q69&lt;N($C$23)),0,IF(B69="G마켓",ROUNDDOWN(MIN(Q69*$D$23,IF($E$23="",9E+99,$E$23)),0),ROUNDUP(MIN(Q69*$D$23,IF($E$23="",9E+99,$E$23)),0))))</f>
        <v/>
      </c>
      <c r="S69" s="20">
        <f>IF(Q69="","",IF(OR($D$24="",Q69&lt;N($C$24)),0,IF(B69="G마켓",ROUNDDOWN(MIN(Q69*$D$24,IF($E$24="",9E+99,$E$24)),0),ROUNDUP(MIN(Q69*$D$24,IF($E$24="",9E+99,$E$24)),0))))</f>
        <v/>
      </c>
      <c r="T69" s="20">
        <f>IF(Q69="","",IF(OR($D$25="",Q69&lt;N($C$25)),0,IF(B69="G마켓",ROUNDDOWN(MIN(Q69*$D$25,IF($E$25="",9E+99,$E$25)),0),ROUNDUP(MIN(Q69*$D$25,IF($E$25="",9E+99,$E$25)),0))))</f>
        <v/>
      </c>
      <c r="U69" s="19">
        <f>IF(G69="","",MAX(R69:T69))</f>
        <v/>
      </c>
      <c r="V69" s="21">
        <f>IF(G69="","",Q69-U69)</f>
        <v/>
      </c>
      <c r="W69" s="19">
        <f>IF(G69="","",IF(B69="G마켓",ROUNDDOWN(MAX(I69*N($G$10),J69*N($G$11),K69*N($G$12))+MAX(M69*N($G$16),N69*N($G$17),O69*N($G$18),P69*N($G$19))+MAX(R69*N($G$23),S69*N($G$24),T69*N($G$25)),0),ROUNDUP(MAX(I69*N($G$10),J69*N($G$11),K69*N($G$12))+MAX(M69*N($G$16),N69*N($G$17),O69*N($G$18),P69*N($G$19))+MAX(R69*N($G$23),S69*N($G$24),T69*N($G$25)),0)))</f>
        <v/>
      </c>
      <c r="X69" s="21">
        <f>IF(G69="","",IF(B69="G마켓",ROUNDDOWN(G69-G69*$Q$6-W69,0),ROUNDUP(G69-G69*$Q$6-W69,0)))</f>
        <v/>
      </c>
    </row>
    <row r="70">
      <c r="B70" s="7" t="n"/>
      <c r="C70" s="7" t="n"/>
      <c r="D70" s="22" t="n"/>
      <c r="E70" s="23" t="n"/>
      <c r="F70" s="23" t="n"/>
      <c r="G70" s="19">
        <f>IF(E70="","",E70-N(F70))</f>
        <v/>
      </c>
      <c r="I70" s="20">
        <f>IF(G70="","",IF(OR($D$10="",$H$10="X",G70&lt;N($C$10)),0,IF(B70="G마켓",ROUNDDOWN(MIN(G70*$D$10,IF($E$10="",9E+99,$E$10)),0),ROUNDUP(MIN(G70*$D$10,IF($E$10="",9E+99,$E$10)),0))))</f>
        <v/>
      </c>
      <c r="J70" s="20">
        <f>IF(G70="","",IF(OR($D$11="",$H$11="X",G70&lt;N($C$11)),0,IF(B70="G마켓",ROUNDDOWN(MIN(G70*$D$11,IF($E$11="",9E+99,$E$11)),0),ROUNDUP(MIN(G70*$D$11,IF($E$11="",9E+99,$E$11)),0))))</f>
        <v/>
      </c>
      <c r="K70" s="20">
        <f>IF(G70="","",IF(OR($D$12="",$H$12="X",G70&lt;N($C$12)),0,IF(B70="G마켓",ROUNDDOWN(MIN(G70*$D$12,IF($E$12="",9E+99,$E$12)),0),ROUNDUP(MIN(G70*$D$12,IF($E$12="",9E+99,$E$12)),0))))</f>
        <v/>
      </c>
      <c r="L70" s="19">
        <f>IF(G70="","",G70-MAX(I70:K70))</f>
        <v/>
      </c>
      <c r="M70" s="20">
        <f>IF(L70="","",IF(OR($D$16="",$H$16="X",L70&lt;N($C$16)),0,IF(B70="G마켓",ROUNDDOWN(MIN(L70*$D$16,IF($E$16="",9E+99,$E$16)),0),ROUNDUP(MIN(L70*$D$16,IF($E$16="",9E+99,$E$16)),0))))</f>
        <v/>
      </c>
      <c r="N70" s="20">
        <f>IF(L70="","",IF(OR($D$17="",$H$17="X",L70&lt;N($C$17)),0,IF(B70="G마켓",ROUNDDOWN(MIN(L70*$D$17,IF($E$17="",9E+99,$E$17)),0),ROUNDUP(MIN(L70*$D$17,IF($E$17="",9E+99,$E$17)),0))))</f>
        <v/>
      </c>
      <c r="O70" s="20">
        <f>IF(L70="","",IF(OR($D$18="",$H$18="X",L70&lt;N($C$18)),0,IF(B70="G마켓",ROUNDDOWN(MIN(L70*$D$18,IF($E$18="",9E+99,$E$18)),0),ROUNDUP(MIN(L70*$D$18,IF($E$18="",9E+99,$E$18)),0))))</f>
        <v/>
      </c>
      <c r="P70" s="20">
        <f>IF(L70="","",IF(OR($D$19="",$H$19="X",L70&lt;N($C$19)),0,IF(B70="G마켓",ROUNDDOWN(MIN(L70*$D$19,IF($E$19="",9E+99,$E$19)),0),ROUNDUP(MIN(L70*$D$19,IF($E$19="",9E+99,$E$19)),0))))</f>
        <v/>
      </c>
      <c r="Q70" s="19">
        <f>IF(G70="","",L70-MAX(M70:P70))</f>
        <v/>
      </c>
      <c r="R70" s="20">
        <f>IF(Q70="","",IF(OR($D$23="",Q70&lt;N($C$23)),0,IF(B70="G마켓",ROUNDDOWN(MIN(Q70*$D$23,IF($E$23="",9E+99,$E$23)),0),ROUNDUP(MIN(Q70*$D$23,IF($E$23="",9E+99,$E$23)),0))))</f>
        <v/>
      </c>
      <c r="S70" s="20">
        <f>IF(Q70="","",IF(OR($D$24="",Q70&lt;N($C$24)),0,IF(B70="G마켓",ROUNDDOWN(MIN(Q70*$D$24,IF($E$24="",9E+99,$E$24)),0),ROUNDUP(MIN(Q70*$D$24,IF($E$24="",9E+99,$E$24)),0))))</f>
        <v/>
      </c>
      <c r="T70" s="20">
        <f>IF(Q70="","",IF(OR($D$25="",Q70&lt;N($C$25)),0,IF(B70="G마켓",ROUNDDOWN(MIN(Q70*$D$25,IF($E$25="",9E+99,$E$25)),0),ROUNDUP(MIN(Q70*$D$25,IF($E$25="",9E+99,$E$25)),0))))</f>
        <v/>
      </c>
      <c r="U70" s="19">
        <f>IF(G70="","",MAX(R70:T70))</f>
        <v/>
      </c>
      <c r="V70" s="21">
        <f>IF(G70="","",Q70-U70)</f>
        <v/>
      </c>
      <c r="W70" s="19">
        <f>IF(G70="","",IF(B70="G마켓",ROUNDDOWN(MAX(I70*N($G$10),J70*N($G$11),K70*N($G$12))+MAX(M70*N($G$16),N70*N($G$17),O70*N($G$18),P70*N($G$19))+MAX(R70*N($G$23),S70*N($G$24),T70*N($G$25)),0),ROUNDUP(MAX(I70*N($G$10),J70*N($G$11),K70*N($G$12))+MAX(M70*N($G$16),N70*N($G$17),O70*N($G$18),P70*N($G$19))+MAX(R70*N($G$23),S70*N($G$24),T70*N($G$25)),0)))</f>
        <v/>
      </c>
      <c r="X70" s="21">
        <f>IF(G70="","",IF(B70="G마켓",ROUNDDOWN(G70-G70*$Q$6-W70,0),ROUNDUP(G70-G70*$Q$6-W70,0)))</f>
        <v/>
      </c>
    </row>
    <row r="71">
      <c r="B71" s="7" t="n"/>
      <c r="C71" s="7" t="n"/>
      <c r="D71" s="22" t="n"/>
      <c r="E71" s="23" t="n"/>
      <c r="F71" s="23" t="n"/>
      <c r="G71" s="19">
        <f>IF(E71="","",E71-N(F71))</f>
        <v/>
      </c>
      <c r="I71" s="20">
        <f>IF(G71="","",IF(OR($D$10="",$H$10="X",G71&lt;N($C$10)),0,IF(B71="G마켓",ROUNDDOWN(MIN(G71*$D$10,IF($E$10="",9E+99,$E$10)),0),ROUNDUP(MIN(G71*$D$10,IF($E$10="",9E+99,$E$10)),0))))</f>
        <v/>
      </c>
      <c r="J71" s="20">
        <f>IF(G71="","",IF(OR($D$11="",$H$11="X",G71&lt;N($C$11)),0,IF(B71="G마켓",ROUNDDOWN(MIN(G71*$D$11,IF($E$11="",9E+99,$E$11)),0),ROUNDUP(MIN(G71*$D$11,IF($E$11="",9E+99,$E$11)),0))))</f>
        <v/>
      </c>
      <c r="K71" s="20">
        <f>IF(G71="","",IF(OR($D$12="",$H$12="X",G71&lt;N($C$12)),0,IF(B71="G마켓",ROUNDDOWN(MIN(G71*$D$12,IF($E$12="",9E+99,$E$12)),0),ROUNDUP(MIN(G71*$D$12,IF($E$12="",9E+99,$E$12)),0))))</f>
        <v/>
      </c>
      <c r="L71" s="19">
        <f>IF(G71="","",G71-MAX(I71:K71))</f>
        <v/>
      </c>
      <c r="M71" s="20">
        <f>IF(L71="","",IF(OR($D$16="",$H$16="X",L71&lt;N($C$16)),0,IF(B71="G마켓",ROUNDDOWN(MIN(L71*$D$16,IF($E$16="",9E+99,$E$16)),0),ROUNDUP(MIN(L71*$D$16,IF($E$16="",9E+99,$E$16)),0))))</f>
        <v/>
      </c>
      <c r="N71" s="20">
        <f>IF(L71="","",IF(OR($D$17="",$H$17="X",L71&lt;N($C$17)),0,IF(B71="G마켓",ROUNDDOWN(MIN(L71*$D$17,IF($E$17="",9E+99,$E$17)),0),ROUNDUP(MIN(L71*$D$17,IF($E$17="",9E+99,$E$17)),0))))</f>
        <v/>
      </c>
      <c r="O71" s="20">
        <f>IF(L71="","",IF(OR($D$18="",$H$18="X",L71&lt;N($C$18)),0,IF(B71="G마켓",ROUNDDOWN(MIN(L71*$D$18,IF($E$18="",9E+99,$E$18)),0),ROUNDUP(MIN(L71*$D$18,IF($E$18="",9E+99,$E$18)),0))))</f>
        <v/>
      </c>
      <c r="P71" s="20">
        <f>IF(L71="","",IF(OR($D$19="",$H$19="X",L71&lt;N($C$19)),0,IF(B71="G마켓",ROUNDDOWN(MIN(L71*$D$19,IF($E$19="",9E+99,$E$19)),0),ROUNDUP(MIN(L71*$D$19,IF($E$19="",9E+99,$E$19)),0))))</f>
        <v/>
      </c>
      <c r="Q71" s="19">
        <f>IF(G71="","",L71-MAX(M71:P71))</f>
        <v/>
      </c>
      <c r="R71" s="20">
        <f>IF(Q71="","",IF(OR($D$23="",Q71&lt;N($C$23)),0,IF(B71="G마켓",ROUNDDOWN(MIN(Q71*$D$23,IF($E$23="",9E+99,$E$23)),0),ROUNDUP(MIN(Q71*$D$23,IF($E$23="",9E+99,$E$23)),0))))</f>
        <v/>
      </c>
      <c r="S71" s="20">
        <f>IF(Q71="","",IF(OR($D$24="",Q71&lt;N($C$24)),0,IF(B71="G마켓",ROUNDDOWN(MIN(Q71*$D$24,IF($E$24="",9E+99,$E$24)),0),ROUNDUP(MIN(Q71*$D$24,IF($E$24="",9E+99,$E$24)),0))))</f>
        <v/>
      </c>
      <c r="T71" s="20">
        <f>IF(Q71="","",IF(OR($D$25="",Q71&lt;N($C$25)),0,IF(B71="G마켓",ROUNDDOWN(MIN(Q71*$D$25,IF($E$25="",9E+99,$E$25)),0),ROUNDUP(MIN(Q71*$D$25,IF($E$25="",9E+99,$E$25)),0))))</f>
        <v/>
      </c>
      <c r="U71" s="19">
        <f>IF(G71="","",MAX(R71:T71))</f>
        <v/>
      </c>
      <c r="V71" s="21">
        <f>IF(G71="","",Q71-U71)</f>
        <v/>
      </c>
      <c r="W71" s="19">
        <f>IF(G71="","",IF(B71="G마켓",ROUNDDOWN(MAX(I71*N($G$10),J71*N($G$11),K71*N($G$12))+MAX(M71*N($G$16),N71*N($G$17),O71*N($G$18),P71*N($G$19))+MAX(R71*N($G$23),S71*N($G$24),T71*N($G$25)),0),ROUNDUP(MAX(I71*N($G$10),J71*N($G$11),K71*N($G$12))+MAX(M71*N($G$16),N71*N($G$17),O71*N($G$18),P71*N($G$19))+MAX(R71*N($G$23),S71*N($G$24),T71*N($G$25)),0)))</f>
        <v/>
      </c>
      <c r="X71" s="21">
        <f>IF(G71="","",IF(B71="G마켓",ROUNDDOWN(G71-G71*$Q$6-W71,0),ROUNDUP(G71-G71*$Q$6-W71,0)))</f>
        <v/>
      </c>
    </row>
    <row r="72">
      <c r="B72" s="7" t="n"/>
      <c r="C72" s="7" t="n"/>
      <c r="D72" s="22" t="n"/>
      <c r="E72" s="23" t="n"/>
      <c r="F72" s="23" t="n"/>
      <c r="G72" s="19">
        <f>IF(E72="","",E72-N(F72))</f>
        <v/>
      </c>
      <c r="I72" s="20">
        <f>IF(G72="","",IF(OR($D$10="",$H$10="X",G72&lt;N($C$10)),0,IF(B72="G마켓",ROUNDDOWN(MIN(G72*$D$10,IF($E$10="",9E+99,$E$10)),0),ROUNDUP(MIN(G72*$D$10,IF($E$10="",9E+99,$E$10)),0))))</f>
        <v/>
      </c>
      <c r="J72" s="20">
        <f>IF(G72="","",IF(OR($D$11="",$H$11="X",G72&lt;N($C$11)),0,IF(B72="G마켓",ROUNDDOWN(MIN(G72*$D$11,IF($E$11="",9E+99,$E$11)),0),ROUNDUP(MIN(G72*$D$11,IF($E$11="",9E+99,$E$11)),0))))</f>
        <v/>
      </c>
      <c r="K72" s="20">
        <f>IF(G72="","",IF(OR($D$12="",$H$12="X",G72&lt;N($C$12)),0,IF(B72="G마켓",ROUNDDOWN(MIN(G72*$D$12,IF($E$12="",9E+99,$E$12)),0),ROUNDUP(MIN(G72*$D$12,IF($E$12="",9E+99,$E$12)),0))))</f>
        <v/>
      </c>
      <c r="L72" s="19">
        <f>IF(G72="","",G72-MAX(I72:K72))</f>
        <v/>
      </c>
      <c r="M72" s="20">
        <f>IF(L72="","",IF(OR($D$16="",$H$16="X",L72&lt;N($C$16)),0,IF(B72="G마켓",ROUNDDOWN(MIN(L72*$D$16,IF($E$16="",9E+99,$E$16)),0),ROUNDUP(MIN(L72*$D$16,IF($E$16="",9E+99,$E$16)),0))))</f>
        <v/>
      </c>
      <c r="N72" s="20">
        <f>IF(L72="","",IF(OR($D$17="",$H$17="X",L72&lt;N($C$17)),0,IF(B72="G마켓",ROUNDDOWN(MIN(L72*$D$17,IF($E$17="",9E+99,$E$17)),0),ROUNDUP(MIN(L72*$D$17,IF($E$17="",9E+99,$E$17)),0))))</f>
        <v/>
      </c>
      <c r="O72" s="20">
        <f>IF(L72="","",IF(OR($D$18="",$H$18="X",L72&lt;N($C$18)),0,IF(B72="G마켓",ROUNDDOWN(MIN(L72*$D$18,IF($E$18="",9E+99,$E$18)),0),ROUNDUP(MIN(L72*$D$18,IF($E$18="",9E+99,$E$18)),0))))</f>
        <v/>
      </c>
      <c r="P72" s="20">
        <f>IF(L72="","",IF(OR($D$19="",$H$19="X",L72&lt;N($C$19)),0,IF(B72="G마켓",ROUNDDOWN(MIN(L72*$D$19,IF($E$19="",9E+99,$E$19)),0),ROUNDUP(MIN(L72*$D$19,IF($E$19="",9E+99,$E$19)),0))))</f>
        <v/>
      </c>
      <c r="Q72" s="19">
        <f>IF(G72="","",L72-MAX(M72:P72))</f>
        <v/>
      </c>
      <c r="R72" s="20">
        <f>IF(Q72="","",IF(OR($D$23="",Q72&lt;N($C$23)),0,IF(B72="G마켓",ROUNDDOWN(MIN(Q72*$D$23,IF($E$23="",9E+99,$E$23)),0),ROUNDUP(MIN(Q72*$D$23,IF($E$23="",9E+99,$E$23)),0))))</f>
        <v/>
      </c>
      <c r="S72" s="20">
        <f>IF(Q72="","",IF(OR($D$24="",Q72&lt;N($C$24)),0,IF(B72="G마켓",ROUNDDOWN(MIN(Q72*$D$24,IF($E$24="",9E+99,$E$24)),0),ROUNDUP(MIN(Q72*$D$24,IF($E$24="",9E+99,$E$24)),0))))</f>
        <v/>
      </c>
      <c r="T72" s="20">
        <f>IF(Q72="","",IF(OR($D$25="",Q72&lt;N($C$25)),0,IF(B72="G마켓",ROUNDDOWN(MIN(Q72*$D$25,IF($E$25="",9E+99,$E$25)),0),ROUNDUP(MIN(Q72*$D$25,IF($E$25="",9E+99,$E$25)),0))))</f>
        <v/>
      </c>
      <c r="U72" s="19">
        <f>IF(G72="","",MAX(R72:T72))</f>
        <v/>
      </c>
      <c r="V72" s="21">
        <f>IF(G72="","",Q72-U72)</f>
        <v/>
      </c>
      <c r="W72" s="19">
        <f>IF(G72="","",IF(B72="G마켓",ROUNDDOWN(MAX(I72*N($G$10),J72*N($G$11),K72*N($G$12))+MAX(M72*N($G$16),N72*N($G$17),O72*N($G$18),P72*N($G$19))+MAX(R72*N($G$23),S72*N($G$24),T72*N($G$25)),0),ROUNDUP(MAX(I72*N($G$10),J72*N($G$11),K72*N($G$12))+MAX(M72*N($G$16),N72*N($G$17),O72*N($G$18),P72*N($G$19))+MAX(R72*N($G$23),S72*N($G$24),T72*N($G$25)),0)))</f>
        <v/>
      </c>
      <c r="X72" s="21">
        <f>IF(G72="","",IF(B72="G마켓",ROUNDDOWN(G72-G72*$Q$6-W72,0),ROUNDUP(G72-G72*$Q$6-W72,0)))</f>
        <v/>
      </c>
    </row>
    <row r="73">
      <c r="B73" s="7" t="n"/>
      <c r="C73" s="7" t="n"/>
      <c r="D73" s="22" t="n"/>
      <c r="E73" s="23" t="n"/>
      <c r="F73" s="23" t="n"/>
      <c r="G73" s="19">
        <f>IF(E73="","",E73-N(F73))</f>
        <v/>
      </c>
      <c r="I73" s="20">
        <f>IF(G73="","",IF(OR($D$10="",$H$10="X",G73&lt;N($C$10)),0,IF(B73="G마켓",ROUNDDOWN(MIN(G73*$D$10,IF($E$10="",9E+99,$E$10)),0),ROUNDUP(MIN(G73*$D$10,IF($E$10="",9E+99,$E$10)),0))))</f>
        <v/>
      </c>
      <c r="J73" s="20">
        <f>IF(G73="","",IF(OR($D$11="",$H$11="X",G73&lt;N($C$11)),0,IF(B73="G마켓",ROUNDDOWN(MIN(G73*$D$11,IF($E$11="",9E+99,$E$11)),0),ROUNDUP(MIN(G73*$D$11,IF($E$11="",9E+99,$E$11)),0))))</f>
        <v/>
      </c>
      <c r="K73" s="20">
        <f>IF(G73="","",IF(OR($D$12="",$H$12="X",G73&lt;N($C$12)),0,IF(B73="G마켓",ROUNDDOWN(MIN(G73*$D$12,IF($E$12="",9E+99,$E$12)),0),ROUNDUP(MIN(G73*$D$12,IF($E$12="",9E+99,$E$12)),0))))</f>
        <v/>
      </c>
      <c r="L73" s="19">
        <f>IF(G73="","",G73-MAX(I73:K73))</f>
        <v/>
      </c>
      <c r="M73" s="20">
        <f>IF(L73="","",IF(OR($D$16="",$H$16="X",L73&lt;N($C$16)),0,IF(B73="G마켓",ROUNDDOWN(MIN(L73*$D$16,IF($E$16="",9E+99,$E$16)),0),ROUNDUP(MIN(L73*$D$16,IF($E$16="",9E+99,$E$16)),0))))</f>
        <v/>
      </c>
      <c r="N73" s="20">
        <f>IF(L73="","",IF(OR($D$17="",$H$17="X",L73&lt;N($C$17)),0,IF(B73="G마켓",ROUNDDOWN(MIN(L73*$D$17,IF($E$17="",9E+99,$E$17)),0),ROUNDUP(MIN(L73*$D$17,IF($E$17="",9E+99,$E$17)),0))))</f>
        <v/>
      </c>
      <c r="O73" s="20">
        <f>IF(L73="","",IF(OR($D$18="",$H$18="X",L73&lt;N($C$18)),0,IF(B73="G마켓",ROUNDDOWN(MIN(L73*$D$18,IF($E$18="",9E+99,$E$18)),0),ROUNDUP(MIN(L73*$D$18,IF($E$18="",9E+99,$E$18)),0))))</f>
        <v/>
      </c>
      <c r="P73" s="20">
        <f>IF(L73="","",IF(OR($D$19="",$H$19="X",L73&lt;N($C$19)),0,IF(B73="G마켓",ROUNDDOWN(MIN(L73*$D$19,IF($E$19="",9E+99,$E$19)),0),ROUNDUP(MIN(L73*$D$19,IF($E$19="",9E+99,$E$19)),0))))</f>
        <v/>
      </c>
      <c r="Q73" s="19">
        <f>IF(G73="","",L73-MAX(M73:P73))</f>
        <v/>
      </c>
      <c r="R73" s="20">
        <f>IF(Q73="","",IF(OR($D$23="",Q73&lt;N($C$23)),0,IF(B73="G마켓",ROUNDDOWN(MIN(Q73*$D$23,IF($E$23="",9E+99,$E$23)),0),ROUNDUP(MIN(Q73*$D$23,IF($E$23="",9E+99,$E$23)),0))))</f>
        <v/>
      </c>
      <c r="S73" s="20">
        <f>IF(Q73="","",IF(OR($D$24="",Q73&lt;N($C$24)),0,IF(B73="G마켓",ROUNDDOWN(MIN(Q73*$D$24,IF($E$24="",9E+99,$E$24)),0),ROUNDUP(MIN(Q73*$D$24,IF($E$24="",9E+99,$E$24)),0))))</f>
        <v/>
      </c>
      <c r="T73" s="20">
        <f>IF(Q73="","",IF(OR($D$25="",Q73&lt;N($C$25)),0,IF(B73="G마켓",ROUNDDOWN(MIN(Q73*$D$25,IF($E$25="",9E+99,$E$25)),0),ROUNDUP(MIN(Q73*$D$25,IF($E$25="",9E+99,$E$25)),0))))</f>
        <v/>
      </c>
      <c r="U73" s="19">
        <f>IF(G73="","",MAX(R73:T73))</f>
        <v/>
      </c>
      <c r="V73" s="21">
        <f>IF(G73="","",Q73-U73)</f>
        <v/>
      </c>
      <c r="W73" s="19">
        <f>IF(G73="","",IF(B73="G마켓",ROUNDDOWN(MAX(I73*N($G$10),J73*N($G$11),K73*N($G$12))+MAX(M73*N($G$16),N73*N($G$17),O73*N($G$18),P73*N($G$19))+MAX(R73*N($G$23),S73*N($G$24),T73*N($G$25)),0),ROUNDUP(MAX(I73*N($G$10),J73*N($G$11),K73*N($G$12))+MAX(M73*N($G$16),N73*N($G$17),O73*N($G$18),P73*N($G$19))+MAX(R73*N($G$23),S73*N($G$24),T73*N($G$25)),0)))</f>
        <v/>
      </c>
      <c r="X73" s="21">
        <f>IF(G73="","",IF(B73="G마켓",ROUNDDOWN(G73-G73*$Q$6-W73,0),ROUNDUP(G73-G73*$Q$6-W73,0)))</f>
        <v/>
      </c>
    </row>
    <row r="74">
      <c r="B74" s="7" t="n"/>
      <c r="C74" s="7" t="n"/>
      <c r="D74" s="22" t="n"/>
      <c r="E74" s="23" t="n"/>
      <c r="F74" s="23" t="n"/>
      <c r="G74" s="19">
        <f>IF(E74="","",E74-N(F74))</f>
        <v/>
      </c>
      <c r="I74" s="20">
        <f>IF(G74="","",IF(OR($D$10="",$H$10="X",G74&lt;N($C$10)),0,IF(B74="G마켓",ROUNDDOWN(MIN(G74*$D$10,IF($E$10="",9E+99,$E$10)),0),ROUNDUP(MIN(G74*$D$10,IF($E$10="",9E+99,$E$10)),0))))</f>
        <v/>
      </c>
      <c r="J74" s="20">
        <f>IF(G74="","",IF(OR($D$11="",$H$11="X",G74&lt;N($C$11)),0,IF(B74="G마켓",ROUNDDOWN(MIN(G74*$D$11,IF($E$11="",9E+99,$E$11)),0),ROUNDUP(MIN(G74*$D$11,IF($E$11="",9E+99,$E$11)),0))))</f>
        <v/>
      </c>
      <c r="K74" s="20">
        <f>IF(G74="","",IF(OR($D$12="",$H$12="X",G74&lt;N($C$12)),0,IF(B74="G마켓",ROUNDDOWN(MIN(G74*$D$12,IF($E$12="",9E+99,$E$12)),0),ROUNDUP(MIN(G74*$D$12,IF($E$12="",9E+99,$E$12)),0))))</f>
        <v/>
      </c>
      <c r="L74" s="19">
        <f>IF(G74="","",G74-MAX(I74:K74))</f>
        <v/>
      </c>
      <c r="M74" s="20">
        <f>IF(L74="","",IF(OR($D$16="",$H$16="X",L74&lt;N($C$16)),0,IF(B74="G마켓",ROUNDDOWN(MIN(L74*$D$16,IF($E$16="",9E+99,$E$16)),0),ROUNDUP(MIN(L74*$D$16,IF($E$16="",9E+99,$E$16)),0))))</f>
        <v/>
      </c>
      <c r="N74" s="20">
        <f>IF(L74="","",IF(OR($D$17="",$H$17="X",L74&lt;N($C$17)),0,IF(B74="G마켓",ROUNDDOWN(MIN(L74*$D$17,IF($E$17="",9E+99,$E$17)),0),ROUNDUP(MIN(L74*$D$17,IF($E$17="",9E+99,$E$17)),0))))</f>
        <v/>
      </c>
      <c r="O74" s="20">
        <f>IF(L74="","",IF(OR($D$18="",$H$18="X",L74&lt;N($C$18)),0,IF(B74="G마켓",ROUNDDOWN(MIN(L74*$D$18,IF($E$18="",9E+99,$E$18)),0),ROUNDUP(MIN(L74*$D$18,IF($E$18="",9E+99,$E$18)),0))))</f>
        <v/>
      </c>
      <c r="P74" s="20">
        <f>IF(L74="","",IF(OR($D$19="",$H$19="X",L74&lt;N($C$19)),0,IF(B74="G마켓",ROUNDDOWN(MIN(L74*$D$19,IF($E$19="",9E+99,$E$19)),0),ROUNDUP(MIN(L74*$D$19,IF($E$19="",9E+99,$E$19)),0))))</f>
        <v/>
      </c>
      <c r="Q74" s="19">
        <f>IF(G74="","",L74-MAX(M74:P74))</f>
        <v/>
      </c>
      <c r="R74" s="20">
        <f>IF(Q74="","",IF(OR($D$23="",Q74&lt;N($C$23)),0,IF(B74="G마켓",ROUNDDOWN(MIN(Q74*$D$23,IF($E$23="",9E+99,$E$23)),0),ROUNDUP(MIN(Q74*$D$23,IF($E$23="",9E+99,$E$23)),0))))</f>
        <v/>
      </c>
      <c r="S74" s="20">
        <f>IF(Q74="","",IF(OR($D$24="",Q74&lt;N($C$24)),0,IF(B74="G마켓",ROUNDDOWN(MIN(Q74*$D$24,IF($E$24="",9E+99,$E$24)),0),ROUNDUP(MIN(Q74*$D$24,IF($E$24="",9E+99,$E$24)),0))))</f>
        <v/>
      </c>
      <c r="T74" s="20">
        <f>IF(Q74="","",IF(OR($D$25="",Q74&lt;N($C$25)),0,IF(B74="G마켓",ROUNDDOWN(MIN(Q74*$D$25,IF($E$25="",9E+99,$E$25)),0),ROUNDUP(MIN(Q74*$D$25,IF($E$25="",9E+99,$E$25)),0))))</f>
        <v/>
      </c>
      <c r="U74" s="19">
        <f>IF(G74="","",MAX(R74:T74))</f>
        <v/>
      </c>
      <c r="V74" s="21">
        <f>IF(G74="","",Q74-U74)</f>
        <v/>
      </c>
      <c r="W74" s="19">
        <f>IF(G74="","",IF(B74="G마켓",ROUNDDOWN(MAX(I74*N($G$10),J74*N($G$11),K74*N($G$12))+MAX(M74*N($G$16),N74*N($G$17),O74*N($G$18),P74*N($G$19))+MAX(R74*N($G$23),S74*N($G$24),T74*N($G$25)),0),ROUNDUP(MAX(I74*N($G$10),J74*N($G$11),K74*N($G$12))+MAX(M74*N($G$16),N74*N($G$17),O74*N($G$18),P74*N($G$19))+MAX(R74*N($G$23),S74*N($G$24),T74*N($G$25)),0)))</f>
        <v/>
      </c>
      <c r="X74" s="21">
        <f>IF(G74="","",IF(B74="G마켓",ROUNDDOWN(G74-G74*$Q$6-W74,0),ROUNDUP(G74-G74*$Q$6-W74,0)))</f>
        <v/>
      </c>
    </row>
    <row r="75">
      <c r="B75" s="7" t="n"/>
      <c r="C75" s="7" t="n"/>
      <c r="D75" s="22" t="n"/>
      <c r="E75" s="23" t="n"/>
      <c r="F75" s="23" t="n"/>
      <c r="G75" s="19">
        <f>IF(E75="","",E75-N(F75))</f>
        <v/>
      </c>
      <c r="I75" s="20">
        <f>IF(G75="","",IF(OR($D$10="",$H$10="X",G75&lt;N($C$10)),0,IF(B75="G마켓",ROUNDDOWN(MIN(G75*$D$10,IF($E$10="",9E+99,$E$10)),0),ROUNDUP(MIN(G75*$D$10,IF($E$10="",9E+99,$E$10)),0))))</f>
        <v/>
      </c>
      <c r="J75" s="20">
        <f>IF(G75="","",IF(OR($D$11="",$H$11="X",G75&lt;N($C$11)),0,IF(B75="G마켓",ROUNDDOWN(MIN(G75*$D$11,IF($E$11="",9E+99,$E$11)),0),ROUNDUP(MIN(G75*$D$11,IF($E$11="",9E+99,$E$11)),0))))</f>
        <v/>
      </c>
      <c r="K75" s="20">
        <f>IF(G75="","",IF(OR($D$12="",$H$12="X",G75&lt;N($C$12)),0,IF(B75="G마켓",ROUNDDOWN(MIN(G75*$D$12,IF($E$12="",9E+99,$E$12)),0),ROUNDUP(MIN(G75*$D$12,IF($E$12="",9E+99,$E$12)),0))))</f>
        <v/>
      </c>
      <c r="L75" s="19">
        <f>IF(G75="","",G75-MAX(I75:K75))</f>
        <v/>
      </c>
      <c r="M75" s="20">
        <f>IF(L75="","",IF(OR($D$16="",$H$16="X",L75&lt;N($C$16)),0,IF(B75="G마켓",ROUNDDOWN(MIN(L75*$D$16,IF($E$16="",9E+99,$E$16)),0),ROUNDUP(MIN(L75*$D$16,IF($E$16="",9E+99,$E$16)),0))))</f>
        <v/>
      </c>
      <c r="N75" s="20">
        <f>IF(L75="","",IF(OR($D$17="",$H$17="X",L75&lt;N($C$17)),0,IF(B75="G마켓",ROUNDDOWN(MIN(L75*$D$17,IF($E$17="",9E+99,$E$17)),0),ROUNDUP(MIN(L75*$D$17,IF($E$17="",9E+99,$E$17)),0))))</f>
        <v/>
      </c>
      <c r="O75" s="20">
        <f>IF(L75="","",IF(OR($D$18="",$H$18="X",L75&lt;N($C$18)),0,IF(B75="G마켓",ROUNDDOWN(MIN(L75*$D$18,IF($E$18="",9E+99,$E$18)),0),ROUNDUP(MIN(L75*$D$18,IF($E$18="",9E+99,$E$18)),0))))</f>
        <v/>
      </c>
      <c r="P75" s="20">
        <f>IF(L75="","",IF(OR($D$19="",$H$19="X",L75&lt;N($C$19)),0,IF(B75="G마켓",ROUNDDOWN(MIN(L75*$D$19,IF($E$19="",9E+99,$E$19)),0),ROUNDUP(MIN(L75*$D$19,IF($E$19="",9E+99,$E$19)),0))))</f>
        <v/>
      </c>
      <c r="Q75" s="19">
        <f>IF(G75="","",L75-MAX(M75:P75))</f>
        <v/>
      </c>
      <c r="R75" s="20">
        <f>IF(Q75="","",IF(OR($D$23="",Q75&lt;N($C$23)),0,IF(B75="G마켓",ROUNDDOWN(MIN(Q75*$D$23,IF($E$23="",9E+99,$E$23)),0),ROUNDUP(MIN(Q75*$D$23,IF($E$23="",9E+99,$E$23)),0))))</f>
        <v/>
      </c>
      <c r="S75" s="20">
        <f>IF(Q75="","",IF(OR($D$24="",Q75&lt;N($C$24)),0,IF(B75="G마켓",ROUNDDOWN(MIN(Q75*$D$24,IF($E$24="",9E+99,$E$24)),0),ROUNDUP(MIN(Q75*$D$24,IF($E$24="",9E+99,$E$24)),0))))</f>
        <v/>
      </c>
      <c r="T75" s="20">
        <f>IF(Q75="","",IF(OR($D$25="",Q75&lt;N($C$25)),0,IF(B75="G마켓",ROUNDDOWN(MIN(Q75*$D$25,IF($E$25="",9E+99,$E$25)),0),ROUNDUP(MIN(Q75*$D$25,IF($E$25="",9E+99,$E$25)),0))))</f>
        <v/>
      </c>
      <c r="U75" s="19">
        <f>IF(G75="","",MAX(R75:T75))</f>
        <v/>
      </c>
      <c r="V75" s="21">
        <f>IF(G75="","",Q75-U75)</f>
        <v/>
      </c>
      <c r="W75" s="19">
        <f>IF(G75="","",IF(B75="G마켓",ROUNDDOWN(MAX(I75*N($G$10),J75*N($G$11),K75*N($G$12))+MAX(M75*N($G$16),N75*N($G$17),O75*N($G$18),P75*N($G$19))+MAX(R75*N($G$23),S75*N($G$24),T75*N($G$25)),0),ROUNDUP(MAX(I75*N($G$10),J75*N($G$11),K75*N($G$12))+MAX(M75*N($G$16),N75*N($G$17),O75*N($G$18),P75*N($G$19))+MAX(R75*N($G$23),S75*N($G$24),T75*N($G$25)),0)))</f>
        <v/>
      </c>
      <c r="X75" s="21">
        <f>IF(G75="","",IF(B75="G마켓",ROUNDDOWN(G75-G75*$Q$6-W75,0),ROUNDUP(G75-G75*$Q$6-W75,0)))</f>
        <v/>
      </c>
    </row>
    <row r="76">
      <c r="B76" s="7" t="n"/>
      <c r="C76" s="7" t="n"/>
      <c r="D76" s="22" t="n"/>
      <c r="E76" s="23" t="n"/>
      <c r="F76" s="23" t="n"/>
      <c r="G76" s="19">
        <f>IF(E76="","",E76-N(F76))</f>
        <v/>
      </c>
      <c r="I76" s="20">
        <f>IF(G76="","",IF(OR($D$10="",$H$10="X",G76&lt;N($C$10)),0,IF(B76="G마켓",ROUNDDOWN(MIN(G76*$D$10,IF($E$10="",9E+99,$E$10)),0),ROUNDUP(MIN(G76*$D$10,IF($E$10="",9E+99,$E$10)),0))))</f>
        <v/>
      </c>
      <c r="J76" s="20">
        <f>IF(G76="","",IF(OR($D$11="",$H$11="X",G76&lt;N($C$11)),0,IF(B76="G마켓",ROUNDDOWN(MIN(G76*$D$11,IF($E$11="",9E+99,$E$11)),0),ROUNDUP(MIN(G76*$D$11,IF($E$11="",9E+99,$E$11)),0))))</f>
        <v/>
      </c>
      <c r="K76" s="20">
        <f>IF(G76="","",IF(OR($D$12="",$H$12="X",G76&lt;N($C$12)),0,IF(B76="G마켓",ROUNDDOWN(MIN(G76*$D$12,IF($E$12="",9E+99,$E$12)),0),ROUNDUP(MIN(G76*$D$12,IF($E$12="",9E+99,$E$12)),0))))</f>
        <v/>
      </c>
      <c r="L76" s="19">
        <f>IF(G76="","",G76-MAX(I76:K76))</f>
        <v/>
      </c>
      <c r="M76" s="20">
        <f>IF(L76="","",IF(OR($D$16="",$H$16="X",L76&lt;N($C$16)),0,IF(B76="G마켓",ROUNDDOWN(MIN(L76*$D$16,IF($E$16="",9E+99,$E$16)),0),ROUNDUP(MIN(L76*$D$16,IF($E$16="",9E+99,$E$16)),0))))</f>
        <v/>
      </c>
      <c r="N76" s="20">
        <f>IF(L76="","",IF(OR($D$17="",$H$17="X",L76&lt;N($C$17)),0,IF(B76="G마켓",ROUNDDOWN(MIN(L76*$D$17,IF($E$17="",9E+99,$E$17)),0),ROUNDUP(MIN(L76*$D$17,IF($E$17="",9E+99,$E$17)),0))))</f>
        <v/>
      </c>
      <c r="O76" s="20">
        <f>IF(L76="","",IF(OR($D$18="",$H$18="X",L76&lt;N($C$18)),0,IF(B76="G마켓",ROUNDDOWN(MIN(L76*$D$18,IF($E$18="",9E+99,$E$18)),0),ROUNDUP(MIN(L76*$D$18,IF($E$18="",9E+99,$E$18)),0))))</f>
        <v/>
      </c>
      <c r="P76" s="20">
        <f>IF(L76="","",IF(OR($D$19="",$H$19="X",L76&lt;N($C$19)),0,IF(B76="G마켓",ROUNDDOWN(MIN(L76*$D$19,IF($E$19="",9E+99,$E$19)),0),ROUNDUP(MIN(L76*$D$19,IF($E$19="",9E+99,$E$19)),0))))</f>
        <v/>
      </c>
      <c r="Q76" s="19">
        <f>IF(G76="","",L76-MAX(M76:P76))</f>
        <v/>
      </c>
      <c r="R76" s="20">
        <f>IF(Q76="","",IF(OR($D$23="",Q76&lt;N($C$23)),0,IF(B76="G마켓",ROUNDDOWN(MIN(Q76*$D$23,IF($E$23="",9E+99,$E$23)),0),ROUNDUP(MIN(Q76*$D$23,IF($E$23="",9E+99,$E$23)),0))))</f>
        <v/>
      </c>
      <c r="S76" s="20">
        <f>IF(Q76="","",IF(OR($D$24="",Q76&lt;N($C$24)),0,IF(B76="G마켓",ROUNDDOWN(MIN(Q76*$D$24,IF($E$24="",9E+99,$E$24)),0),ROUNDUP(MIN(Q76*$D$24,IF($E$24="",9E+99,$E$24)),0))))</f>
        <v/>
      </c>
      <c r="T76" s="20">
        <f>IF(Q76="","",IF(OR($D$25="",Q76&lt;N($C$25)),0,IF(B76="G마켓",ROUNDDOWN(MIN(Q76*$D$25,IF($E$25="",9E+99,$E$25)),0),ROUNDUP(MIN(Q76*$D$25,IF($E$25="",9E+99,$E$25)),0))))</f>
        <v/>
      </c>
      <c r="U76" s="19">
        <f>IF(G76="","",MAX(R76:T76))</f>
        <v/>
      </c>
      <c r="V76" s="21">
        <f>IF(G76="","",Q76-U76)</f>
        <v/>
      </c>
      <c r="W76" s="19">
        <f>IF(G76="","",IF(B76="G마켓",ROUNDDOWN(MAX(I76*N($G$10),J76*N($G$11),K76*N($G$12))+MAX(M76*N($G$16),N76*N($G$17),O76*N($G$18),P76*N($G$19))+MAX(R76*N($G$23),S76*N($G$24),T76*N($G$25)),0),ROUNDUP(MAX(I76*N($G$10),J76*N($G$11),K76*N($G$12))+MAX(M76*N($G$16),N76*N($G$17),O76*N($G$18),P76*N($G$19))+MAX(R76*N($G$23),S76*N($G$24),T76*N($G$25)),0)))</f>
        <v/>
      </c>
      <c r="X76" s="21">
        <f>IF(G76="","",IF(B76="G마켓",ROUNDDOWN(G76-G76*$Q$6-W76,0),ROUNDUP(G76-G76*$Q$6-W76,0)))</f>
        <v/>
      </c>
    </row>
    <row r="77">
      <c r="B77" s="7" t="n"/>
      <c r="C77" s="7" t="n"/>
      <c r="D77" s="22" t="n"/>
      <c r="E77" s="23" t="n"/>
      <c r="F77" s="23" t="n"/>
      <c r="G77" s="19">
        <f>IF(E77="","",E77-N(F77))</f>
        <v/>
      </c>
      <c r="I77" s="20">
        <f>IF(G77="","",IF(OR($D$10="",$H$10="X",G77&lt;N($C$10)),0,IF(B77="G마켓",ROUNDDOWN(MIN(G77*$D$10,IF($E$10="",9E+99,$E$10)),0),ROUNDUP(MIN(G77*$D$10,IF($E$10="",9E+99,$E$10)),0))))</f>
        <v/>
      </c>
      <c r="J77" s="20">
        <f>IF(G77="","",IF(OR($D$11="",$H$11="X",G77&lt;N($C$11)),0,IF(B77="G마켓",ROUNDDOWN(MIN(G77*$D$11,IF($E$11="",9E+99,$E$11)),0),ROUNDUP(MIN(G77*$D$11,IF($E$11="",9E+99,$E$11)),0))))</f>
        <v/>
      </c>
      <c r="K77" s="20">
        <f>IF(G77="","",IF(OR($D$12="",$H$12="X",G77&lt;N($C$12)),0,IF(B77="G마켓",ROUNDDOWN(MIN(G77*$D$12,IF($E$12="",9E+99,$E$12)),0),ROUNDUP(MIN(G77*$D$12,IF($E$12="",9E+99,$E$12)),0))))</f>
        <v/>
      </c>
      <c r="L77" s="19">
        <f>IF(G77="","",G77-MAX(I77:K77))</f>
        <v/>
      </c>
      <c r="M77" s="20">
        <f>IF(L77="","",IF(OR($D$16="",$H$16="X",L77&lt;N($C$16)),0,IF(B77="G마켓",ROUNDDOWN(MIN(L77*$D$16,IF($E$16="",9E+99,$E$16)),0),ROUNDUP(MIN(L77*$D$16,IF($E$16="",9E+99,$E$16)),0))))</f>
        <v/>
      </c>
      <c r="N77" s="20">
        <f>IF(L77="","",IF(OR($D$17="",$H$17="X",L77&lt;N($C$17)),0,IF(B77="G마켓",ROUNDDOWN(MIN(L77*$D$17,IF($E$17="",9E+99,$E$17)),0),ROUNDUP(MIN(L77*$D$17,IF($E$17="",9E+99,$E$17)),0))))</f>
        <v/>
      </c>
      <c r="O77" s="20">
        <f>IF(L77="","",IF(OR($D$18="",$H$18="X",L77&lt;N($C$18)),0,IF(B77="G마켓",ROUNDDOWN(MIN(L77*$D$18,IF($E$18="",9E+99,$E$18)),0),ROUNDUP(MIN(L77*$D$18,IF($E$18="",9E+99,$E$18)),0))))</f>
        <v/>
      </c>
      <c r="P77" s="20">
        <f>IF(L77="","",IF(OR($D$19="",$H$19="X",L77&lt;N($C$19)),0,IF(B77="G마켓",ROUNDDOWN(MIN(L77*$D$19,IF($E$19="",9E+99,$E$19)),0),ROUNDUP(MIN(L77*$D$19,IF($E$19="",9E+99,$E$19)),0))))</f>
        <v/>
      </c>
      <c r="Q77" s="19">
        <f>IF(G77="","",L77-MAX(M77:P77))</f>
        <v/>
      </c>
      <c r="R77" s="20">
        <f>IF(Q77="","",IF(OR($D$23="",Q77&lt;N($C$23)),0,IF(B77="G마켓",ROUNDDOWN(MIN(Q77*$D$23,IF($E$23="",9E+99,$E$23)),0),ROUNDUP(MIN(Q77*$D$23,IF($E$23="",9E+99,$E$23)),0))))</f>
        <v/>
      </c>
      <c r="S77" s="20">
        <f>IF(Q77="","",IF(OR($D$24="",Q77&lt;N($C$24)),0,IF(B77="G마켓",ROUNDDOWN(MIN(Q77*$D$24,IF($E$24="",9E+99,$E$24)),0),ROUNDUP(MIN(Q77*$D$24,IF($E$24="",9E+99,$E$24)),0))))</f>
        <v/>
      </c>
      <c r="T77" s="20">
        <f>IF(Q77="","",IF(OR($D$25="",Q77&lt;N($C$25)),0,IF(B77="G마켓",ROUNDDOWN(MIN(Q77*$D$25,IF($E$25="",9E+99,$E$25)),0),ROUNDUP(MIN(Q77*$D$25,IF($E$25="",9E+99,$E$25)),0))))</f>
        <v/>
      </c>
      <c r="U77" s="19">
        <f>IF(G77="","",MAX(R77:T77))</f>
        <v/>
      </c>
      <c r="V77" s="21">
        <f>IF(G77="","",Q77-U77)</f>
        <v/>
      </c>
      <c r="W77" s="19">
        <f>IF(G77="","",IF(B77="G마켓",ROUNDDOWN(MAX(I77*N($G$10),J77*N($G$11),K77*N($G$12))+MAX(M77*N($G$16),N77*N($G$17),O77*N($G$18),P77*N($G$19))+MAX(R77*N($G$23),S77*N($G$24),T77*N($G$25)),0),ROUNDUP(MAX(I77*N($G$10),J77*N($G$11),K77*N($G$12))+MAX(M77*N($G$16),N77*N($G$17),O77*N($G$18),P77*N($G$19))+MAX(R77*N($G$23),S77*N($G$24),T77*N($G$25)),0)))</f>
        <v/>
      </c>
      <c r="X77" s="21">
        <f>IF(G77="","",IF(B77="G마켓",ROUNDDOWN(G77-G77*$Q$6-W77,0),ROUNDUP(G77-G77*$Q$6-W77,0)))</f>
        <v/>
      </c>
    </row>
    <row r="78">
      <c r="B78" s="7" t="n"/>
      <c r="C78" s="7" t="n"/>
      <c r="D78" s="22" t="n"/>
      <c r="E78" s="23" t="n"/>
      <c r="F78" s="23" t="n"/>
      <c r="G78" s="19">
        <f>IF(E78="","",E78-N(F78))</f>
        <v/>
      </c>
      <c r="I78" s="20">
        <f>IF(G78="","",IF(OR($D$10="",$H$10="X",G78&lt;N($C$10)),0,IF(B78="G마켓",ROUNDDOWN(MIN(G78*$D$10,IF($E$10="",9E+99,$E$10)),0),ROUNDUP(MIN(G78*$D$10,IF($E$10="",9E+99,$E$10)),0))))</f>
        <v/>
      </c>
      <c r="J78" s="20">
        <f>IF(G78="","",IF(OR($D$11="",$H$11="X",G78&lt;N($C$11)),0,IF(B78="G마켓",ROUNDDOWN(MIN(G78*$D$11,IF($E$11="",9E+99,$E$11)),0),ROUNDUP(MIN(G78*$D$11,IF($E$11="",9E+99,$E$11)),0))))</f>
        <v/>
      </c>
      <c r="K78" s="20">
        <f>IF(G78="","",IF(OR($D$12="",$H$12="X",G78&lt;N($C$12)),0,IF(B78="G마켓",ROUNDDOWN(MIN(G78*$D$12,IF($E$12="",9E+99,$E$12)),0),ROUNDUP(MIN(G78*$D$12,IF($E$12="",9E+99,$E$12)),0))))</f>
        <v/>
      </c>
      <c r="L78" s="19">
        <f>IF(G78="","",G78-MAX(I78:K78))</f>
        <v/>
      </c>
      <c r="M78" s="20">
        <f>IF(L78="","",IF(OR($D$16="",$H$16="X",L78&lt;N($C$16)),0,IF(B78="G마켓",ROUNDDOWN(MIN(L78*$D$16,IF($E$16="",9E+99,$E$16)),0),ROUNDUP(MIN(L78*$D$16,IF($E$16="",9E+99,$E$16)),0))))</f>
        <v/>
      </c>
      <c r="N78" s="20">
        <f>IF(L78="","",IF(OR($D$17="",$H$17="X",L78&lt;N($C$17)),0,IF(B78="G마켓",ROUNDDOWN(MIN(L78*$D$17,IF($E$17="",9E+99,$E$17)),0),ROUNDUP(MIN(L78*$D$17,IF($E$17="",9E+99,$E$17)),0))))</f>
        <v/>
      </c>
      <c r="O78" s="20">
        <f>IF(L78="","",IF(OR($D$18="",$H$18="X",L78&lt;N($C$18)),0,IF(B78="G마켓",ROUNDDOWN(MIN(L78*$D$18,IF($E$18="",9E+99,$E$18)),0),ROUNDUP(MIN(L78*$D$18,IF($E$18="",9E+99,$E$18)),0))))</f>
        <v/>
      </c>
      <c r="P78" s="20">
        <f>IF(L78="","",IF(OR($D$19="",$H$19="X",L78&lt;N($C$19)),0,IF(B78="G마켓",ROUNDDOWN(MIN(L78*$D$19,IF($E$19="",9E+99,$E$19)),0),ROUNDUP(MIN(L78*$D$19,IF($E$19="",9E+99,$E$19)),0))))</f>
        <v/>
      </c>
      <c r="Q78" s="19">
        <f>IF(G78="","",L78-MAX(M78:P78))</f>
        <v/>
      </c>
      <c r="R78" s="20">
        <f>IF(Q78="","",IF(OR($D$23="",Q78&lt;N($C$23)),0,IF(B78="G마켓",ROUNDDOWN(MIN(Q78*$D$23,IF($E$23="",9E+99,$E$23)),0),ROUNDUP(MIN(Q78*$D$23,IF($E$23="",9E+99,$E$23)),0))))</f>
        <v/>
      </c>
      <c r="S78" s="20">
        <f>IF(Q78="","",IF(OR($D$24="",Q78&lt;N($C$24)),0,IF(B78="G마켓",ROUNDDOWN(MIN(Q78*$D$24,IF($E$24="",9E+99,$E$24)),0),ROUNDUP(MIN(Q78*$D$24,IF($E$24="",9E+99,$E$24)),0))))</f>
        <v/>
      </c>
      <c r="T78" s="20">
        <f>IF(Q78="","",IF(OR($D$25="",Q78&lt;N($C$25)),0,IF(B78="G마켓",ROUNDDOWN(MIN(Q78*$D$25,IF($E$25="",9E+99,$E$25)),0),ROUNDUP(MIN(Q78*$D$25,IF($E$25="",9E+99,$E$25)),0))))</f>
        <v/>
      </c>
      <c r="U78" s="19">
        <f>IF(G78="","",MAX(R78:T78))</f>
        <v/>
      </c>
      <c r="V78" s="21">
        <f>IF(G78="","",Q78-U78)</f>
        <v/>
      </c>
      <c r="W78" s="19">
        <f>IF(G78="","",IF(B78="G마켓",ROUNDDOWN(MAX(I78*N($G$10),J78*N($G$11),K78*N($G$12))+MAX(M78*N($G$16),N78*N($G$17),O78*N($G$18),P78*N($G$19))+MAX(R78*N($G$23),S78*N($G$24),T78*N($G$25)),0),ROUNDUP(MAX(I78*N($G$10),J78*N($G$11),K78*N($G$12))+MAX(M78*N($G$16),N78*N($G$17),O78*N($G$18),P78*N($G$19))+MAX(R78*N($G$23),S78*N($G$24),T78*N($G$25)),0)))</f>
        <v/>
      </c>
      <c r="X78" s="21">
        <f>IF(G78="","",IF(B78="G마켓",ROUNDDOWN(G78-G78*$Q$6-W78,0),ROUNDUP(G78-G78*$Q$6-W78,0)))</f>
        <v/>
      </c>
    </row>
    <row r="79">
      <c r="B79" s="7" t="n"/>
      <c r="C79" s="7" t="n"/>
      <c r="D79" s="22" t="n"/>
      <c r="E79" s="23" t="n"/>
      <c r="F79" s="23" t="n"/>
      <c r="G79" s="19">
        <f>IF(E79="","",E79-N(F79))</f>
        <v/>
      </c>
      <c r="I79" s="20">
        <f>IF(G79="","",IF(OR($D$10="",$H$10="X",G79&lt;N($C$10)),0,IF(B79="G마켓",ROUNDDOWN(MIN(G79*$D$10,IF($E$10="",9E+99,$E$10)),0),ROUNDUP(MIN(G79*$D$10,IF($E$10="",9E+99,$E$10)),0))))</f>
        <v/>
      </c>
      <c r="J79" s="20">
        <f>IF(G79="","",IF(OR($D$11="",$H$11="X",G79&lt;N($C$11)),0,IF(B79="G마켓",ROUNDDOWN(MIN(G79*$D$11,IF($E$11="",9E+99,$E$11)),0),ROUNDUP(MIN(G79*$D$11,IF($E$11="",9E+99,$E$11)),0))))</f>
        <v/>
      </c>
      <c r="K79" s="20">
        <f>IF(G79="","",IF(OR($D$12="",$H$12="X",G79&lt;N($C$12)),0,IF(B79="G마켓",ROUNDDOWN(MIN(G79*$D$12,IF($E$12="",9E+99,$E$12)),0),ROUNDUP(MIN(G79*$D$12,IF($E$12="",9E+99,$E$12)),0))))</f>
        <v/>
      </c>
      <c r="L79" s="19">
        <f>IF(G79="","",G79-MAX(I79:K79))</f>
        <v/>
      </c>
      <c r="M79" s="20">
        <f>IF(L79="","",IF(OR($D$16="",$H$16="X",L79&lt;N($C$16)),0,IF(B79="G마켓",ROUNDDOWN(MIN(L79*$D$16,IF($E$16="",9E+99,$E$16)),0),ROUNDUP(MIN(L79*$D$16,IF($E$16="",9E+99,$E$16)),0))))</f>
        <v/>
      </c>
      <c r="N79" s="20">
        <f>IF(L79="","",IF(OR($D$17="",$H$17="X",L79&lt;N($C$17)),0,IF(B79="G마켓",ROUNDDOWN(MIN(L79*$D$17,IF($E$17="",9E+99,$E$17)),0),ROUNDUP(MIN(L79*$D$17,IF($E$17="",9E+99,$E$17)),0))))</f>
        <v/>
      </c>
      <c r="O79" s="20">
        <f>IF(L79="","",IF(OR($D$18="",$H$18="X",L79&lt;N($C$18)),0,IF(B79="G마켓",ROUNDDOWN(MIN(L79*$D$18,IF($E$18="",9E+99,$E$18)),0),ROUNDUP(MIN(L79*$D$18,IF($E$18="",9E+99,$E$18)),0))))</f>
        <v/>
      </c>
      <c r="P79" s="20">
        <f>IF(L79="","",IF(OR($D$19="",$H$19="X",L79&lt;N($C$19)),0,IF(B79="G마켓",ROUNDDOWN(MIN(L79*$D$19,IF($E$19="",9E+99,$E$19)),0),ROUNDUP(MIN(L79*$D$19,IF($E$19="",9E+99,$E$19)),0))))</f>
        <v/>
      </c>
      <c r="Q79" s="19">
        <f>IF(G79="","",L79-MAX(M79:P79))</f>
        <v/>
      </c>
      <c r="R79" s="20">
        <f>IF(Q79="","",IF(OR($D$23="",Q79&lt;N($C$23)),0,IF(B79="G마켓",ROUNDDOWN(MIN(Q79*$D$23,IF($E$23="",9E+99,$E$23)),0),ROUNDUP(MIN(Q79*$D$23,IF($E$23="",9E+99,$E$23)),0))))</f>
        <v/>
      </c>
      <c r="S79" s="20">
        <f>IF(Q79="","",IF(OR($D$24="",Q79&lt;N($C$24)),0,IF(B79="G마켓",ROUNDDOWN(MIN(Q79*$D$24,IF($E$24="",9E+99,$E$24)),0),ROUNDUP(MIN(Q79*$D$24,IF($E$24="",9E+99,$E$24)),0))))</f>
        <v/>
      </c>
      <c r="T79" s="20">
        <f>IF(Q79="","",IF(OR($D$25="",Q79&lt;N($C$25)),0,IF(B79="G마켓",ROUNDDOWN(MIN(Q79*$D$25,IF($E$25="",9E+99,$E$25)),0),ROUNDUP(MIN(Q79*$D$25,IF($E$25="",9E+99,$E$25)),0))))</f>
        <v/>
      </c>
      <c r="U79" s="19">
        <f>IF(G79="","",MAX(R79:T79))</f>
        <v/>
      </c>
      <c r="V79" s="21">
        <f>IF(G79="","",Q79-U79)</f>
        <v/>
      </c>
      <c r="W79" s="19">
        <f>IF(G79="","",IF(B79="G마켓",ROUNDDOWN(MAX(I79*N($G$10),J79*N($G$11),K79*N($G$12))+MAX(M79*N($G$16),N79*N($G$17),O79*N($G$18),P79*N($G$19))+MAX(R79*N($G$23),S79*N($G$24),T79*N($G$25)),0),ROUNDUP(MAX(I79*N($G$10),J79*N($G$11),K79*N($G$12))+MAX(M79*N($G$16),N79*N($G$17),O79*N($G$18),P79*N($G$19))+MAX(R79*N($G$23),S79*N($G$24),T79*N($G$25)),0)))</f>
        <v/>
      </c>
      <c r="X79" s="21">
        <f>IF(G79="","",IF(B79="G마켓",ROUNDDOWN(G79-G79*$Q$6-W79,0),ROUNDUP(G79-G79*$Q$6-W79,0)))</f>
        <v/>
      </c>
    </row>
    <row r="80">
      <c r="B80" s="7" t="n"/>
      <c r="C80" s="7" t="n"/>
      <c r="D80" s="22" t="n"/>
      <c r="E80" s="23" t="n"/>
      <c r="F80" s="23" t="n"/>
      <c r="G80" s="19">
        <f>IF(E80="","",E80-N(F80))</f>
        <v/>
      </c>
      <c r="I80" s="20">
        <f>IF(G80="","",IF(OR($D$10="",$H$10="X",G80&lt;N($C$10)),0,IF(B80="G마켓",ROUNDDOWN(MIN(G80*$D$10,IF($E$10="",9E+99,$E$10)),0),ROUNDUP(MIN(G80*$D$10,IF($E$10="",9E+99,$E$10)),0))))</f>
        <v/>
      </c>
      <c r="J80" s="20">
        <f>IF(G80="","",IF(OR($D$11="",$H$11="X",G80&lt;N($C$11)),0,IF(B80="G마켓",ROUNDDOWN(MIN(G80*$D$11,IF($E$11="",9E+99,$E$11)),0),ROUNDUP(MIN(G80*$D$11,IF($E$11="",9E+99,$E$11)),0))))</f>
        <v/>
      </c>
      <c r="K80" s="20">
        <f>IF(G80="","",IF(OR($D$12="",$H$12="X",G80&lt;N($C$12)),0,IF(B80="G마켓",ROUNDDOWN(MIN(G80*$D$12,IF($E$12="",9E+99,$E$12)),0),ROUNDUP(MIN(G80*$D$12,IF($E$12="",9E+99,$E$12)),0))))</f>
        <v/>
      </c>
      <c r="L80" s="19">
        <f>IF(G80="","",G80-MAX(I80:K80))</f>
        <v/>
      </c>
      <c r="M80" s="20">
        <f>IF(L80="","",IF(OR($D$16="",$H$16="X",L80&lt;N($C$16)),0,IF(B80="G마켓",ROUNDDOWN(MIN(L80*$D$16,IF($E$16="",9E+99,$E$16)),0),ROUNDUP(MIN(L80*$D$16,IF($E$16="",9E+99,$E$16)),0))))</f>
        <v/>
      </c>
      <c r="N80" s="20">
        <f>IF(L80="","",IF(OR($D$17="",$H$17="X",L80&lt;N($C$17)),0,IF(B80="G마켓",ROUNDDOWN(MIN(L80*$D$17,IF($E$17="",9E+99,$E$17)),0),ROUNDUP(MIN(L80*$D$17,IF($E$17="",9E+99,$E$17)),0))))</f>
        <v/>
      </c>
      <c r="O80" s="20">
        <f>IF(L80="","",IF(OR($D$18="",$H$18="X",L80&lt;N($C$18)),0,IF(B80="G마켓",ROUNDDOWN(MIN(L80*$D$18,IF($E$18="",9E+99,$E$18)),0),ROUNDUP(MIN(L80*$D$18,IF($E$18="",9E+99,$E$18)),0))))</f>
        <v/>
      </c>
      <c r="P80" s="20">
        <f>IF(L80="","",IF(OR($D$19="",$H$19="X",L80&lt;N($C$19)),0,IF(B80="G마켓",ROUNDDOWN(MIN(L80*$D$19,IF($E$19="",9E+99,$E$19)),0),ROUNDUP(MIN(L80*$D$19,IF($E$19="",9E+99,$E$19)),0))))</f>
        <v/>
      </c>
      <c r="Q80" s="19">
        <f>IF(G80="","",L80-MAX(M80:P80))</f>
        <v/>
      </c>
      <c r="R80" s="20">
        <f>IF(Q80="","",IF(OR($D$23="",Q80&lt;N($C$23)),0,IF(B80="G마켓",ROUNDDOWN(MIN(Q80*$D$23,IF($E$23="",9E+99,$E$23)),0),ROUNDUP(MIN(Q80*$D$23,IF($E$23="",9E+99,$E$23)),0))))</f>
        <v/>
      </c>
      <c r="S80" s="20">
        <f>IF(Q80="","",IF(OR($D$24="",Q80&lt;N($C$24)),0,IF(B80="G마켓",ROUNDDOWN(MIN(Q80*$D$24,IF($E$24="",9E+99,$E$24)),0),ROUNDUP(MIN(Q80*$D$24,IF($E$24="",9E+99,$E$24)),0))))</f>
        <v/>
      </c>
      <c r="T80" s="20">
        <f>IF(Q80="","",IF(OR($D$25="",Q80&lt;N($C$25)),0,IF(B80="G마켓",ROUNDDOWN(MIN(Q80*$D$25,IF($E$25="",9E+99,$E$25)),0),ROUNDUP(MIN(Q80*$D$25,IF($E$25="",9E+99,$E$25)),0))))</f>
        <v/>
      </c>
      <c r="U80" s="19">
        <f>IF(G80="","",MAX(R80:T80))</f>
        <v/>
      </c>
      <c r="V80" s="21">
        <f>IF(G80="","",Q80-U80)</f>
        <v/>
      </c>
      <c r="W80" s="19">
        <f>IF(G80="","",IF(B80="G마켓",ROUNDDOWN(MAX(I80*N($G$10),J80*N($G$11),K80*N($G$12))+MAX(M80*N($G$16),N80*N($G$17),O80*N($G$18),P80*N($G$19))+MAX(R80*N($G$23),S80*N($G$24),T80*N($G$25)),0),ROUNDUP(MAX(I80*N($G$10),J80*N($G$11),K80*N($G$12))+MAX(M80*N($G$16),N80*N($G$17),O80*N($G$18),P80*N($G$19))+MAX(R80*N($G$23),S80*N($G$24),T80*N($G$25)),0)))</f>
        <v/>
      </c>
      <c r="X80" s="21">
        <f>IF(G80="","",IF(B80="G마켓",ROUNDDOWN(G80-G80*$Q$6-W80,0),ROUNDUP(G80-G80*$Q$6-W80,0)))</f>
        <v/>
      </c>
    </row>
    <row r="81">
      <c r="B81" s="7" t="n"/>
      <c r="C81" s="7" t="n"/>
      <c r="D81" s="22" t="n"/>
      <c r="E81" s="23" t="n"/>
      <c r="F81" s="23" t="n"/>
      <c r="G81" s="19">
        <f>IF(E81="","",E81-N(F81))</f>
        <v/>
      </c>
      <c r="I81" s="20">
        <f>IF(G81="","",IF(OR($D$10="",$H$10="X",G81&lt;N($C$10)),0,IF(B81="G마켓",ROUNDDOWN(MIN(G81*$D$10,IF($E$10="",9E+99,$E$10)),0),ROUNDUP(MIN(G81*$D$10,IF($E$10="",9E+99,$E$10)),0))))</f>
        <v/>
      </c>
      <c r="J81" s="20">
        <f>IF(G81="","",IF(OR($D$11="",$H$11="X",G81&lt;N($C$11)),0,IF(B81="G마켓",ROUNDDOWN(MIN(G81*$D$11,IF($E$11="",9E+99,$E$11)),0),ROUNDUP(MIN(G81*$D$11,IF($E$11="",9E+99,$E$11)),0))))</f>
        <v/>
      </c>
      <c r="K81" s="20">
        <f>IF(G81="","",IF(OR($D$12="",$H$12="X",G81&lt;N($C$12)),0,IF(B81="G마켓",ROUNDDOWN(MIN(G81*$D$12,IF($E$12="",9E+99,$E$12)),0),ROUNDUP(MIN(G81*$D$12,IF($E$12="",9E+99,$E$12)),0))))</f>
        <v/>
      </c>
      <c r="L81" s="19">
        <f>IF(G81="","",G81-MAX(I81:K81))</f>
        <v/>
      </c>
      <c r="M81" s="20">
        <f>IF(L81="","",IF(OR($D$16="",$H$16="X",L81&lt;N($C$16)),0,IF(B81="G마켓",ROUNDDOWN(MIN(L81*$D$16,IF($E$16="",9E+99,$E$16)),0),ROUNDUP(MIN(L81*$D$16,IF($E$16="",9E+99,$E$16)),0))))</f>
        <v/>
      </c>
      <c r="N81" s="20">
        <f>IF(L81="","",IF(OR($D$17="",$H$17="X",L81&lt;N($C$17)),0,IF(B81="G마켓",ROUNDDOWN(MIN(L81*$D$17,IF($E$17="",9E+99,$E$17)),0),ROUNDUP(MIN(L81*$D$17,IF($E$17="",9E+99,$E$17)),0))))</f>
        <v/>
      </c>
      <c r="O81" s="20">
        <f>IF(L81="","",IF(OR($D$18="",$H$18="X",L81&lt;N($C$18)),0,IF(B81="G마켓",ROUNDDOWN(MIN(L81*$D$18,IF($E$18="",9E+99,$E$18)),0),ROUNDUP(MIN(L81*$D$18,IF($E$18="",9E+99,$E$18)),0))))</f>
        <v/>
      </c>
      <c r="P81" s="20">
        <f>IF(L81="","",IF(OR($D$19="",$H$19="X",L81&lt;N($C$19)),0,IF(B81="G마켓",ROUNDDOWN(MIN(L81*$D$19,IF($E$19="",9E+99,$E$19)),0),ROUNDUP(MIN(L81*$D$19,IF($E$19="",9E+99,$E$19)),0))))</f>
        <v/>
      </c>
      <c r="Q81" s="19">
        <f>IF(G81="","",L81-MAX(M81:P81))</f>
        <v/>
      </c>
      <c r="R81" s="20">
        <f>IF(Q81="","",IF(OR($D$23="",Q81&lt;N($C$23)),0,IF(B81="G마켓",ROUNDDOWN(MIN(Q81*$D$23,IF($E$23="",9E+99,$E$23)),0),ROUNDUP(MIN(Q81*$D$23,IF($E$23="",9E+99,$E$23)),0))))</f>
        <v/>
      </c>
      <c r="S81" s="20">
        <f>IF(Q81="","",IF(OR($D$24="",Q81&lt;N($C$24)),0,IF(B81="G마켓",ROUNDDOWN(MIN(Q81*$D$24,IF($E$24="",9E+99,$E$24)),0),ROUNDUP(MIN(Q81*$D$24,IF($E$24="",9E+99,$E$24)),0))))</f>
        <v/>
      </c>
      <c r="T81" s="20">
        <f>IF(Q81="","",IF(OR($D$25="",Q81&lt;N($C$25)),0,IF(B81="G마켓",ROUNDDOWN(MIN(Q81*$D$25,IF($E$25="",9E+99,$E$25)),0),ROUNDUP(MIN(Q81*$D$25,IF($E$25="",9E+99,$E$25)),0))))</f>
        <v/>
      </c>
      <c r="U81" s="19">
        <f>IF(G81="","",MAX(R81:T81))</f>
        <v/>
      </c>
      <c r="V81" s="21">
        <f>IF(G81="","",Q81-U81)</f>
        <v/>
      </c>
      <c r="W81" s="19">
        <f>IF(G81="","",IF(B81="G마켓",ROUNDDOWN(MAX(I81*N($G$10),J81*N($G$11),K81*N($G$12))+MAX(M81*N($G$16),N81*N($G$17),O81*N($G$18),P81*N($G$19))+MAX(R81*N($G$23),S81*N($G$24),T81*N($G$25)),0),ROUNDUP(MAX(I81*N($G$10),J81*N($G$11),K81*N($G$12))+MAX(M81*N($G$16),N81*N($G$17),O81*N($G$18),P81*N($G$19))+MAX(R81*N($G$23),S81*N($G$24),T81*N($G$25)),0)))</f>
        <v/>
      </c>
      <c r="X81" s="21">
        <f>IF(G81="","",IF(B81="G마켓",ROUNDDOWN(G81-G81*$Q$6-W81,0),ROUNDUP(G81-G81*$Q$6-W81,0)))</f>
        <v/>
      </c>
    </row>
    <row r="82">
      <c r="B82" s="7" t="n"/>
      <c r="C82" s="7" t="n"/>
      <c r="D82" s="22" t="n"/>
      <c r="E82" s="23" t="n"/>
      <c r="F82" s="23" t="n"/>
      <c r="G82" s="19">
        <f>IF(E82="","",E82-N(F82))</f>
        <v/>
      </c>
      <c r="I82" s="20">
        <f>IF(G82="","",IF(OR($D$10="",$H$10="X",G82&lt;N($C$10)),0,IF(B82="G마켓",ROUNDDOWN(MIN(G82*$D$10,IF($E$10="",9E+99,$E$10)),0),ROUNDUP(MIN(G82*$D$10,IF($E$10="",9E+99,$E$10)),0))))</f>
        <v/>
      </c>
      <c r="J82" s="20">
        <f>IF(G82="","",IF(OR($D$11="",$H$11="X",G82&lt;N($C$11)),0,IF(B82="G마켓",ROUNDDOWN(MIN(G82*$D$11,IF($E$11="",9E+99,$E$11)),0),ROUNDUP(MIN(G82*$D$11,IF($E$11="",9E+99,$E$11)),0))))</f>
        <v/>
      </c>
      <c r="K82" s="20">
        <f>IF(G82="","",IF(OR($D$12="",$H$12="X",G82&lt;N($C$12)),0,IF(B82="G마켓",ROUNDDOWN(MIN(G82*$D$12,IF($E$12="",9E+99,$E$12)),0),ROUNDUP(MIN(G82*$D$12,IF($E$12="",9E+99,$E$12)),0))))</f>
        <v/>
      </c>
      <c r="L82" s="19">
        <f>IF(G82="","",G82-MAX(I82:K82))</f>
        <v/>
      </c>
      <c r="M82" s="20">
        <f>IF(L82="","",IF(OR($D$16="",$H$16="X",L82&lt;N($C$16)),0,IF(B82="G마켓",ROUNDDOWN(MIN(L82*$D$16,IF($E$16="",9E+99,$E$16)),0),ROUNDUP(MIN(L82*$D$16,IF($E$16="",9E+99,$E$16)),0))))</f>
        <v/>
      </c>
      <c r="N82" s="20">
        <f>IF(L82="","",IF(OR($D$17="",$H$17="X",L82&lt;N($C$17)),0,IF(B82="G마켓",ROUNDDOWN(MIN(L82*$D$17,IF($E$17="",9E+99,$E$17)),0),ROUNDUP(MIN(L82*$D$17,IF($E$17="",9E+99,$E$17)),0))))</f>
        <v/>
      </c>
      <c r="O82" s="20">
        <f>IF(L82="","",IF(OR($D$18="",$H$18="X",L82&lt;N($C$18)),0,IF(B82="G마켓",ROUNDDOWN(MIN(L82*$D$18,IF($E$18="",9E+99,$E$18)),0),ROUNDUP(MIN(L82*$D$18,IF($E$18="",9E+99,$E$18)),0))))</f>
        <v/>
      </c>
      <c r="P82" s="20">
        <f>IF(L82="","",IF(OR($D$19="",$H$19="X",L82&lt;N($C$19)),0,IF(B82="G마켓",ROUNDDOWN(MIN(L82*$D$19,IF($E$19="",9E+99,$E$19)),0),ROUNDUP(MIN(L82*$D$19,IF($E$19="",9E+99,$E$19)),0))))</f>
        <v/>
      </c>
      <c r="Q82" s="19">
        <f>IF(G82="","",L82-MAX(M82:P82))</f>
        <v/>
      </c>
      <c r="R82" s="20">
        <f>IF(Q82="","",IF(OR($D$23="",Q82&lt;N($C$23)),0,IF(B82="G마켓",ROUNDDOWN(MIN(Q82*$D$23,IF($E$23="",9E+99,$E$23)),0),ROUNDUP(MIN(Q82*$D$23,IF($E$23="",9E+99,$E$23)),0))))</f>
        <v/>
      </c>
      <c r="S82" s="20">
        <f>IF(Q82="","",IF(OR($D$24="",Q82&lt;N($C$24)),0,IF(B82="G마켓",ROUNDDOWN(MIN(Q82*$D$24,IF($E$24="",9E+99,$E$24)),0),ROUNDUP(MIN(Q82*$D$24,IF($E$24="",9E+99,$E$24)),0))))</f>
        <v/>
      </c>
      <c r="T82" s="20">
        <f>IF(Q82="","",IF(OR($D$25="",Q82&lt;N($C$25)),0,IF(B82="G마켓",ROUNDDOWN(MIN(Q82*$D$25,IF($E$25="",9E+99,$E$25)),0),ROUNDUP(MIN(Q82*$D$25,IF($E$25="",9E+99,$E$25)),0))))</f>
        <v/>
      </c>
      <c r="U82" s="19">
        <f>IF(G82="","",MAX(R82:T82))</f>
        <v/>
      </c>
      <c r="V82" s="21">
        <f>IF(G82="","",Q82-U82)</f>
        <v/>
      </c>
      <c r="W82" s="19">
        <f>IF(G82="","",IF(B82="G마켓",ROUNDDOWN(MAX(I82*N($G$10),J82*N($G$11),K82*N($G$12))+MAX(M82*N($G$16),N82*N($G$17),O82*N($G$18),P82*N($G$19))+MAX(R82*N($G$23),S82*N($G$24),T82*N($G$25)),0),ROUNDUP(MAX(I82*N($G$10),J82*N($G$11),K82*N($G$12))+MAX(M82*N($G$16),N82*N($G$17),O82*N($G$18),P82*N($G$19))+MAX(R82*N($G$23),S82*N($G$24),T82*N($G$25)),0)))</f>
        <v/>
      </c>
      <c r="X82" s="21">
        <f>IF(G82="","",IF(B82="G마켓",ROUNDDOWN(G82-G82*$Q$6-W82,0),ROUNDUP(G82-G82*$Q$6-W82,0)))</f>
        <v/>
      </c>
    </row>
    <row r="83">
      <c r="B83" s="7" t="n"/>
      <c r="C83" s="7" t="n"/>
      <c r="D83" s="22" t="n"/>
      <c r="E83" s="23" t="n"/>
      <c r="F83" s="23" t="n"/>
      <c r="G83" s="19">
        <f>IF(E83="","",E83-N(F83))</f>
        <v/>
      </c>
      <c r="I83" s="20">
        <f>IF(G83="","",IF(OR($D$10="",$H$10="X",G83&lt;N($C$10)),0,IF(B83="G마켓",ROUNDDOWN(MIN(G83*$D$10,IF($E$10="",9E+99,$E$10)),0),ROUNDUP(MIN(G83*$D$10,IF($E$10="",9E+99,$E$10)),0))))</f>
        <v/>
      </c>
      <c r="J83" s="20">
        <f>IF(G83="","",IF(OR($D$11="",$H$11="X",G83&lt;N($C$11)),0,IF(B83="G마켓",ROUNDDOWN(MIN(G83*$D$11,IF($E$11="",9E+99,$E$11)),0),ROUNDUP(MIN(G83*$D$11,IF($E$11="",9E+99,$E$11)),0))))</f>
        <v/>
      </c>
      <c r="K83" s="20">
        <f>IF(G83="","",IF(OR($D$12="",$H$12="X",G83&lt;N($C$12)),0,IF(B83="G마켓",ROUNDDOWN(MIN(G83*$D$12,IF($E$12="",9E+99,$E$12)),0),ROUNDUP(MIN(G83*$D$12,IF($E$12="",9E+99,$E$12)),0))))</f>
        <v/>
      </c>
      <c r="L83" s="19">
        <f>IF(G83="","",G83-MAX(I83:K83))</f>
        <v/>
      </c>
      <c r="M83" s="20">
        <f>IF(L83="","",IF(OR($D$16="",$H$16="X",L83&lt;N($C$16)),0,IF(B83="G마켓",ROUNDDOWN(MIN(L83*$D$16,IF($E$16="",9E+99,$E$16)),0),ROUNDUP(MIN(L83*$D$16,IF($E$16="",9E+99,$E$16)),0))))</f>
        <v/>
      </c>
      <c r="N83" s="20">
        <f>IF(L83="","",IF(OR($D$17="",$H$17="X",L83&lt;N($C$17)),0,IF(B83="G마켓",ROUNDDOWN(MIN(L83*$D$17,IF($E$17="",9E+99,$E$17)),0),ROUNDUP(MIN(L83*$D$17,IF($E$17="",9E+99,$E$17)),0))))</f>
        <v/>
      </c>
      <c r="O83" s="20">
        <f>IF(L83="","",IF(OR($D$18="",$H$18="X",L83&lt;N($C$18)),0,IF(B83="G마켓",ROUNDDOWN(MIN(L83*$D$18,IF($E$18="",9E+99,$E$18)),0),ROUNDUP(MIN(L83*$D$18,IF($E$18="",9E+99,$E$18)),0))))</f>
        <v/>
      </c>
      <c r="P83" s="20">
        <f>IF(L83="","",IF(OR($D$19="",$H$19="X",L83&lt;N($C$19)),0,IF(B83="G마켓",ROUNDDOWN(MIN(L83*$D$19,IF($E$19="",9E+99,$E$19)),0),ROUNDUP(MIN(L83*$D$19,IF($E$19="",9E+99,$E$19)),0))))</f>
        <v/>
      </c>
      <c r="Q83" s="19">
        <f>IF(G83="","",L83-MAX(M83:P83))</f>
        <v/>
      </c>
      <c r="R83" s="20">
        <f>IF(Q83="","",IF(OR($D$23="",Q83&lt;N($C$23)),0,IF(B83="G마켓",ROUNDDOWN(MIN(Q83*$D$23,IF($E$23="",9E+99,$E$23)),0),ROUNDUP(MIN(Q83*$D$23,IF($E$23="",9E+99,$E$23)),0))))</f>
        <v/>
      </c>
      <c r="S83" s="20">
        <f>IF(Q83="","",IF(OR($D$24="",Q83&lt;N($C$24)),0,IF(B83="G마켓",ROUNDDOWN(MIN(Q83*$D$24,IF($E$24="",9E+99,$E$24)),0),ROUNDUP(MIN(Q83*$D$24,IF($E$24="",9E+99,$E$24)),0))))</f>
        <v/>
      </c>
      <c r="T83" s="20">
        <f>IF(Q83="","",IF(OR($D$25="",Q83&lt;N($C$25)),0,IF(B83="G마켓",ROUNDDOWN(MIN(Q83*$D$25,IF($E$25="",9E+99,$E$25)),0),ROUNDUP(MIN(Q83*$D$25,IF($E$25="",9E+99,$E$25)),0))))</f>
        <v/>
      </c>
      <c r="U83" s="19">
        <f>IF(G83="","",MAX(R83:T83))</f>
        <v/>
      </c>
      <c r="V83" s="21">
        <f>IF(G83="","",Q83-U83)</f>
        <v/>
      </c>
      <c r="W83" s="19">
        <f>IF(G83="","",IF(B83="G마켓",ROUNDDOWN(MAX(I83*N($G$10),J83*N($G$11),K83*N($G$12))+MAX(M83*N($G$16),N83*N($G$17),O83*N($G$18),P83*N($G$19))+MAX(R83*N($G$23),S83*N($G$24),T83*N($G$25)),0),ROUNDUP(MAX(I83*N($G$10),J83*N($G$11),K83*N($G$12))+MAX(M83*N($G$16),N83*N($G$17),O83*N($G$18),P83*N($G$19))+MAX(R83*N($G$23),S83*N($G$24),T83*N($G$25)),0)))</f>
        <v/>
      </c>
      <c r="X83" s="21">
        <f>IF(G83="","",IF(B83="G마켓",ROUNDDOWN(G83-G83*$Q$6-W83,0),ROUNDUP(G83-G83*$Q$6-W83,0)))</f>
        <v/>
      </c>
    </row>
    <row r="84">
      <c r="B84" s="7" t="n"/>
      <c r="C84" s="7" t="n"/>
      <c r="D84" s="22" t="n"/>
      <c r="E84" s="23" t="n"/>
      <c r="F84" s="23" t="n"/>
      <c r="G84" s="19">
        <f>IF(E84="","",E84-N(F84))</f>
        <v/>
      </c>
      <c r="I84" s="20">
        <f>IF(G84="","",IF(OR($D$10="",$H$10="X",G84&lt;N($C$10)),0,IF(B84="G마켓",ROUNDDOWN(MIN(G84*$D$10,IF($E$10="",9E+99,$E$10)),0),ROUNDUP(MIN(G84*$D$10,IF($E$10="",9E+99,$E$10)),0))))</f>
        <v/>
      </c>
      <c r="J84" s="20">
        <f>IF(G84="","",IF(OR($D$11="",$H$11="X",G84&lt;N($C$11)),0,IF(B84="G마켓",ROUNDDOWN(MIN(G84*$D$11,IF($E$11="",9E+99,$E$11)),0),ROUNDUP(MIN(G84*$D$11,IF($E$11="",9E+99,$E$11)),0))))</f>
        <v/>
      </c>
      <c r="K84" s="20">
        <f>IF(G84="","",IF(OR($D$12="",$H$12="X",G84&lt;N($C$12)),0,IF(B84="G마켓",ROUNDDOWN(MIN(G84*$D$12,IF($E$12="",9E+99,$E$12)),0),ROUNDUP(MIN(G84*$D$12,IF($E$12="",9E+99,$E$12)),0))))</f>
        <v/>
      </c>
      <c r="L84" s="19">
        <f>IF(G84="","",G84-MAX(I84:K84))</f>
        <v/>
      </c>
      <c r="M84" s="20">
        <f>IF(L84="","",IF(OR($D$16="",$H$16="X",L84&lt;N($C$16)),0,IF(B84="G마켓",ROUNDDOWN(MIN(L84*$D$16,IF($E$16="",9E+99,$E$16)),0),ROUNDUP(MIN(L84*$D$16,IF($E$16="",9E+99,$E$16)),0))))</f>
        <v/>
      </c>
      <c r="N84" s="20">
        <f>IF(L84="","",IF(OR($D$17="",$H$17="X",L84&lt;N($C$17)),0,IF(B84="G마켓",ROUNDDOWN(MIN(L84*$D$17,IF($E$17="",9E+99,$E$17)),0),ROUNDUP(MIN(L84*$D$17,IF($E$17="",9E+99,$E$17)),0))))</f>
        <v/>
      </c>
      <c r="O84" s="20">
        <f>IF(L84="","",IF(OR($D$18="",$H$18="X",L84&lt;N($C$18)),0,IF(B84="G마켓",ROUNDDOWN(MIN(L84*$D$18,IF($E$18="",9E+99,$E$18)),0),ROUNDUP(MIN(L84*$D$18,IF($E$18="",9E+99,$E$18)),0))))</f>
        <v/>
      </c>
      <c r="P84" s="20">
        <f>IF(L84="","",IF(OR($D$19="",$H$19="X",L84&lt;N($C$19)),0,IF(B84="G마켓",ROUNDDOWN(MIN(L84*$D$19,IF($E$19="",9E+99,$E$19)),0),ROUNDUP(MIN(L84*$D$19,IF($E$19="",9E+99,$E$19)),0))))</f>
        <v/>
      </c>
      <c r="Q84" s="19">
        <f>IF(G84="","",L84-MAX(M84:P84))</f>
        <v/>
      </c>
      <c r="R84" s="20">
        <f>IF(Q84="","",IF(OR($D$23="",Q84&lt;N($C$23)),0,IF(B84="G마켓",ROUNDDOWN(MIN(Q84*$D$23,IF($E$23="",9E+99,$E$23)),0),ROUNDUP(MIN(Q84*$D$23,IF($E$23="",9E+99,$E$23)),0))))</f>
        <v/>
      </c>
      <c r="S84" s="20">
        <f>IF(Q84="","",IF(OR($D$24="",Q84&lt;N($C$24)),0,IF(B84="G마켓",ROUNDDOWN(MIN(Q84*$D$24,IF($E$24="",9E+99,$E$24)),0),ROUNDUP(MIN(Q84*$D$24,IF($E$24="",9E+99,$E$24)),0))))</f>
        <v/>
      </c>
      <c r="T84" s="20">
        <f>IF(Q84="","",IF(OR($D$25="",Q84&lt;N($C$25)),0,IF(B84="G마켓",ROUNDDOWN(MIN(Q84*$D$25,IF($E$25="",9E+99,$E$25)),0),ROUNDUP(MIN(Q84*$D$25,IF($E$25="",9E+99,$E$25)),0))))</f>
        <v/>
      </c>
      <c r="U84" s="19">
        <f>IF(G84="","",MAX(R84:T84))</f>
        <v/>
      </c>
      <c r="V84" s="21">
        <f>IF(G84="","",Q84-U84)</f>
        <v/>
      </c>
      <c r="W84" s="19">
        <f>IF(G84="","",IF(B84="G마켓",ROUNDDOWN(MAX(I84*N($G$10),J84*N($G$11),K84*N($G$12))+MAX(M84*N($G$16),N84*N($G$17),O84*N($G$18),P84*N($G$19))+MAX(R84*N($G$23),S84*N($G$24),T84*N($G$25)),0),ROUNDUP(MAX(I84*N($G$10),J84*N($G$11),K84*N($G$12))+MAX(M84*N($G$16),N84*N($G$17),O84*N($G$18),P84*N($G$19))+MAX(R84*N($G$23),S84*N($G$24),T84*N($G$25)),0)))</f>
        <v/>
      </c>
      <c r="X84" s="21">
        <f>IF(G84="","",IF(B84="G마켓",ROUNDDOWN(G84-G84*$Q$6-W84,0),ROUNDUP(G84-G84*$Q$6-W84,0)))</f>
        <v/>
      </c>
    </row>
    <row r="85">
      <c r="B85" s="7" t="n"/>
      <c r="C85" s="7" t="n"/>
      <c r="D85" s="22" t="n"/>
      <c r="E85" s="23" t="n"/>
      <c r="F85" s="23" t="n"/>
      <c r="G85" s="19">
        <f>IF(E85="","",E85-N(F85))</f>
        <v/>
      </c>
      <c r="I85" s="20">
        <f>IF(G85="","",IF(OR($D$10="",$H$10="X",G85&lt;N($C$10)),0,IF(B85="G마켓",ROUNDDOWN(MIN(G85*$D$10,IF($E$10="",9E+99,$E$10)),0),ROUNDUP(MIN(G85*$D$10,IF($E$10="",9E+99,$E$10)),0))))</f>
        <v/>
      </c>
      <c r="J85" s="20">
        <f>IF(G85="","",IF(OR($D$11="",$H$11="X",G85&lt;N($C$11)),0,IF(B85="G마켓",ROUNDDOWN(MIN(G85*$D$11,IF($E$11="",9E+99,$E$11)),0),ROUNDUP(MIN(G85*$D$11,IF($E$11="",9E+99,$E$11)),0))))</f>
        <v/>
      </c>
      <c r="K85" s="20">
        <f>IF(G85="","",IF(OR($D$12="",$H$12="X",G85&lt;N($C$12)),0,IF(B85="G마켓",ROUNDDOWN(MIN(G85*$D$12,IF($E$12="",9E+99,$E$12)),0),ROUNDUP(MIN(G85*$D$12,IF($E$12="",9E+99,$E$12)),0))))</f>
        <v/>
      </c>
      <c r="L85" s="19">
        <f>IF(G85="","",G85-MAX(I85:K85))</f>
        <v/>
      </c>
      <c r="M85" s="20">
        <f>IF(L85="","",IF(OR($D$16="",$H$16="X",L85&lt;N($C$16)),0,IF(B85="G마켓",ROUNDDOWN(MIN(L85*$D$16,IF($E$16="",9E+99,$E$16)),0),ROUNDUP(MIN(L85*$D$16,IF($E$16="",9E+99,$E$16)),0))))</f>
        <v/>
      </c>
      <c r="N85" s="20">
        <f>IF(L85="","",IF(OR($D$17="",$H$17="X",L85&lt;N($C$17)),0,IF(B85="G마켓",ROUNDDOWN(MIN(L85*$D$17,IF($E$17="",9E+99,$E$17)),0),ROUNDUP(MIN(L85*$D$17,IF($E$17="",9E+99,$E$17)),0))))</f>
        <v/>
      </c>
      <c r="O85" s="20">
        <f>IF(L85="","",IF(OR($D$18="",$H$18="X",L85&lt;N($C$18)),0,IF(B85="G마켓",ROUNDDOWN(MIN(L85*$D$18,IF($E$18="",9E+99,$E$18)),0),ROUNDUP(MIN(L85*$D$18,IF($E$18="",9E+99,$E$18)),0))))</f>
        <v/>
      </c>
      <c r="P85" s="20">
        <f>IF(L85="","",IF(OR($D$19="",$H$19="X",L85&lt;N($C$19)),0,IF(B85="G마켓",ROUNDDOWN(MIN(L85*$D$19,IF($E$19="",9E+99,$E$19)),0),ROUNDUP(MIN(L85*$D$19,IF($E$19="",9E+99,$E$19)),0))))</f>
        <v/>
      </c>
      <c r="Q85" s="19">
        <f>IF(G85="","",L85-MAX(M85:P85))</f>
        <v/>
      </c>
      <c r="R85" s="20">
        <f>IF(Q85="","",IF(OR($D$23="",Q85&lt;N($C$23)),0,IF(B85="G마켓",ROUNDDOWN(MIN(Q85*$D$23,IF($E$23="",9E+99,$E$23)),0),ROUNDUP(MIN(Q85*$D$23,IF($E$23="",9E+99,$E$23)),0))))</f>
        <v/>
      </c>
      <c r="S85" s="20">
        <f>IF(Q85="","",IF(OR($D$24="",Q85&lt;N($C$24)),0,IF(B85="G마켓",ROUNDDOWN(MIN(Q85*$D$24,IF($E$24="",9E+99,$E$24)),0),ROUNDUP(MIN(Q85*$D$24,IF($E$24="",9E+99,$E$24)),0))))</f>
        <v/>
      </c>
      <c r="T85" s="20">
        <f>IF(Q85="","",IF(OR($D$25="",Q85&lt;N($C$25)),0,IF(B85="G마켓",ROUNDDOWN(MIN(Q85*$D$25,IF($E$25="",9E+99,$E$25)),0),ROUNDUP(MIN(Q85*$D$25,IF($E$25="",9E+99,$E$25)),0))))</f>
        <v/>
      </c>
      <c r="U85" s="19">
        <f>IF(G85="","",MAX(R85:T85))</f>
        <v/>
      </c>
      <c r="V85" s="21">
        <f>IF(G85="","",Q85-U85)</f>
        <v/>
      </c>
      <c r="W85" s="19">
        <f>IF(G85="","",IF(B85="G마켓",ROUNDDOWN(MAX(I85*N($G$10),J85*N($G$11),K85*N($G$12))+MAX(M85*N($G$16),N85*N($G$17),O85*N($G$18),P85*N($G$19))+MAX(R85*N($G$23),S85*N($G$24),T85*N($G$25)),0),ROUNDUP(MAX(I85*N($G$10),J85*N($G$11),K85*N($G$12))+MAX(M85*N($G$16),N85*N($G$17),O85*N($G$18),P85*N($G$19))+MAX(R85*N($G$23),S85*N($G$24),T85*N($G$25)),0)))</f>
        <v/>
      </c>
      <c r="X85" s="21">
        <f>IF(G85="","",IF(B85="G마켓",ROUNDDOWN(G85-G85*$Q$6-W85,0),ROUNDUP(G85-G85*$Q$6-W85,0)))</f>
        <v/>
      </c>
    </row>
    <row r="86">
      <c r="B86" s="7" t="n"/>
      <c r="C86" s="7" t="n"/>
      <c r="D86" s="22" t="n"/>
      <c r="E86" s="23" t="n"/>
      <c r="F86" s="23" t="n"/>
      <c r="G86" s="19">
        <f>IF(E86="","",E86-N(F86))</f>
        <v/>
      </c>
      <c r="I86" s="20">
        <f>IF(G86="","",IF(OR($D$10="",$H$10="X",G86&lt;N($C$10)),0,IF(B86="G마켓",ROUNDDOWN(MIN(G86*$D$10,IF($E$10="",9E+99,$E$10)),0),ROUNDUP(MIN(G86*$D$10,IF($E$10="",9E+99,$E$10)),0))))</f>
        <v/>
      </c>
      <c r="J86" s="20">
        <f>IF(G86="","",IF(OR($D$11="",$H$11="X",G86&lt;N($C$11)),0,IF(B86="G마켓",ROUNDDOWN(MIN(G86*$D$11,IF($E$11="",9E+99,$E$11)),0),ROUNDUP(MIN(G86*$D$11,IF($E$11="",9E+99,$E$11)),0))))</f>
        <v/>
      </c>
      <c r="K86" s="20">
        <f>IF(G86="","",IF(OR($D$12="",$H$12="X",G86&lt;N($C$12)),0,IF(B86="G마켓",ROUNDDOWN(MIN(G86*$D$12,IF($E$12="",9E+99,$E$12)),0),ROUNDUP(MIN(G86*$D$12,IF($E$12="",9E+99,$E$12)),0))))</f>
        <v/>
      </c>
      <c r="L86" s="19">
        <f>IF(G86="","",G86-MAX(I86:K86))</f>
        <v/>
      </c>
      <c r="M86" s="20">
        <f>IF(L86="","",IF(OR($D$16="",$H$16="X",L86&lt;N($C$16)),0,IF(B86="G마켓",ROUNDDOWN(MIN(L86*$D$16,IF($E$16="",9E+99,$E$16)),0),ROUNDUP(MIN(L86*$D$16,IF($E$16="",9E+99,$E$16)),0))))</f>
        <v/>
      </c>
      <c r="N86" s="20">
        <f>IF(L86="","",IF(OR($D$17="",$H$17="X",L86&lt;N($C$17)),0,IF(B86="G마켓",ROUNDDOWN(MIN(L86*$D$17,IF($E$17="",9E+99,$E$17)),0),ROUNDUP(MIN(L86*$D$17,IF($E$17="",9E+99,$E$17)),0))))</f>
        <v/>
      </c>
      <c r="O86" s="20">
        <f>IF(L86="","",IF(OR($D$18="",$H$18="X",L86&lt;N($C$18)),0,IF(B86="G마켓",ROUNDDOWN(MIN(L86*$D$18,IF($E$18="",9E+99,$E$18)),0),ROUNDUP(MIN(L86*$D$18,IF($E$18="",9E+99,$E$18)),0))))</f>
        <v/>
      </c>
      <c r="P86" s="20">
        <f>IF(L86="","",IF(OR($D$19="",$H$19="X",L86&lt;N($C$19)),0,IF(B86="G마켓",ROUNDDOWN(MIN(L86*$D$19,IF($E$19="",9E+99,$E$19)),0),ROUNDUP(MIN(L86*$D$19,IF($E$19="",9E+99,$E$19)),0))))</f>
        <v/>
      </c>
      <c r="Q86" s="19">
        <f>IF(G86="","",L86-MAX(M86:P86))</f>
        <v/>
      </c>
      <c r="R86" s="20">
        <f>IF(Q86="","",IF(OR($D$23="",Q86&lt;N($C$23)),0,IF(B86="G마켓",ROUNDDOWN(MIN(Q86*$D$23,IF($E$23="",9E+99,$E$23)),0),ROUNDUP(MIN(Q86*$D$23,IF($E$23="",9E+99,$E$23)),0))))</f>
        <v/>
      </c>
      <c r="S86" s="20">
        <f>IF(Q86="","",IF(OR($D$24="",Q86&lt;N($C$24)),0,IF(B86="G마켓",ROUNDDOWN(MIN(Q86*$D$24,IF($E$24="",9E+99,$E$24)),0),ROUNDUP(MIN(Q86*$D$24,IF($E$24="",9E+99,$E$24)),0))))</f>
        <v/>
      </c>
      <c r="T86" s="20">
        <f>IF(Q86="","",IF(OR($D$25="",Q86&lt;N($C$25)),0,IF(B86="G마켓",ROUNDDOWN(MIN(Q86*$D$25,IF($E$25="",9E+99,$E$25)),0),ROUNDUP(MIN(Q86*$D$25,IF($E$25="",9E+99,$E$25)),0))))</f>
        <v/>
      </c>
      <c r="U86" s="19">
        <f>IF(G86="","",MAX(R86:T86))</f>
        <v/>
      </c>
      <c r="V86" s="21">
        <f>IF(G86="","",Q86-U86)</f>
        <v/>
      </c>
      <c r="W86" s="19">
        <f>IF(G86="","",IF(B86="G마켓",ROUNDDOWN(MAX(I86*N($G$10),J86*N($G$11),K86*N($G$12))+MAX(M86*N($G$16),N86*N($G$17),O86*N($G$18),P86*N($G$19))+MAX(R86*N($G$23),S86*N($G$24),T86*N($G$25)),0),ROUNDUP(MAX(I86*N($G$10),J86*N($G$11),K86*N($G$12))+MAX(M86*N($G$16),N86*N($G$17),O86*N($G$18),P86*N($G$19))+MAX(R86*N($G$23),S86*N($G$24),T86*N($G$25)),0)))</f>
        <v/>
      </c>
      <c r="X86" s="21">
        <f>IF(G86="","",IF(B86="G마켓",ROUNDDOWN(G86-G86*$Q$6-W86,0),ROUNDUP(G86-G86*$Q$6-W86,0)))</f>
        <v/>
      </c>
    </row>
    <row r="87">
      <c r="B87" s="7" t="n"/>
      <c r="C87" s="7" t="n"/>
      <c r="D87" s="22" t="n"/>
      <c r="E87" s="23" t="n"/>
      <c r="F87" s="23" t="n"/>
      <c r="G87" s="19">
        <f>IF(E87="","",E87-N(F87))</f>
        <v/>
      </c>
      <c r="I87" s="20">
        <f>IF(G87="","",IF(OR($D$10="",$H$10="X",G87&lt;N($C$10)),0,IF(B87="G마켓",ROUNDDOWN(MIN(G87*$D$10,IF($E$10="",9E+99,$E$10)),0),ROUNDUP(MIN(G87*$D$10,IF($E$10="",9E+99,$E$10)),0))))</f>
        <v/>
      </c>
      <c r="J87" s="20">
        <f>IF(G87="","",IF(OR($D$11="",$H$11="X",G87&lt;N($C$11)),0,IF(B87="G마켓",ROUNDDOWN(MIN(G87*$D$11,IF($E$11="",9E+99,$E$11)),0),ROUNDUP(MIN(G87*$D$11,IF($E$11="",9E+99,$E$11)),0))))</f>
        <v/>
      </c>
      <c r="K87" s="20">
        <f>IF(G87="","",IF(OR($D$12="",$H$12="X",G87&lt;N($C$12)),0,IF(B87="G마켓",ROUNDDOWN(MIN(G87*$D$12,IF($E$12="",9E+99,$E$12)),0),ROUNDUP(MIN(G87*$D$12,IF($E$12="",9E+99,$E$12)),0))))</f>
        <v/>
      </c>
      <c r="L87" s="19">
        <f>IF(G87="","",G87-MAX(I87:K87))</f>
        <v/>
      </c>
      <c r="M87" s="20">
        <f>IF(L87="","",IF(OR($D$16="",$H$16="X",L87&lt;N($C$16)),0,IF(B87="G마켓",ROUNDDOWN(MIN(L87*$D$16,IF($E$16="",9E+99,$E$16)),0),ROUNDUP(MIN(L87*$D$16,IF($E$16="",9E+99,$E$16)),0))))</f>
        <v/>
      </c>
      <c r="N87" s="20">
        <f>IF(L87="","",IF(OR($D$17="",$H$17="X",L87&lt;N($C$17)),0,IF(B87="G마켓",ROUNDDOWN(MIN(L87*$D$17,IF($E$17="",9E+99,$E$17)),0),ROUNDUP(MIN(L87*$D$17,IF($E$17="",9E+99,$E$17)),0))))</f>
        <v/>
      </c>
      <c r="O87" s="20">
        <f>IF(L87="","",IF(OR($D$18="",$H$18="X",L87&lt;N($C$18)),0,IF(B87="G마켓",ROUNDDOWN(MIN(L87*$D$18,IF($E$18="",9E+99,$E$18)),0),ROUNDUP(MIN(L87*$D$18,IF($E$18="",9E+99,$E$18)),0))))</f>
        <v/>
      </c>
      <c r="P87" s="20">
        <f>IF(L87="","",IF(OR($D$19="",$H$19="X",L87&lt;N($C$19)),0,IF(B87="G마켓",ROUNDDOWN(MIN(L87*$D$19,IF($E$19="",9E+99,$E$19)),0),ROUNDUP(MIN(L87*$D$19,IF($E$19="",9E+99,$E$19)),0))))</f>
        <v/>
      </c>
      <c r="Q87" s="19">
        <f>IF(G87="","",L87-MAX(M87:P87))</f>
        <v/>
      </c>
      <c r="R87" s="20">
        <f>IF(Q87="","",IF(OR($D$23="",Q87&lt;N($C$23)),0,IF(B87="G마켓",ROUNDDOWN(MIN(Q87*$D$23,IF($E$23="",9E+99,$E$23)),0),ROUNDUP(MIN(Q87*$D$23,IF($E$23="",9E+99,$E$23)),0))))</f>
        <v/>
      </c>
      <c r="S87" s="20">
        <f>IF(Q87="","",IF(OR($D$24="",Q87&lt;N($C$24)),0,IF(B87="G마켓",ROUNDDOWN(MIN(Q87*$D$24,IF($E$24="",9E+99,$E$24)),0),ROUNDUP(MIN(Q87*$D$24,IF($E$24="",9E+99,$E$24)),0))))</f>
        <v/>
      </c>
      <c r="T87" s="20">
        <f>IF(Q87="","",IF(OR($D$25="",Q87&lt;N($C$25)),0,IF(B87="G마켓",ROUNDDOWN(MIN(Q87*$D$25,IF($E$25="",9E+99,$E$25)),0),ROUNDUP(MIN(Q87*$D$25,IF($E$25="",9E+99,$E$25)),0))))</f>
        <v/>
      </c>
      <c r="U87" s="19">
        <f>IF(G87="","",MAX(R87:T87))</f>
        <v/>
      </c>
      <c r="V87" s="21">
        <f>IF(G87="","",Q87-U87)</f>
        <v/>
      </c>
      <c r="W87" s="19">
        <f>IF(G87="","",IF(B87="G마켓",ROUNDDOWN(MAX(I87*N($G$10),J87*N($G$11),K87*N($G$12))+MAX(M87*N($G$16),N87*N($G$17),O87*N($G$18),P87*N($G$19))+MAX(R87*N($G$23),S87*N($G$24),T87*N($G$25)),0),ROUNDUP(MAX(I87*N($G$10),J87*N($G$11),K87*N($G$12))+MAX(M87*N($G$16),N87*N($G$17),O87*N($G$18),P87*N($G$19))+MAX(R87*N($G$23),S87*N($G$24),T87*N($G$25)),0)))</f>
        <v/>
      </c>
      <c r="X87" s="21">
        <f>IF(G87="","",IF(B87="G마켓",ROUNDDOWN(G87-G87*$Q$6-W87,0),ROUNDUP(G87-G87*$Q$6-W87,0)))</f>
        <v/>
      </c>
    </row>
    <row r="88">
      <c r="B88" s="7" t="n"/>
      <c r="C88" s="7" t="n"/>
      <c r="D88" s="22" t="n"/>
      <c r="E88" s="23" t="n"/>
      <c r="F88" s="23" t="n"/>
      <c r="G88" s="19">
        <f>IF(E88="","",E88-N(F88))</f>
        <v/>
      </c>
      <c r="I88" s="20">
        <f>IF(G88="","",IF(OR($D$10="",$H$10="X",G88&lt;N($C$10)),0,IF(B88="G마켓",ROUNDDOWN(MIN(G88*$D$10,IF($E$10="",9E+99,$E$10)),0),ROUNDUP(MIN(G88*$D$10,IF($E$10="",9E+99,$E$10)),0))))</f>
        <v/>
      </c>
      <c r="J88" s="20">
        <f>IF(G88="","",IF(OR($D$11="",$H$11="X",G88&lt;N($C$11)),0,IF(B88="G마켓",ROUNDDOWN(MIN(G88*$D$11,IF($E$11="",9E+99,$E$11)),0),ROUNDUP(MIN(G88*$D$11,IF($E$11="",9E+99,$E$11)),0))))</f>
        <v/>
      </c>
      <c r="K88" s="20">
        <f>IF(G88="","",IF(OR($D$12="",$H$12="X",G88&lt;N($C$12)),0,IF(B88="G마켓",ROUNDDOWN(MIN(G88*$D$12,IF($E$12="",9E+99,$E$12)),0),ROUNDUP(MIN(G88*$D$12,IF($E$12="",9E+99,$E$12)),0))))</f>
        <v/>
      </c>
      <c r="L88" s="19">
        <f>IF(G88="","",G88-MAX(I88:K88))</f>
        <v/>
      </c>
      <c r="M88" s="20">
        <f>IF(L88="","",IF(OR($D$16="",$H$16="X",L88&lt;N($C$16)),0,IF(B88="G마켓",ROUNDDOWN(MIN(L88*$D$16,IF($E$16="",9E+99,$E$16)),0),ROUNDUP(MIN(L88*$D$16,IF($E$16="",9E+99,$E$16)),0))))</f>
        <v/>
      </c>
      <c r="N88" s="20">
        <f>IF(L88="","",IF(OR($D$17="",$H$17="X",L88&lt;N($C$17)),0,IF(B88="G마켓",ROUNDDOWN(MIN(L88*$D$17,IF($E$17="",9E+99,$E$17)),0),ROUNDUP(MIN(L88*$D$17,IF($E$17="",9E+99,$E$17)),0))))</f>
        <v/>
      </c>
      <c r="O88" s="20">
        <f>IF(L88="","",IF(OR($D$18="",$H$18="X",L88&lt;N($C$18)),0,IF(B88="G마켓",ROUNDDOWN(MIN(L88*$D$18,IF($E$18="",9E+99,$E$18)),0),ROUNDUP(MIN(L88*$D$18,IF($E$18="",9E+99,$E$18)),0))))</f>
        <v/>
      </c>
      <c r="P88" s="20">
        <f>IF(L88="","",IF(OR($D$19="",$H$19="X",L88&lt;N($C$19)),0,IF(B88="G마켓",ROUNDDOWN(MIN(L88*$D$19,IF($E$19="",9E+99,$E$19)),0),ROUNDUP(MIN(L88*$D$19,IF($E$19="",9E+99,$E$19)),0))))</f>
        <v/>
      </c>
      <c r="Q88" s="19">
        <f>IF(G88="","",L88-MAX(M88:P88))</f>
        <v/>
      </c>
      <c r="R88" s="20">
        <f>IF(Q88="","",IF(OR($D$23="",Q88&lt;N($C$23)),0,IF(B88="G마켓",ROUNDDOWN(MIN(Q88*$D$23,IF($E$23="",9E+99,$E$23)),0),ROUNDUP(MIN(Q88*$D$23,IF($E$23="",9E+99,$E$23)),0))))</f>
        <v/>
      </c>
      <c r="S88" s="20">
        <f>IF(Q88="","",IF(OR($D$24="",Q88&lt;N($C$24)),0,IF(B88="G마켓",ROUNDDOWN(MIN(Q88*$D$24,IF($E$24="",9E+99,$E$24)),0),ROUNDUP(MIN(Q88*$D$24,IF($E$24="",9E+99,$E$24)),0))))</f>
        <v/>
      </c>
      <c r="T88" s="20">
        <f>IF(Q88="","",IF(OR($D$25="",Q88&lt;N($C$25)),0,IF(B88="G마켓",ROUNDDOWN(MIN(Q88*$D$25,IF($E$25="",9E+99,$E$25)),0),ROUNDUP(MIN(Q88*$D$25,IF($E$25="",9E+99,$E$25)),0))))</f>
        <v/>
      </c>
      <c r="U88" s="19">
        <f>IF(G88="","",MAX(R88:T88))</f>
        <v/>
      </c>
      <c r="V88" s="21">
        <f>IF(G88="","",Q88-U88)</f>
        <v/>
      </c>
      <c r="W88" s="19">
        <f>IF(G88="","",IF(B88="G마켓",ROUNDDOWN(MAX(I88*N($G$10),J88*N($G$11),K88*N($G$12))+MAX(M88*N($G$16),N88*N($G$17),O88*N($G$18),P88*N($G$19))+MAX(R88*N($G$23),S88*N($G$24),T88*N($G$25)),0),ROUNDUP(MAX(I88*N($G$10),J88*N($G$11),K88*N($G$12))+MAX(M88*N($G$16),N88*N($G$17),O88*N($G$18),P88*N($G$19))+MAX(R88*N($G$23),S88*N($G$24),T88*N($G$25)),0)))</f>
        <v/>
      </c>
      <c r="X88" s="21">
        <f>IF(G88="","",IF(B88="G마켓",ROUNDDOWN(G88-G88*$Q$6-W88,0),ROUNDUP(G88-G88*$Q$6-W88,0)))</f>
        <v/>
      </c>
    </row>
    <row r="89">
      <c r="B89" s="7" t="n"/>
      <c r="C89" s="7" t="n"/>
      <c r="D89" s="22" t="n"/>
      <c r="E89" s="23" t="n"/>
      <c r="F89" s="23" t="n"/>
      <c r="G89" s="19">
        <f>IF(E89="","",E89-N(F89))</f>
        <v/>
      </c>
      <c r="I89" s="20">
        <f>IF(G89="","",IF(OR($D$10="",$H$10="X",G89&lt;N($C$10)),0,IF(B89="G마켓",ROUNDDOWN(MIN(G89*$D$10,IF($E$10="",9E+99,$E$10)),0),ROUNDUP(MIN(G89*$D$10,IF($E$10="",9E+99,$E$10)),0))))</f>
        <v/>
      </c>
      <c r="J89" s="20">
        <f>IF(G89="","",IF(OR($D$11="",$H$11="X",G89&lt;N($C$11)),0,IF(B89="G마켓",ROUNDDOWN(MIN(G89*$D$11,IF($E$11="",9E+99,$E$11)),0),ROUNDUP(MIN(G89*$D$11,IF($E$11="",9E+99,$E$11)),0))))</f>
        <v/>
      </c>
      <c r="K89" s="20">
        <f>IF(G89="","",IF(OR($D$12="",$H$12="X",G89&lt;N($C$12)),0,IF(B89="G마켓",ROUNDDOWN(MIN(G89*$D$12,IF($E$12="",9E+99,$E$12)),0),ROUNDUP(MIN(G89*$D$12,IF($E$12="",9E+99,$E$12)),0))))</f>
        <v/>
      </c>
      <c r="L89" s="19">
        <f>IF(G89="","",G89-MAX(I89:K89))</f>
        <v/>
      </c>
      <c r="M89" s="20">
        <f>IF(L89="","",IF(OR($D$16="",$H$16="X",L89&lt;N($C$16)),0,IF(B89="G마켓",ROUNDDOWN(MIN(L89*$D$16,IF($E$16="",9E+99,$E$16)),0),ROUNDUP(MIN(L89*$D$16,IF($E$16="",9E+99,$E$16)),0))))</f>
        <v/>
      </c>
      <c r="N89" s="20">
        <f>IF(L89="","",IF(OR($D$17="",$H$17="X",L89&lt;N($C$17)),0,IF(B89="G마켓",ROUNDDOWN(MIN(L89*$D$17,IF($E$17="",9E+99,$E$17)),0),ROUNDUP(MIN(L89*$D$17,IF($E$17="",9E+99,$E$17)),0))))</f>
        <v/>
      </c>
      <c r="O89" s="20">
        <f>IF(L89="","",IF(OR($D$18="",$H$18="X",L89&lt;N($C$18)),0,IF(B89="G마켓",ROUNDDOWN(MIN(L89*$D$18,IF($E$18="",9E+99,$E$18)),0),ROUNDUP(MIN(L89*$D$18,IF($E$18="",9E+99,$E$18)),0))))</f>
        <v/>
      </c>
      <c r="P89" s="20">
        <f>IF(L89="","",IF(OR($D$19="",$H$19="X",L89&lt;N($C$19)),0,IF(B89="G마켓",ROUNDDOWN(MIN(L89*$D$19,IF($E$19="",9E+99,$E$19)),0),ROUNDUP(MIN(L89*$D$19,IF($E$19="",9E+99,$E$19)),0))))</f>
        <v/>
      </c>
      <c r="Q89" s="19">
        <f>IF(G89="","",L89-MAX(M89:P89))</f>
        <v/>
      </c>
      <c r="R89" s="20">
        <f>IF(Q89="","",IF(OR($D$23="",Q89&lt;N($C$23)),0,IF(B89="G마켓",ROUNDDOWN(MIN(Q89*$D$23,IF($E$23="",9E+99,$E$23)),0),ROUNDUP(MIN(Q89*$D$23,IF($E$23="",9E+99,$E$23)),0))))</f>
        <v/>
      </c>
      <c r="S89" s="20">
        <f>IF(Q89="","",IF(OR($D$24="",Q89&lt;N($C$24)),0,IF(B89="G마켓",ROUNDDOWN(MIN(Q89*$D$24,IF($E$24="",9E+99,$E$24)),0),ROUNDUP(MIN(Q89*$D$24,IF($E$24="",9E+99,$E$24)),0))))</f>
        <v/>
      </c>
      <c r="T89" s="20">
        <f>IF(Q89="","",IF(OR($D$25="",Q89&lt;N($C$25)),0,IF(B89="G마켓",ROUNDDOWN(MIN(Q89*$D$25,IF($E$25="",9E+99,$E$25)),0),ROUNDUP(MIN(Q89*$D$25,IF($E$25="",9E+99,$E$25)),0))))</f>
        <v/>
      </c>
      <c r="U89" s="19">
        <f>IF(G89="","",MAX(R89:T89))</f>
        <v/>
      </c>
      <c r="V89" s="21">
        <f>IF(G89="","",Q89-U89)</f>
        <v/>
      </c>
      <c r="W89" s="19">
        <f>IF(G89="","",IF(B89="G마켓",ROUNDDOWN(MAX(I89*N($G$10),J89*N($G$11),K89*N($G$12))+MAX(M89*N($G$16),N89*N($G$17),O89*N($G$18),P89*N($G$19))+MAX(R89*N($G$23),S89*N($G$24),T89*N($G$25)),0),ROUNDUP(MAX(I89*N($G$10),J89*N($G$11),K89*N($G$12))+MAX(M89*N($G$16),N89*N($G$17),O89*N($G$18),P89*N($G$19))+MAX(R89*N($G$23),S89*N($G$24),T89*N($G$25)),0)))</f>
        <v/>
      </c>
      <c r="X89" s="21">
        <f>IF(G89="","",IF(B89="G마켓",ROUNDDOWN(G89-G89*$Q$6-W89,0),ROUNDUP(G89-G89*$Q$6-W89,0)))</f>
        <v/>
      </c>
    </row>
    <row r="90">
      <c r="B90" s="7" t="n"/>
      <c r="C90" s="7" t="n"/>
      <c r="D90" s="22" t="n"/>
      <c r="E90" s="23" t="n"/>
      <c r="F90" s="23" t="n"/>
      <c r="G90" s="19">
        <f>IF(E90="","",E90-N(F90))</f>
        <v/>
      </c>
      <c r="I90" s="20">
        <f>IF(G90="","",IF(OR($D$10="",$H$10="X",G90&lt;N($C$10)),0,IF(B90="G마켓",ROUNDDOWN(MIN(G90*$D$10,IF($E$10="",9E+99,$E$10)),0),ROUNDUP(MIN(G90*$D$10,IF($E$10="",9E+99,$E$10)),0))))</f>
        <v/>
      </c>
      <c r="J90" s="20">
        <f>IF(G90="","",IF(OR($D$11="",$H$11="X",G90&lt;N($C$11)),0,IF(B90="G마켓",ROUNDDOWN(MIN(G90*$D$11,IF($E$11="",9E+99,$E$11)),0),ROUNDUP(MIN(G90*$D$11,IF($E$11="",9E+99,$E$11)),0))))</f>
        <v/>
      </c>
      <c r="K90" s="20">
        <f>IF(G90="","",IF(OR($D$12="",$H$12="X",G90&lt;N($C$12)),0,IF(B90="G마켓",ROUNDDOWN(MIN(G90*$D$12,IF($E$12="",9E+99,$E$12)),0),ROUNDUP(MIN(G90*$D$12,IF($E$12="",9E+99,$E$12)),0))))</f>
        <v/>
      </c>
      <c r="L90" s="19">
        <f>IF(G90="","",G90-MAX(I90:K90))</f>
        <v/>
      </c>
      <c r="M90" s="20">
        <f>IF(L90="","",IF(OR($D$16="",$H$16="X",L90&lt;N($C$16)),0,IF(B90="G마켓",ROUNDDOWN(MIN(L90*$D$16,IF($E$16="",9E+99,$E$16)),0),ROUNDUP(MIN(L90*$D$16,IF($E$16="",9E+99,$E$16)),0))))</f>
        <v/>
      </c>
      <c r="N90" s="20">
        <f>IF(L90="","",IF(OR($D$17="",$H$17="X",L90&lt;N($C$17)),0,IF(B90="G마켓",ROUNDDOWN(MIN(L90*$D$17,IF($E$17="",9E+99,$E$17)),0),ROUNDUP(MIN(L90*$D$17,IF($E$17="",9E+99,$E$17)),0))))</f>
        <v/>
      </c>
      <c r="O90" s="20">
        <f>IF(L90="","",IF(OR($D$18="",$H$18="X",L90&lt;N($C$18)),0,IF(B90="G마켓",ROUNDDOWN(MIN(L90*$D$18,IF($E$18="",9E+99,$E$18)),0),ROUNDUP(MIN(L90*$D$18,IF($E$18="",9E+99,$E$18)),0))))</f>
        <v/>
      </c>
      <c r="P90" s="20">
        <f>IF(L90="","",IF(OR($D$19="",$H$19="X",L90&lt;N($C$19)),0,IF(B90="G마켓",ROUNDDOWN(MIN(L90*$D$19,IF($E$19="",9E+99,$E$19)),0),ROUNDUP(MIN(L90*$D$19,IF($E$19="",9E+99,$E$19)),0))))</f>
        <v/>
      </c>
      <c r="Q90" s="19">
        <f>IF(G90="","",L90-MAX(M90:P90))</f>
        <v/>
      </c>
      <c r="R90" s="20">
        <f>IF(Q90="","",IF(OR($D$23="",Q90&lt;N($C$23)),0,IF(B90="G마켓",ROUNDDOWN(MIN(Q90*$D$23,IF($E$23="",9E+99,$E$23)),0),ROUNDUP(MIN(Q90*$D$23,IF($E$23="",9E+99,$E$23)),0))))</f>
        <v/>
      </c>
      <c r="S90" s="20">
        <f>IF(Q90="","",IF(OR($D$24="",Q90&lt;N($C$24)),0,IF(B90="G마켓",ROUNDDOWN(MIN(Q90*$D$24,IF($E$24="",9E+99,$E$24)),0),ROUNDUP(MIN(Q90*$D$24,IF($E$24="",9E+99,$E$24)),0))))</f>
        <v/>
      </c>
      <c r="T90" s="20">
        <f>IF(Q90="","",IF(OR($D$25="",Q90&lt;N($C$25)),0,IF(B90="G마켓",ROUNDDOWN(MIN(Q90*$D$25,IF($E$25="",9E+99,$E$25)),0),ROUNDUP(MIN(Q90*$D$25,IF($E$25="",9E+99,$E$25)),0))))</f>
        <v/>
      </c>
      <c r="U90" s="19">
        <f>IF(G90="","",MAX(R90:T90))</f>
        <v/>
      </c>
      <c r="V90" s="21">
        <f>IF(G90="","",Q90-U90)</f>
        <v/>
      </c>
      <c r="W90" s="19">
        <f>IF(G90="","",IF(B90="G마켓",ROUNDDOWN(MAX(I90*N($G$10),J90*N($G$11),K90*N($G$12))+MAX(M90*N($G$16),N90*N($G$17),O90*N($G$18),P90*N($G$19))+MAX(R90*N($G$23),S90*N($G$24),T90*N($G$25)),0),ROUNDUP(MAX(I90*N($G$10),J90*N($G$11),K90*N($G$12))+MAX(M90*N($G$16),N90*N($G$17),O90*N($G$18),P90*N($G$19))+MAX(R90*N($G$23),S90*N($G$24),T90*N($G$25)),0)))</f>
        <v/>
      </c>
      <c r="X90" s="21">
        <f>IF(G90="","",IF(B90="G마켓",ROUNDDOWN(G90-G90*$Q$6-W90,0),ROUNDUP(G90-G90*$Q$6-W90,0)))</f>
        <v/>
      </c>
    </row>
    <row r="91">
      <c r="B91" s="7" t="n"/>
      <c r="C91" s="7" t="n"/>
      <c r="D91" s="22" t="n"/>
      <c r="E91" s="23" t="n"/>
      <c r="F91" s="23" t="n"/>
      <c r="G91" s="19">
        <f>IF(E91="","",E91-N(F91))</f>
        <v/>
      </c>
      <c r="I91" s="20">
        <f>IF(G91="","",IF(OR($D$10="",$H$10="X",G91&lt;N($C$10)),0,IF(B91="G마켓",ROUNDDOWN(MIN(G91*$D$10,IF($E$10="",9E+99,$E$10)),0),ROUNDUP(MIN(G91*$D$10,IF($E$10="",9E+99,$E$10)),0))))</f>
        <v/>
      </c>
      <c r="J91" s="20">
        <f>IF(G91="","",IF(OR($D$11="",$H$11="X",G91&lt;N($C$11)),0,IF(B91="G마켓",ROUNDDOWN(MIN(G91*$D$11,IF($E$11="",9E+99,$E$11)),0),ROUNDUP(MIN(G91*$D$11,IF($E$11="",9E+99,$E$11)),0))))</f>
        <v/>
      </c>
      <c r="K91" s="20">
        <f>IF(G91="","",IF(OR($D$12="",$H$12="X",G91&lt;N($C$12)),0,IF(B91="G마켓",ROUNDDOWN(MIN(G91*$D$12,IF($E$12="",9E+99,$E$12)),0),ROUNDUP(MIN(G91*$D$12,IF($E$12="",9E+99,$E$12)),0))))</f>
        <v/>
      </c>
      <c r="L91" s="19">
        <f>IF(G91="","",G91-MAX(I91:K91))</f>
        <v/>
      </c>
      <c r="M91" s="20">
        <f>IF(L91="","",IF(OR($D$16="",$H$16="X",L91&lt;N($C$16)),0,IF(B91="G마켓",ROUNDDOWN(MIN(L91*$D$16,IF($E$16="",9E+99,$E$16)),0),ROUNDUP(MIN(L91*$D$16,IF($E$16="",9E+99,$E$16)),0))))</f>
        <v/>
      </c>
      <c r="N91" s="20">
        <f>IF(L91="","",IF(OR($D$17="",$H$17="X",L91&lt;N($C$17)),0,IF(B91="G마켓",ROUNDDOWN(MIN(L91*$D$17,IF($E$17="",9E+99,$E$17)),0),ROUNDUP(MIN(L91*$D$17,IF($E$17="",9E+99,$E$17)),0))))</f>
        <v/>
      </c>
      <c r="O91" s="20">
        <f>IF(L91="","",IF(OR($D$18="",$H$18="X",L91&lt;N($C$18)),0,IF(B91="G마켓",ROUNDDOWN(MIN(L91*$D$18,IF($E$18="",9E+99,$E$18)),0),ROUNDUP(MIN(L91*$D$18,IF($E$18="",9E+99,$E$18)),0))))</f>
        <v/>
      </c>
      <c r="P91" s="20">
        <f>IF(L91="","",IF(OR($D$19="",$H$19="X",L91&lt;N($C$19)),0,IF(B91="G마켓",ROUNDDOWN(MIN(L91*$D$19,IF($E$19="",9E+99,$E$19)),0),ROUNDUP(MIN(L91*$D$19,IF($E$19="",9E+99,$E$19)),0))))</f>
        <v/>
      </c>
      <c r="Q91" s="19">
        <f>IF(G91="","",L91-MAX(M91:P91))</f>
        <v/>
      </c>
      <c r="R91" s="20">
        <f>IF(Q91="","",IF(OR($D$23="",Q91&lt;N($C$23)),0,IF(B91="G마켓",ROUNDDOWN(MIN(Q91*$D$23,IF($E$23="",9E+99,$E$23)),0),ROUNDUP(MIN(Q91*$D$23,IF($E$23="",9E+99,$E$23)),0))))</f>
        <v/>
      </c>
      <c r="S91" s="20">
        <f>IF(Q91="","",IF(OR($D$24="",Q91&lt;N($C$24)),0,IF(B91="G마켓",ROUNDDOWN(MIN(Q91*$D$24,IF($E$24="",9E+99,$E$24)),0),ROUNDUP(MIN(Q91*$D$24,IF($E$24="",9E+99,$E$24)),0))))</f>
        <v/>
      </c>
      <c r="T91" s="20">
        <f>IF(Q91="","",IF(OR($D$25="",Q91&lt;N($C$25)),0,IF(B91="G마켓",ROUNDDOWN(MIN(Q91*$D$25,IF($E$25="",9E+99,$E$25)),0),ROUNDUP(MIN(Q91*$D$25,IF($E$25="",9E+99,$E$25)),0))))</f>
        <v/>
      </c>
      <c r="U91" s="19">
        <f>IF(G91="","",MAX(R91:T91))</f>
        <v/>
      </c>
      <c r="V91" s="21">
        <f>IF(G91="","",Q91-U91)</f>
        <v/>
      </c>
      <c r="W91" s="19">
        <f>IF(G91="","",IF(B91="G마켓",ROUNDDOWN(MAX(I91*N($G$10),J91*N($G$11),K91*N($G$12))+MAX(M91*N($G$16),N91*N($G$17),O91*N($G$18),P91*N($G$19))+MAX(R91*N($G$23),S91*N($G$24),T91*N($G$25)),0),ROUNDUP(MAX(I91*N($G$10),J91*N($G$11),K91*N($G$12))+MAX(M91*N($G$16),N91*N($G$17),O91*N($G$18),P91*N($G$19))+MAX(R91*N($G$23),S91*N($G$24),T91*N($G$25)),0)))</f>
        <v/>
      </c>
      <c r="X91" s="21">
        <f>IF(G91="","",IF(B91="G마켓",ROUNDDOWN(G91-G91*$Q$6-W91,0),ROUNDUP(G91-G91*$Q$6-W91,0)))</f>
        <v/>
      </c>
    </row>
    <row r="92">
      <c r="B92" s="7" t="n"/>
      <c r="C92" s="7" t="n"/>
      <c r="D92" s="22" t="n"/>
      <c r="E92" s="23" t="n"/>
      <c r="F92" s="23" t="n"/>
      <c r="G92" s="19">
        <f>IF(E92="","",E92-N(F92))</f>
        <v/>
      </c>
      <c r="I92" s="20">
        <f>IF(G92="","",IF(OR($D$10="",$H$10="X",G92&lt;N($C$10)),0,IF(B92="G마켓",ROUNDDOWN(MIN(G92*$D$10,IF($E$10="",9E+99,$E$10)),0),ROUNDUP(MIN(G92*$D$10,IF($E$10="",9E+99,$E$10)),0))))</f>
        <v/>
      </c>
      <c r="J92" s="20">
        <f>IF(G92="","",IF(OR($D$11="",$H$11="X",G92&lt;N($C$11)),0,IF(B92="G마켓",ROUNDDOWN(MIN(G92*$D$11,IF($E$11="",9E+99,$E$11)),0),ROUNDUP(MIN(G92*$D$11,IF($E$11="",9E+99,$E$11)),0))))</f>
        <v/>
      </c>
      <c r="K92" s="20">
        <f>IF(G92="","",IF(OR($D$12="",$H$12="X",G92&lt;N($C$12)),0,IF(B92="G마켓",ROUNDDOWN(MIN(G92*$D$12,IF($E$12="",9E+99,$E$12)),0),ROUNDUP(MIN(G92*$D$12,IF($E$12="",9E+99,$E$12)),0))))</f>
        <v/>
      </c>
      <c r="L92" s="19">
        <f>IF(G92="","",G92-MAX(I92:K92))</f>
        <v/>
      </c>
      <c r="M92" s="20">
        <f>IF(L92="","",IF(OR($D$16="",$H$16="X",L92&lt;N($C$16)),0,IF(B92="G마켓",ROUNDDOWN(MIN(L92*$D$16,IF($E$16="",9E+99,$E$16)),0),ROUNDUP(MIN(L92*$D$16,IF($E$16="",9E+99,$E$16)),0))))</f>
        <v/>
      </c>
      <c r="N92" s="20">
        <f>IF(L92="","",IF(OR($D$17="",$H$17="X",L92&lt;N($C$17)),0,IF(B92="G마켓",ROUNDDOWN(MIN(L92*$D$17,IF($E$17="",9E+99,$E$17)),0),ROUNDUP(MIN(L92*$D$17,IF($E$17="",9E+99,$E$17)),0))))</f>
        <v/>
      </c>
      <c r="O92" s="20">
        <f>IF(L92="","",IF(OR($D$18="",$H$18="X",L92&lt;N($C$18)),0,IF(B92="G마켓",ROUNDDOWN(MIN(L92*$D$18,IF($E$18="",9E+99,$E$18)),0),ROUNDUP(MIN(L92*$D$18,IF($E$18="",9E+99,$E$18)),0))))</f>
        <v/>
      </c>
      <c r="P92" s="20">
        <f>IF(L92="","",IF(OR($D$19="",$H$19="X",L92&lt;N($C$19)),0,IF(B92="G마켓",ROUNDDOWN(MIN(L92*$D$19,IF($E$19="",9E+99,$E$19)),0),ROUNDUP(MIN(L92*$D$19,IF($E$19="",9E+99,$E$19)),0))))</f>
        <v/>
      </c>
      <c r="Q92" s="19">
        <f>IF(G92="","",L92-MAX(M92:P92))</f>
        <v/>
      </c>
      <c r="R92" s="20">
        <f>IF(Q92="","",IF(OR($D$23="",Q92&lt;N($C$23)),0,IF(B92="G마켓",ROUNDDOWN(MIN(Q92*$D$23,IF($E$23="",9E+99,$E$23)),0),ROUNDUP(MIN(Q92*$D$23,IF($E$23="",9E+99,$E$23)),0))))</f>
        <v/>
      </c>
      <c r="S92" s="20">
        <f>IF(Q92="","",IF(OR($D$24="",Q92&lt;N($C$24)),0,IF(B92="G마켓",ROUNDDOWN(MIN(Q92*$D$24,IF($E$24="",9E+99,$E$24)),0),ROUNDUP(MIN(Q92*$D$24,IF($E$24="",9E+99,$E$24)),0))))</f>
        <v/>
      </c>
      <c r="T92" s="20">
        <f>IF(Q92="","",IF(OR($D$25="",Q92&lt;N($C$25)),0,IF(B92="G마켓",ROUNDDOWN(MIN(Q92*$D$25,IF($E$25="",9E+99,$E$25)),0),ROUNDUP(MIN(Q92*$D$25,IF($E$25="",9E+99,$E$25)),0))))</f>
        <v/>
      </c>
      <c r="U92" s="19">
        <f>IF(G92="","",MAX(R92:T92))</f>
        <v/>
      </c>
      <c r="V92" s="21">
        <f>IF(G92="","",Q92-U92)</f>
        <v/>
      </c>
      <c r="W92" s="19">
        <f>IF(G92="","",IF(B92="G마켓",ROUNDDOWN(MAX(I92*N($G$10),J92*N($G$11),K92*N($G$12))+MAX(M92*N($G$16),N92*N($G$17),O92*N($G$18),P92*N($G$19))+MAX(R92*N($G$23),S92*N($G$24),T92*N($G$25)),0),ROUNDUP(MAX(I92*N($G$10),J92*N($G$11),K92*N($G$12))+MAX(M92*N($G$16),N92*N($G$17),O92*N($G$18),P92*N($G$19))+MAX(R92*N($G$23),S92*N($G$24),T92*N($G$25)),0)))</f>
        <v/>
      </c>
      <c r="X92" s="21">
        <f>IF(G92="","",IF(B92="G마켓",ROUNDDOWN(G92-G92*$Q$6-W92,0),ROUNDUP(G92-G92*$Q$6-W92,0)))</f>
        <v/>
      </c>
    </row>
    <row r="93">
      <c r="B93" s="7" t="n"/>
      <c r="C93" s="7" t="n"/>
      <c r="D93" s="22" t="n"/>
      <c r="E93" s="23" t="n"/>
      <c r="F93" s="23" t="n"/>
      <c r="G93" s="19">
        <f>IF(E93="","",E93-N(F93))</f>
        <v/>
      </c>
      <c r="I93" s="20">
        <f>IF(G93="","",IF(OR($D$10="",$H$10="X",G93&lt;N($C$10)),0,IF(B93="G마켓",ROUNDDOWN(MIN(G93*$D$10,IF($E$10="",9E+99,$E$10)),0),ROUNDUP(MIN(G93*$D$10,IF($E$10="",9E+99,$E$10)),0))))</f>
        <v/>
      </c>
      <c r="J93" s="20">
        <f>IF(G93="","",IF(OR($D$11="",$H$11="X",G93&lt;N($C$11)),0,IF(B93="G마켓",ROUNDDOWN(MIN(G93*$D$11,IF($E$11="",9E+99,$E$11)),0),ROUNDUP(MIN(G93*$D$11,IF($E$11="",9E+99,$E$11)),0))))</f>
        <v/>
      </c>
      <c r="K93" s="20">
        <f>IF(G93="","",IF(OR($D$12="",$H$12="X",G93&lt;N($C$12)),0,IF(B93="G마켓",ROUNDDOWN(MIN(G93*$D$12,IF($E$12="",9E+99,$E$12)),0),ROUNDUP(MIN(G93*$D$12,IF($E$12="",9E+99,$E$12)),0))))</f>
        <v/>
      </c>
      <c r="L93" s="19">
        <f>IF(G93="","",G93-MAX(I93:K93))</f>
        <v/>
      </c>
      <c r="M93" s="20">
        <f>IF(L93="","",IF(OR($D$16="",$H$16="X",L93&lt;N($C$16)),0,IF(B93="G마켓",ROUNDDOWN(MIN(L93*$D$16,IF($E$16="",9E+99,$E$16)),0),ROUNDUP(MIN(L93*$D$16,IF($E$16="",9E+99,$E$16)),0))))</f>
        <v/>
      </c>
      <c r="N93" s="20">
        <f>IF(L93="","",IF(OR($D$17="",$H$17="X",L93&lt;N($C$17)),0,IF(B93="G마켓",ROUNDDOWN(MIN(L93*$D$17,IF($E$17="",9E+99,$E$17)),0),ROUNDUP(MIN(L93*$D$17,IF($E$17="",9E+99,$E$17)),0))))</f>
        <v/>
      </c>
      <c r="O93" s="20">
        <f>IF(L93="","",IF(OR($D$18="",$H$18="X",L93&lt;N($C$18)),0,IF(B93="G마켓",ROUNDDOWN(MIN(L93*$D$18,IF($E$18="",9E+99,$E$18)),0),ROUNDUP(MIN(L93*$D$18,IF($E$18="",9E+99,$E$18)),0))))</f>
        <v/>
      </c>
      <c r="P93" s="20">
        <f>IF(L93="","",IF(OR($D$19="",$H$19="X",L93&lt;N($C$19)),0,IF(B93="G마켓",ROUNDDOWN(MIN(L93*$D$19,IF($E$19="",9E+99,$E$19)),0),ROUNDUP(MIN(L93*$D$19,IF($E$19="",9E+99,$E$19)),0))))</f>
        <v/>
      </c>
      <c r="Q93" s="19">
        <f>IF(G93="","",L93-MAX(M93:P93))</f>
        <v/>
      </c>
      <c r="R93" s="20">
        <f>IF(Q93="","",IF(OR($D$23="",Q93&lt;N($C$23)),0,IF(B93="G마켓",ROUNDDOWN(MIN(Q93*$D$23,IF($E$23="",9E+99,$E$23)),0),ROUNDUP(MIN(Q93*$D$23,IF($E$23="",9E+99,$E$23)),0))))</f>
        <v/>
      </c>
      <c r="S93" s="20">
        <f>IF(Q93="","",IF(OR($D$24="",Q93&lt;N($C$24)),0,IF(B93="G마켓",ROUNDDOWN(MIN(Q93*$D$24,IF($E$24="",9E+99,$E$24)),0),ROUNDUP(MIN(Q93*$D$24,IF($E$24="",9E+99,$E$24)),0))))</f>
        <v/>
      </c>
      <c r="T93" s="20">
        <f>IF(Q93="","",IF(OR($D$25="",Q93&lt;N($C$25)),0,IF(B93="G마켓",ROUNDDOWN(MIN(Q93*$D$25,IF($E$25="",9E+99,$E$25)),0),ROUNDUP(MIN(Q93*$D$25,IF($E$25="",9E+99,$E$25)),0))))</f>
        <v/>
      </c>
      <c r="U93" s="19">
        <f>IF(G93="","",MAX(R93:T93))</f>
        <v/>
      </c>
      <c r="V93" s="21">
        <f>IF(G93="","",Q93-U93)</f>
        <v/>
      </c>
      <c r="W93" s="19">
        <f>IF(G93="","",IF(B93="G마켓",ROUNDDOWN(MAX(I93*N($G$10),J93*N($G$11),K93*N($G$12))+MAX(M93*N($G$16),N93*N($G$17),O93*N($G$18),P93*N($G$19))+MAX(R93*N($G$23),S93*N($G$24),T93*N($G$25)),0),ROUNDUP(MAX(I93*N($G$10),J93*N($G$11),K93*N($G$12))+MAX(M93*N($G$16),N93*N($G$17),O93*N($G$18),P93*N($G$19))+MAX(R93*N($G$23),S93*N($G$24),T93*N($G$25)),0)))</f>
        <v/>
      </c>
      <c r="X93" s="21">
        <f>IF(G93="","",IF(B93="G마켓",ROUNDDOWN(G93-G93*$Q$6-W93,0),ROUNDUP(G93-G93*$Q$6-W93,0)))</f>
        <v/>
      </c>
    </row>
    <row r="94">
      <c r="B94" s="7" t="n"/>
      <c r="C94" s="7" t="n"/>
      <c r="D94" s="22" t="n"/>
      <c r="E94" s="23" t="n"/>
      <c r="F94" s="23" t="n"/>
      <c r="G94" s="19">
        <f>IF(E94="","",E94-N(F94))</f>
        <v/>
      </c>
      <c r="I94" s="20">
        <f>IF(G94="","",IF(OR($D$10="",$H$10="X",G94&lt;N($C$10)),0,IF(B94="G마켓",ROUNDDOWN(MIN(G94*$D$10,IF($E$10="",9E+99,$E$10)),0),ROUNDUP(MIN(G94*$D$10,IF($E$10="",9E+99,$E$10)),0))))</f>
        <v/>
      </c>
      <c r="J94" s="20">
        <f>IF(G94="","",IF(OR($D$11="",$H$11="X",G94&lt;N($C$11)),0,IF(B94="G마켓",ROUNDDOWN(MIN(G94*$D$11,IF($E$11="",9E+99,$E$11)),0),ROUNDUP(MIN(G94*$D$11,IF($E$11="",9E+99,$E$11)),0))))</f>
        <v/>
      </c>
      <c r="K94" s="20">
        <f>IF(G94="","",IF(OR($D$12="",$H$12="X",G94&lt;N($C$12)),0,IF(B94="G마켓",ROUNDDOWN(MIN(G94*$D$12,IF($E$12="",9E+99,$E$12)),0),ROUNDUP(MIN(G94*$D$12,IF($E$12="",9E+99,$E$12)),0))))</f>
        <v/>
      </c>
      <c r="L94" s="19">
        <f>IF(G94="","",G94-MAX(I94:K94))</f>
        <v/>
      </c>
      <c r="M94" s="20">
        <f>IF(L94="","",IF(OR($D$16="",$H$16="X",L94&lt;N($C$16)),0,IF(B94="G마켓",ROUNDDOWN(MIN(L94*$D$16,IF($E$16="",9E+99,$E$16)),0),ROUNDUP(MIN(L94*$D$16,IF($E$16="",9E+99,$E$16)),0))))</f>
        <v/>
      </c>
      <c r="N94" s="20">
        <f>IF(L94="","",IF(OR($D$17="",$H$17="X",L94&lt;N($C$17)),0,IF(B94="G마켓",ROUNDDOWN(MIN(L94*$D$17,IF($E$17="",9E+99,$E$17)),0),ROUNDUP(MIN(L94*$D$17,IF($E$17="",9E+99,$E$17)),0))))</f>
        <v/>
      </c>
      <c r="O94" s="20">
        <f>IF(L94="","",IF(OR($D$18="",$H$18="X",L94&lt;N($C$18)),0,IF(B94="G마켓",ROUNDDOWN(MIN(L94*$D$18,IF($E$18="",9E+99,$E$18)),0),ROUNDUP(MIN(L94*$D$18,IF($E$18="",9E+99,$E$18)),0))))</f>
        <v/>
      </c>
      <c r="P94" s="20">
        <f>IF(L94="","",IF(OR($D$19="",$H$19="X",L94&lt;N($C$19)),0,IF(B94="G마켓",ROUNDDOWN(MIN(L94*$D$19,IF($E$19="",9E+99,$E$19)),0),ROUNDUP(MIN(L94*$D$19,IF($E$19="",9E+99,$E$19)),0))))</f>
        <v/>
      </c>
      <c r="Q94" s="19">
        <f>IF(G94="","",L94-MAX(M94:P94))</f>
        <v/>
      </c>
      <c r="R94" s="20">
        <f>IF(Q94="","",IF(OR($D$23="",Q94&lt;N($C$23)),0,IF(B94="G마켓",ROUNDDOWN(MIN(Q94*$D$23,IF($E$23="",9E+99,$E$23)),0),ROUNDUP(MIN(Q94*$D$23,IF($E$23="",9E+99,$E$23)),0))))</f>
        <v/>
      </c>
      <c r="S94" s="20">
        <f>IF(Q94="","",IF(OR($D$24="",Q94&lt;N($C$24)),0,IF(B94="G마켓",ROUNDDOWN(MIN(Q94*$D$24,IF($E$24="",9E+99,$E$24)),0),ROUNDUP(MIN(Q94*$D$24,IF($E$24="",9E+99,$E$24)),0))))</f>
        <v/>
      </c>
      <c r="T94" s="20">
        <f>IF(Q94="","",IF(OR($D$25="",Q94&lt;N($C$25)),0,IF(B94="G마켓",ROUNDDOWN(MIN(Q94*$D$25,IF($E$25="",9E+99,$E$25)),0),ROUNDUP(MIN(Q94*$D$25,IF($E$25="",9E+99,$E$25)),0))))</f>
        <v/>
      </c>
      <c r="U94" s="19">
        <f>IF(G94="","",MAX(R94:T94))</f>
        <v/>
      </c>
      <c r="V94" s="21">
        <f>IF(G94="","",Q94-U94)</f>
        <v/>
      </c>
      <c r="W94" s="19">
        <f>IF(G94="","",IF(B94="G마켓",ROUNDDOWN(MAX(I94*N($G$10),J94*N($G$11),K94*N($G$12))+MAX(M94*N($G$16),N94*N($G$17),O94*N($G$18),P94*N($G$19))+MAX(R94*N($G$23),S94*N($G$24),T94*N($G$25)),0),ROUNDUP(MAX(I94*N($G$10),J94*N($G$11),K94*N($G$12))+MAX(M94*N($G$16),N94*N($G$17),O94*N($G$18),P94*N($G$19))+MAX(R94*N($G$23),S94*N($G$24),T94*N($G$25)),0)))</f>
        <v/>
      </c>
      <c r="X94" s="21">
        <f>IF(G94="","",IF(B94="G마켓",ROUNDDOWN(G94-G94*$Q$6-W94,0),ROUNDUP(G94-G94*$Q$6-W94,0)))</f>
        <v/>
      </c>
    </row>
    <row r="95">
      <c r="B95" s="7" t="n"/>
      <c r="C95" s="7" t="n"/>
      <c r="D95" s="22" t="n"/>
      <c r="E95" s="23" t="n"/>
      <c r="F95" s="23" t="n"/>
      <c r="G95" s="19">
        <f>IF(E95="","",E95-N(F95))</f>
        <v/>
      </c>
      <c r="I95" s="20">
        <f>IF(G95="","",IF(OR($D$10="",$H$10="X",G95&lt;N($C$10)),0,IF(B95="G마켓",ROUNDDOWN(MIN(G95*$D$10,IF($E$10="",9E+99,$E$10)),0),ROUNDUP(MIN(G95*$D$10,IF($E$10="",9E+99,$E$10)),0))))</f>
        <v/>
      </c>
      <c r="J95" s="20">
        <f>IF(G95="","",IF(OR($D$11="",$H$11="X",G95&lt;N($C$11)),0,IF(B95="G마켓",ROUNDDOWN(MIN(G95*$D$11,IF($E$11="",9E+99,$E$11)),0),ROUNDUP(MIN(G95*$D$11,IF($E$11="",9E+99,$E$11)),0))))</f>
        <v/>
      </c>
      <c r="K95" s="20">
        <f>IF(G95="","",IF(OR($D$12="",$H$12="X",G95&lt;N($C$12)),0,IF(B95="G마켓",ROUNDDOWN(MIN(G95*$D$12,IF($E$12="",9E+99,$E$12)),0),ROUNDUP(MIN(G95*$D$12,IF($E$12="",9E+99,$E$12)),0))))</f>
        <v/>
      </c>
      <c r="L95" s="19">
        <f>IF(G95="","",G95-MAX(I95:K95))</f>
        <v/>
      </c>
      <c r="M95" s="20">
        <f>IF(L95="","",IF(OR($D$16="",$H$16="X",L95&lt;N($C$16)),0,IF(B95="G마켓",ROUNDDOWN(MIN(L95*$D$16,IF($E$16="",9E+99,$E$16)),0),ROUNDUP(MIN(L95*$D$16,IF($E$16="",9E+99,$E$16)),0))))</f>
        <v/>
      </c>
      <c r="N95" s="20">
        <f>IF(L95="","",IF(OR($D$17="",$H$17="X",L95&lt;N($C$17)),0,IF(B95="G마켓",ROUNDDOWN(MIN(L95*$D$17,IF($E$17="",9E+99,$E$17)),0),ROUNDUP(MIN(L95*$D$17,IF($E$17="",9E+99,$E$17)),0))))</f>
        <v/>
      </c>
      <c r="O95" s="20">
        <f>IF(L95="","",IF(OR($D$18="",$H$18="X",L95&lt;N($C$18)),0,IF(B95="G마켓",ROUNDDOWN(MIN(L95*$D$18,IF($E$18="",9E+99,$E$18)),0),ROUNDUP(MIN(L95*$D$18,IF($E$18="",9E+99,$E$18)),0))))</f>
        <v/>
      </c>
      <c r="P95" s="20">
        <f>IF(L95="","",IF(OR($D$19="",$H$19="X",L95&lt;N($C$19)),0,IF(B95="G마켓",ROUNDDOWN(MIN(L95*$D$19,IF($E$19="",9E+99,$E$19)),0),ROUNDUP(MIN(L95*$D$19,IF($E$19="",9E+99,$E$19)),0))))</f>
        <v/>
      </c>
      <c r="Q95" s="19">
        <f>IF(G95="","",L95-MAX(M95:P95))</f>
        <v/>
      </c>
      <c r="R95" s="20">
        <f>IF(Q95="","",IF(OR($D$23="",Q95&lt;N($C$23)),0,IF(B95="G마켓",ROUNDDOWN(MIN(Q95*$D$23,IF($E$23="",9E+99,$E$23)),0),ROUNDUP(MIN(Q95*$D$23,IF($E$23="",9E+99,$E$23)),0))))</f>
        <v/>
      </c>
      <c r="S95" s="20">
        <f>IF(Q95="","",IF(OR($D$24="",Q95&lt;N($C$24)),0,IF(B95="G마켓",ROUNDDOWN(MIN(Q95*$D$24,IF($E$24="",9E+99,$E$24)),0),ROUNDUP(MIN(Q95*$D$24,IF($E$24="",9E+99,$E$24)),0))))</f>
        <v/>
      </c>
      <c r="T95" s="20">
        <f>IF(Q95="","",IF(OR($D$25="",Q95&lt;N($C$25)),0,IF(B95="G마켓",ROUNDDOWN(MIN(Q95*$D$25,IF($E$25="",9E+99,$E$25)),0),ROUNDUP(MIN(Q95*$D$25,IF($E$25="",9E+99,$E$25)),0))))</f>
        <v/>
      </c>
      <c r="U95" s="19">
        <f>IF(G95="","",MAX(R95:T95))</f>
        <v/>
      </c>
      <c r="V95" s="21">
        <f>IF(G95="","",Q95-U95)</f>
        <v/>
      </c>
      <c r="W95" s="19">
        <f>IF(G95="","",IF(B95="G마켓",ROUNDDOWN(MAX(I95*N($G$10),J95*N($G$11),K95*N($G$12))+MAX(M95*N($G$16),N95*N($G$17),O95*N($G$18),P95*N($G$19))+MAX(R95*N($G$23),S95*N($G$24),T95*N($G$25)),0),ROUNDUP(MAX(I95*N($G$10),J95*N($G$11),K95*N($G$12))+MAX(M95*N($G$16),N95*N($G$17),O95*N($G$18),P95*N($G$19))+MAX(R95*N($G$23),S95*N($G$24),T95*N($G$25)),0)))</f>
        <v/>
      </c>
      <c r="X95" s="21">
        <f>IF(G95="","",IF(B95="G마켓",ROUNDDOWN(G95-G95*$Q$6-W95,0),ROUNDUP(G95-G95*$Q$6-W95,0)))</f>
        <v/>
      </c>
    </row>
    <row r="96">
      <c r="B96" s="7" t="n"/>
      <c r="C96" s="7" t="n"/>
      <c r="D96" s="22" t="n"/>
      <c r="E96" s="23" t="n"/>
      <c r="F96" s="23" t="n"/>
      <c r="G96" s="19">
        <f>IF(E96="","",E96-N(F96))</f>
        <v/>
      </c>
      <c r="I96" s="20">
        <f>IF(G96="","",IF(OR($D$10="",$H$10="X",G96&lt;N($C$10)),0,IF(B96="G마켓",ROUNDDOWN(MIN(G96*$D$10,IF($E$10="",9E+99,$E$10)),0),ROUNDUP(MIN(G96*$D$10,IF($E$10="",9E+99,$E$10)),0))))</f>
        <v/>
      </c>
      <c r="J96" s="20">
        <f>IF(G96="","",IF(OR($D$11="",$H$11="X",G96&lt;N($C$11)),0,IF(B96="G마켓",ROUNDDOWN(MIN(G96*$D$11,IF($E$11="",9E+99,$E$11)),0),ROUNDUP(MIN(G96*$D$11,IF($E$11="",9E+99,$E$11)),0))))</f>
        <v/>
      </c>
      <c r="K96" s="20">
        <f>IF(G96="","",IF(OR($D$12="",$H$12="X",G96&lt;N($C$12)),0,IF(B96="G마켓",ROUNDDOWN(MIN(G96*$D$12,IF($E$12="",9E+99,$E$12)),0),ROUNDUP(MIN(G96*$D$12,IF($E$12="",9E+99,$E$12)),0))))</f>
        <v/>
      </c>
      <c r="L96" s="19">
        <f>IF(G96="","",G96-MAX(I96:K96))</f>
        <v/>
      </c>
      <c r="M96" s="20">
        <f>IF(L96="","",IF(OR($D$16="",$H$16="X",L96&lt;N($C$16)),0,IF(B96="G마켓",ROUNDDOWN(MIN(L96*$D$16,IF($E$16="",9E+99,$E$16)),0),ROUNDUP(MIN(L96*$D$16,IF($E$16="",9E+99,$E$16)),0))))</f>
        <v/>
      </c>
      <c r="N96" s="20">
        <f>IF(L96="","",IF(OR($D$17="",$H$17="X",L96&lt;N($C$17)),0,IF(B96="G마켓",ROUNDDOWN(MIN(L96*$D$17,IF($E$17="",9E+99,$E$17)),0),ROUNDUP(MIN(L96*$D$17,IF($E$17="",9E+99,$E$17)),0))))</f>
        <v/>
      </c>
      <c r="O96" s="20">
        <f>IF(L96="","",IF(OR($D$18="",$H$18="X",L96&lt;N($C$18)),0,IF(B96="G마켓",ROUNDDOWN(MIN(L96*$D$18,IF($E$18="",9E+99,$E$18)),0),ROUNDUP(MIN(L96*$D$18,IF($E$18="",9E+99,$E$18)),0))))</f>
        <v/>
      </c>
      <c r="P96" s="20">
        <f>IF(L96="","",IF(OR($D$19="",$H$19="X",L96&lt;N($C$19)),0,IF(B96="G마켓",ROUNDDOWN(MIN(L96*$D$19,IF($E$19="",9E+99,$E$19)),0),ROUNDUP(MIN(L96*$D$19,IF($E$19="",9E+99,$E$19)),0))))</f>
        <v/>
      </c>
      <c r="Q96" s="19">
        <f>IF(G96="","",L96-MAX(M96:P96))</f>
        <v/>
      </c>
      <c r="R96" s="20">
        <f>IF(Q96="","",IF(OR($D$23="",Q96&lt;N($C$23)),0,IF(B96="G마켓",ROUNDDOWN(MIN(Q96*$D$23,IF($E$23="",9E+99,$E$23)),0),ROUNDUP(MIN(Q96*$D$23,IF($E$23="",9E+99,$E$23)),0))))</f>
        <v/>
      </c>
      <c r="S96" s="20">
        <f>IF(Q96="","",IF(OR($D$24="",Q96&lt;N($C$24)),0,IF(B96="G마켓",ROUNDDOWN(MIN(Q96*$D$24,IF($E$24="",9E+99,$E$24)),0),ROUNDUP(MIN(Q96*$D$24,IF($E$24="",9E+99,$E$24)),0))))</f>
        <v/>
      </c>
      <c r="T96" s="20">
        <f>IF(Q96="","",IF(OR($D$25="",Q96&lt;N($C$25)),0,IF(B96="G마켓",ROUNDDOWN(MIN(Q96*$D$25,IF($E$25="",9E+99,$E$25)),0),ROUNDUP(MIN(Q96*$D$25,IF($E$25="",9E+99,$E$25)),0))))</f>
        <v/>
      </c>
      <c r="U96" s="19">
        <f>IF(G96="","",MAX(R96:T96))</f>
        <v/>
      </c>
      <c r="V96" s="21">
        <f>IF(G96="","",Q96-U96)</f>
        <v/>
      </c>
      <c r="W96" s="19">
        <f>IF(G96="","",IF(B96="G마켓",ROUNDDOWN(MAX(I96*N($G$10),J96*N($G$11),K96*N($G$12))+MAX(M96*N($G$16),N96*N($G$17),O96*N($G$18),P96*N($G$19))+MAX(R96*N($G$23),S96*N($G$24),T96*N($G$25)),0),ROUNDUP(MAX(I96*N($G$10),J96*N($G$11),K96*N($G$12))+MAX(M96*N($G$16),N96*N($G$17),O96*N($G$18),P96*N($G$19))+MAX(R96*N($G$23),S96*N($G$24),T96*N($G$25)),0)))</f>
        <v/>
      </c>
      <c r="X96" s="21">
        <f>IF(G96="","",IF(B96="G마켓",ROUNDDOWN(G96-G96*$Q$6-W96,0),ROUNDUP(G96-G96*$Q$6-W96,0)))</f>
        <v/>
      </c>
    </row>
    <row r="97">
      <c r="B97" s="7" t="n"/>
      <c r="C97" s="7" t="n"/>
      <c r="D97" s="22" t="n"/>
      <c r="E97" s="23" t="n"/>
      <c r="F97" s="23" t="n"/>
      <c r="G97" s="19">
        <f>IF(E97="","",E97-N(F97))</f>
        <v/>
      </c>
      <c r="I97" s="20">
        <f>IF(G97="","",IF(OR($D$10="",$H$10="X",G97&lt;N($C$10)),0,IF(B97="G마켓",ROUNDDOWN(MIN(G97*$D$10,IF($E$10="",9E+99,$E$10)),0),ROUNDUP(MIN(G97*$D$10,IF($E$10="",9E+99,$E$10)),0))))</f>
        <v/>
      </c>
      <c r="J97" s="20">
        <f>IF(G97="","",IF(OR($D$11="",$H$11="X",G97&lt;N($C$11)),0,IF(B97="G마켓",ROUNDDOWN(MIN(G97*$D$11,IF($E$11="",9E+99,$E$11)),0),ROUNDUP(MIN(G97*$D$11,IF($E$11="",9E+99,$E$11)),0))))</f>
        <v/>
      </c>
      <c r="K97" s="20">
        <f>IF(G97="","",IF(OR($D$12="",$H$12="X",G97&lt;N($C$12)),0,IF(B97="G마켓",ROUNDDOWN(MIN(G97*$D$12,IF($E$12="",9E+99,$E$12)),0),ROUNDUP(MIN(G97*$D$12,IF($E$12="",9E+99,$E$12)),0))))</f>
        <v/>
      </c>
      <c r="L97" s="19">
        <f>IF(G97="","",G97-MAX(I97:K97))</f>
        <v/>
      </c>
      <c r="M97" s="20">
        <f>IF(L97="","",IF(OR($D$16="",$H$16="X",L97&lt;N($C$16)),0,IF(B97="G마켓",ROUNDDOWN(MIN(L97*$D$16,IF($E$16="",9E+99,$E$16)),0),ROUNDUP(MIN(L97*$D$16,IF($E$16="",9E+99,$E$16)),0))))</f>
        <v/>
      </c>
      <c r="N97" s="20">
        <f>IF(L97="","",IF(OR($D$17="",$H$17="X",L97&lt;N($C$17)),0,IF(B97="G마켓",ROUNDDOWN(MIN(L97*$D$17,IF($E$17="",9E+99,$E$17)),0),ROUNDUP(MIN(L97*$D$17,IF($E$17="",9E+99,$E$17)),0))))</f>
        <v/>
      </c>
      <c r="O97" s="20">
        <f>IF(L97="","",IF(OR($D$18="",$H$18="X",L97&lt;N($C$18)),0,IF(B97="G마켓",ROUNDDOWN(MIN(L97*$D$18,IF($E$18="",9E+99,$E$18)),0),ROUNDUP(MIN(L97*$D$18,IF($E$18="",9E+99,$E$18)),0))))</f>
        <v/>
      </c>
      <c r="P97" s="20">
        <f>IF(L97="","",IF(OR($D$19="",$H$19="X",L97&lt;N($C$19)),0,IF(B97="G마켓",ROUNDDOWN(MIN(L97*$D$19,IF($E$19="",9E+99,$E$19)),0),ROUNDUP(MIN(L97*$D$19,IF($E$19="",9E+99,$E$19)),0))))</f>
        <v/>
      </c>
      <c r="Q97" s="19">
        <f>IF(G97="","",L97-MAX(M97:P97))</f>
        <v/>
      </c>
      <c r="R97" s="20">
        <f>IF(Q97="","",IF(OR($D$23="",Q97&lt;N($C$23)),0,IF(B97="G마켓",ROUNDDOWN(MIN(Q97*$D$23,IF($E$23="",9E+99,$E$23)),0),ROUNDUP(MIN(Q97*$D$23,IF($E$23="",9E+99,$E$23)),0))))</f>
        <v/>
      </c>
      <c r="S97" s="20">
        <f>IF(Q97="","",IF(OR($D$24="",Q97&lt;N($C$24)),0,IF(B97="G마켓",ROUNDDOWN(MIN(Q97*$D$24,IF($E$24="",9E+99,$E$24)),0),ROUNDUP(MIN(Q97*$D$24,IF($E$24="",9E+99,$E$24)),0))))</f>
        <v/>
      </c>
      <c r="T97" s="20">
        <f>IF(Q97="","",IF(OR($D$25="",Q97&lt;N($C$25)),0,IF(B97="G마켓",ROUNDDOWN(MIN(Q97*$D$25,IF($E$25="",9E+99,$E$25)),0),ROUNDUP(MIN(Q97*$D$25,IF($E$25="",9E+99,$E$25)),0))))</f>
        <v/>
      </c>
      <c r="U97" s="19">
        <f>IF(G97="","",MAX(R97:T97))</f>
        <v/>
      </c>
      <c r="V97" s="21">
        <f>IF(G97="","",Q97-U97)</f>
        <v/>
      </c>
      <c r="W97" s="19">
        <f>IF(G97="","",IF(B97="G마켓",ROUNDDOWN(MAX(I97*N($G$10),J97*N($G$11),K97*N($G$12))+MAX(M97*N($G$16),N97*N($G$17),O97*N($G$18),P97*N($G$19))+MAX(R97*N($G$23),S97*N($G$24),T97*N($G$25)),0),ROUNDUP(MAX(I97*N($G$10),J97*N($G$11),K97*N($G$12))+MAX(M97*N($G$16),N97*N($G$17),O97*N($G$18),P97*N($G$19))+MAX(R97*N($G$23),S97*N($G$24),T97*N($G$25)),0)))</f>
        <v/>
      </c>
      <c r="X97" s="21">
        <f>IF(G97="","",IF(B97="G마켓",ROUNDDOWN(G97-G97*$Q$6-W97,0),ROUNDUP(G97-G97*$Q$6-W97,0)))</f>
        <v/>
      </c>
    </row>
    <row r="98">
      <c r="B98" s="7" t="n"/>
      <c r="C98" s="7" t="n"/>
      <c r="D98" s="22" t="n"/>
      <c r="E98" s="23" t="n"/>
      <c r="F98" s="23" t="n"/>
      <c r="G98" s="19">
        <f>IF(E98="","",E98-N(F98))</f>
        <v/>
      </c>
      <c r="I98" s="20">
        <f>IF(G98="","",IF(OR($D$10="",$H$10="X",G98&lt;N($C$10)),0,IF(B98="G마켓",ROUNDDOWN(MIN(G98*$D$10,IF($E$10="",9E+99,$E$10)),0),ROUNDUP(MIN(G98*$D$10,IF($E$10="",9E+99,$E$10)),0))))</f>
        <v/>
      </c>
      <c r="J98" s="20">
        <f>IF(G98="","",IF(OR($D$11="",$H$11="X",G98&lt;N($C$11)),0,IF(B98="G마켓",ROUNDDOWN(MIN(G98*$D$11,IF($E$11="",9E+99,$E$11)),0),ROUNDUP(MIN(G98*$D$11,IF($E$11="",9E+99,$E$11)),0))))</f>
        <v/>
      </c>
      <c r="K98" s="20">
        <f>IF(G98="","",IF(OR($D$12="",$H$12="X",G98&lt;N($C$12)),0,IF(B98="G마켓",ROUNDDOWN(MIN(G98*$D$12,IF($E$12="",9E+99,$E$12)),0),ROUNDUP(MIN(G98*$D$12,IF($E$12="",9E+99,$E$12)),0))))</f>
        <v/>
      </c>
      <c r="L98" s="19">
        <f>IF(G98="","",G98-MAX(I98:K98))</f>
        <v/>
      </c>
      <c r="M98" s="20">
        <f>IF(L98="","",IF(OR($D$16="",$H$16="X",L98&lt;N($C$16)),0,IF(B98="G마켓",ROUNDDOWN(MIN(L98*$D$16,IF($E$16="",9E+99,$E$16)),0),ROUNDUP(MIN(L98*$D$16,IF($E$16="",9E+99,$E$16)),0))))</f>
        <v/>
      </c>
      <c r="N98" s="20">
        <f>IF(L98="","",IF(OR($D$17="",$H$17="X",L98&lt;N($C$17)),0,IF(B98="G마켓",ROUNDDOWN(MIN(L98*$D$17,IF($E$17="",9E+99,$E$17)),0),ROUNDUP(MIN(L98*$D$17,IF($E$17="",9E+99,$E$17)),0))))</f>
        <v/>
      </c>
      <c r="O98" s="20">
        <f>IF(L98="","",IF(OR($D$18="",$H$18="X",L98&lt;N($C$18)),0,IF(B98="G마켓",ROUNDDOWN(MIN(L98*$D$18,IF($E$18="",9E+99,$E$18)),0),ROUNDUP(MIN(L98*$D$18,IF($E$18="",9E+99,$E$18)),0))))</f>
        <v/>
      </c>
      <c r="P98" s="20">
        <f>IF(L98="","",IF(OR($D$19="",$H$19="X",L98&lt;N($C$19)),0,IF(B98="G마켓",ROUNDDOWN(MIN(L98*$D$19,IF($E$19="",9E+99,$E$19)),0),ROUNDUP(MIN(L98*$D$19,IF($E$19="",9E+99,$E$19)),0))))</f>
        <v/>
      </c>
      <c r="Q98" s="19">
        <f>IF(G98="","",L98-MAX(M98:P98))</f>
        <v/>
      </c>
      <c r="R98" s="20">
        <f>IF(Q98="","",IF(OR($D$23="",Q98&lt;N($C$23)),0,IF(B98="G마켓",ROUNDDOWN(MIN(Q98*$D$23,IF($E$23="",9E+99,$E$23)),0),ROUNDUP(MIN(Q98*$D$23,IF($E$23="",9E+99,$E$23)),0))))</f>
        <v/>
      </c>
      <c r="S98" s="20">
        <f>IF(Q98="","",IF(OR($D$24="",Q98&lt;N($C$24)),0,IF(B98="G마켓",ROUNDDOWN(MIN(Q98*$D$24,IF($E$24="",9E+99,$E$24)),0),ROUNDUP(MIN(Q98*$D$24,IF($E$24="",9E+99,$E$24)),0))))</f>
        <v/>
      </c>
      <c r="T98" s="20">
        <f>IF(Q98="","",IF(OR($D$25="",Q98&lt;N($C$25)),0,IF(B98="G마켓",ROUNDDOWN(MIN(Q98*$D$25,IF($E$25="",9E+99,$E$25)),0),ROUNDUP(MIN(Q98*$D$25,IF($E$25="",9E+99,$E$25)),0))))</f>
        <v/>
      </c>
      <c r="U98" s="19">
        <f>IF(G98="","",MAX(R98:T98))</f>
        <v/>
      </c>
      <c r="V98" s="21">
        <f>IF(G98="","",Q98-U98)</f>
        <v/>
      </c>
      <c r="W98" s="19">
        <f>IF(G98="","",IF(B98="G마켓",ROUNDDOWN(MAX(I98*N($G$10),J98*N($G$11),K98*N($G$12))+MAX(M98*N($G$16),N98*N($G$17),O98*N($G$18),P98*N($G$19))+MAX(R98*N($G$23),S98*N($G$24),T98*N($G$25)),0),ROUNDUP(MAX(I98*N($G$10),J98*N($G$11),K98*N($G$12))+MAX(M98*N($G$16),N98*N($G$17),O98*N($G$18),P98*N($G$19))+MAX(R98*N($G$23),S98*N($G$24),T98*N($G$25)),0)))</f>
        <v/>
      </c>
      <c r="X98" s="21">
        <f>IF(G98="","",IF(B98="G마켓",ROUNDDOWN(G98-G98*$Q$6-W98,0),ROUNDUP(G98-G98*$Q$6-W98,0)))</f>
        <v/>
      </c>
    </row>
    <row r="99">
      <c r="B99" s="7" t="n"/>
      <c r="C99" s="7" t="n"/>
      <c r="D99" s="22" t="n"/>
      <c r="E99" s="23" t="n"/>
      <c r="F99" s="23" t="n"/>
      <c r="G99" s="19">
        <f>IF(E99="","",E99-N(F99))</f>
        <v/>
      </c>
      <c r="I99" s="20">
        <f>IF(G99="","",IF(OR($D$10="",$H$10="X",G99&lt;N($C$10)),0,IF(B99="G마켓",ROUNDDOWN(MIN(G99*$D$10,IF($E$10="",9E+99,$E$10)),0),ROUNDUP(MIN(G99*$D$10,IF($E$10="",9E+99,$E$10)),0))))</f>
        <v/>
      </c>
      <c r="J99" s="20">
        <f>IF(G99="","",IF(OR($D$11="",$H$11="X",G99&lt;N($C$11)),0,IF(B99="G마켓",ROUNDDOWN(MIN(G99*$D$11,IF($E$11="",9E+99,$E$11)),0),ROUNDUP(MIN(G99*$D$11,IF($E$11="",9E+99,$E$11)),0))))</f>
        <v/>
      </c>
      <c r="K99" s="20">
        <f>IF(G99="","",IF(OR($D$12="",$H$12="X",G99&lt;N($C$12)),0,IF(B99="G마켓",ROUNDDOWN(MIN(G99*$D$12,IF($E$12="",9E+99,$E$12)),0),ROUNDUP(MIN(G99*$D$12,IF($E$12="",9E+99,$E$12)),0))))</f>
        <v/>
      </c>
      <c r="L99" s="19">
        <f>IF(G99="","",G99-MAX(I99:K99))</f>
        <v/>
      </c>
      <c r="M99" s="20">
        <f>IF(L99="","",IF(OR($D$16="",$H$16="X",L99&lt;N($C$16)),0,IF(B99="G마켓",ROUNDDOWN(MIN(L99*$D$16,IF($E$16="",9E+99,$E$16)),0),ROUNDUP(MIN(L99*$D$16,IF($E$16="",9E+99,$E$16)),0))))</f>
        <v/>
      </c>
      <c r="N99" s="20">
        <f>IF(L99="","",IF(OR($D$17="",$H$17="X",L99&lt;N($C$17)),0,IF(B99="G마켓",ROUNDDOWN(MIN(L99*$D$17,IF($E$17="",9E+99,$E$17)),0),ROUNDUP(MIN(L99*$D$17,IF($E$17="",9E+99,$E$17)),0))))</f>
        <v/>
      </c>
      <c r="O99" s="20">
        <f>IF(L99="","",IF(OR($D$18="",$H$18="X",L99&lt;N($C$18)),0,IF(B99="G마켓",ROUNDDOWN(MIN(L99*$D$18,IF($E$18="",9E+99,$E$18)),0),ROUNDUP(MIN(L99*$D$18,IF($E$18="",9E+99,$E$18)),0))))</f>
        <v/>
      </c>
      <c r="P99" s="20">
        <f>IF(L99="","",IF(OR($D$19="",$H$19="X",L99&lt;N($C$19)),0,IF(B99="G마켓",ROUNDDOWN(MIN(L99*$D$19,IF($E$19="",9E+99,$E$19)),0),ROUNDUP(MIN(L99*$D$19,IF($E$19="",9E+99,$E$19)),0))))</f>
        <v/>
      </c>
      <c r="Q99" s="19">
        <f>IF(G99="","",L99-MAX(M99:P99))</f>
        <v/>
      </c>
      <c r="R99" s="20">
        <f>IF(Q99="","",IF(OR($D$23="",Q99&lt;N($C$23)),0,IF(B99="G마켓",ROUNDDOWN(MIN(Q99*$D$23,IF($E$23="",9E+99,$E$23)),0),ROUNDUP(MIN(Q99*$D$23,IF($E$23="",9E+99,$E$23)),0))))</f>
        <v/>
      </c>
      <c r="S99" s="20">
        <f>IF(Q99="","",IF(OR($D$24="",Q99&lt;N($C$24)),0,IF(B99="G마켓",ROUNDDOWN(MIN(Q99*$D$24,IF($E$24="",9E+99,$E$24)),0),ROUNDUP(MIN(Q99*$D$24,IF($E$24="",9E+99,$E$24)),0))))</f>
        <v/>
      </c>
      <c r="T99" s="20">
        <f>IF(Q99="","",IF(OR($D$25="",Q99&lt;N($C$25)),0,IF(B99="G마켓",ROUNDDOWN(MIN(Q99*$D$25,IF($E$25="",9E+99,$E$25)),0),ROUNDUP(MIN(Q99*$D$25,IF($E$25="",9E+99,$E$25)),0))))</f>
        <v/>
      </c>
      <c r="U99" s="19">
        <f>IF(G99="","",MAX(R99:T99))</f>
        <v/>
      </c>
      <c r="V99" s="21">
        <f>IF(G99="","",Q99-U99)</f>
        <v/>
      </c>
      <c r="W99" s="19">
        <f>IF(G99="","",IF(B99="G마켓",ROUNDDOWN(MAX(I99*N($G$10),J99*N($G$11),K99*N($G$12))+MAX(M99*N($G$16),N99*N($G$17),O99*N($G$18),P99*N($G$19))+MAX(R99*N($G$23),S99*N($G$24),T99*N($G$25)),0),ROUNDUP(MAX(I99*N($G$10),J99*N($G$11),K99*N($G$12))+MAX(M99*N($G$16),N99*N($G$17),O99*N($G$18),P99*N($G$19))+MAX(R99*N($G$23),S99*N($G$24),T99*N($G$25)),0)))</f>
        <v/>
      </c>
      <c r="X99" s="21">
        <f>IF(G99="","",IF(B99="G마켓",ROUNDDOWN(G99-G99*$Q$6-W99,0),ROUNDUP(G99-G99*$Q$6-W99,0)))</f>
        <v/>
      </c>
    </row>
    <row r="100">
      <c r="B100" s="7" t="n"/>
      <c r="C100" s="7" t="n"/>
      <c r="D100" s="22" t="n"/>
      <c r="E100" s="23" t="n"/>
      <c r="F100" s="23" t="n"/>
      <c r="G100" s="19">
        <f>IF(E100="","",E100-N(F100))</f>
        <v/>
      </c>
      <c r="I100" s="20">
        <f>IF(G100="","",IF(OR($D$10="",$H$10="X",G100&lt;N($C$10)),0,IF(B100="G마켓",ROUNDDOWN(MIN(G100*$D$10,IF($E$10="",9E+99,$E$10)),0),ROUNDUP(MIN(G100*$D$10,IF($E$10="",9E+99,$E$10)),0))))</f>
        <v/>
      </c>
      <c r="J100" s="20">
        <f>IF(G100="","",IF(OR($D$11="",$H$11="X",G100&lt;N($C$11)),0,IF(B100="G마켓",ROUNDDOWN(MIN(G100*$D$11,IF($E$11="",9E+99,$E$11)),0),ROUNDUP(MIN(G100*$D$11,IF($E$11="",9E+99,$E$11)),0))))</f>
        <v/>
      </c>
      <c r="K100" s="20">
        <f>IF(G100="","",IF(OR($D$12="",$H$12="X",G100&lt;N($C$12)),0,IF(B100="G마켓",ROUNDDOWN(MIN(G100*$D$12,IF($E$12="",9E+99,$E$12)),0),ROUNDUP(MIN(G100*$D$12,IF($E$12="",9E+99,$E$12)),0))))</f>
        <v/>
      </c>
      <c r="L100" s="19">
        <f>IF(G100="","",G100-MAX(I100:K100))</f>
        <v/>
      </c>
      <c r="M100" s="20">
        <f>IF(L100="","",IF(OR($D$16="",$H$16="X",L100&lt;N($C$16)),0,IF(B100="G마켓",ROUNDDOWN(MIN(L100*$D$16,IF($E$16="",9E+99,$E$16)),0),ROUNDUP(MIN(L100*$D$16,IF($E$16="",9E+99,$E$16)),0))))</f>
        <v/>
      </c>
      <c r="N100" s="20">
        <f>IF(L100="","",IF(OR($D$17="",$H$17="X",L100&lt;N($C$17)),0,IF(B100="G마켓",ROUNDDOWN(MIN(L100*$D$17,IF($E$17="",9E+99,$E$17)),0),ROUNDUP(MIN(L100*$D$17,IF($E$17="",9E+99,$E$17)),0))))</f>
        <v/>
      </c>
      <c r="O100" s="20">
        <f>IF(L100="","",IF(OR($D$18="",$H$18="X",L100&lt;N($C$18)),0,IF(B100="G마켓",ROUNDDOWN(MIN(L100*$D$18,IF($E$18="",9E+99,$E$18)),0),ROUNDUP(MIN(L100*$D$18,IF($E$18="",9E+99,$E$18)),0))))</f>
        <v/>
      </c>
      <c r="P100" s="20">
        <f>IF(L100="","",IF(OR($D$19="",$H$19="X",L100&lt;N($C$19)),0,IF(B100="G마켓",ROUNDDOWN(MIN(L100*$D$19,IF($E$19="",9E+99,$E$19)),0),ROUNDUP(MIN(L100*$D$19,IF($E$19="",9E+99,$E$19)),0))))</f>
        <v/>
      </c>
      <c r="Q100" s="19">
        <f>IF(G100="","",L100-MAX(M100:P100))</f>
        <v/>
      </c>
      <c r="R100" s="20">
        <f>IF(Q100="","",IF(OR($D$23="",Q100&lt;N($C$23)),0,IF(B100="G마켓",ROUNDDOWN(MIN(Q100*$D$23,IF($E$23="",9E+99,$E$23)),0),ROUNDUP(MIN(Q100*$D$23,IF($E$23="",9E+99,$E$23)),0))))</f>
        <v/>
      </c>
      <c r="S100" s="20">
        <f>IF(Q100="","",IF(OR($D$24="",Q100&lt;N($C$24)),0,IF(B100="G마켓",ROUNDDOWN(MIN(Q100*$D$24,IF($E$24="",9E+99,$E$24)),0),ROUNDUP(MIN(Q100*$D$24,IF($E$24="",9E+99,$E$24)),0))))</f>
        <v/>
      </c>
      <c r="T100" s="20">
        <f>IF(Q100="","",IF(OR($D$25="",Q100&lt;N($C$25)),0,IF(B100="G마켓",ROUNDDOWN(MIN(Q100*$D$25,IF($E$25="",9E+99,$E$25)),0),ROUNDUP(MIN(Q100*$D$25,IF($E$25="",9E+99,$E$25)),0))))</f>
        <v/>
      </c>
      <c r="U100" s="19">
        <f>IF(G100="","",MAX(R100:T100))</f>
        <v/>
      </c>
      <c r="V100" s="21">
        <f>IF(G100="","",Q100-U100)</f>
        <v/>
      </c>
      <c r="W100" s="19">
        <f>IF(G100="","",IF(B100="G마켓",ROUNDDOWN(MAX(I100*N($G$10),J100*N($G$11),K100*N($G$12))+MAX(M100*N($G$16),N100*N($G$17),O100*N($G$18),P100*N($G$19))+MAX(R100*N($G$23),S100*N($G$24),T100*N($G$25)),0),ROUNDUP(MAX(I100*N($G$10),J100*N($G$11),K100*N($G$12))+MAX(M100*N($G$16),N100*N($G$17),O100*N($G$18),P100*N($G$19))+MAX(R100*N($G$23),S100*N($G$24),T100*N($G$25)),0)))</f>
        <v/>
      </c>
      <c r="X100" s="21">
        <f>IF(G100="","",IF(B100="G마켓",ROUNDDOWN(G100-G100*$Q$6-W100,0),ROUNDUP(G100-G100*$Q$6-W100,0)))</f>
        <v/>
      </c>
    </row>
    <row r="101">
      <c r="B101" s="7" t="n"/>
      <c r="C101" s="7" t="n"/>
      <c r="D101" s="22" t="n"/>
      <c r="E101" s="23" t="n"/>
      <c r="F101" s="23" t="n"/>
      <c r="G101" s="19">
        <f>IF(E101="","",E101-N(F101))</f>
        <v/>
      </c>
      <c r="I101" s="20">
        <f>IF(G101="","",IF(OR($D$10="",$H$10="X",G101&lt;N($C$10)),0,IF(B101="G마켓",ROUNDDOWN(MIN(G101*$D$10,IF($E$10="",9E+99,$E$10)),0),ROUNDUP(MIN(G101*$D$10,IF($E$10="",9E+99,$E$10)),0))))</f>
        <v/>
      </c>
      <c r="J101" s="20">
        <f>IF(G101="","",IF(OR($D$11="",$H$11="X",G101&lt;N($C$11)),0,IF(B101="G마켓",ROUNDDOWN(MIN(G101*$D$11,IF($E$11="",9E+99,$E$11)),0),ROUNDUP(MIN(G101*$D$11,IF($E$11="",9E+99,$E$11)),0))))</f>
        <v/>
      </c>
      <c r="K101" s="20">
        <f>IF(G101="","",IF(OR($D$12="",$H$12="X",G101&lt;N($C$12)),0,IF(B101="G마켓",ROUNDDOWN(MIN(G101*$D$12,IF($E$12="",9E+99,$E$12)),0),ROUNDUP(MIN(G101*$D$12,IF($E$12="",9E+99,$E$12)),0))))</f>
        <v/>
      </c>
      <c r="L101" s="19">
        <f>IF(G101="","",G101-MAX(I101:K101))</f>
        <v/>
      </c>
      <c r="M101" s="20">
        <f>IF(L101="","",IF(OR($D$16="",$H$16="X",L101&lt;N($C$16)),0,IF(B101="G마켓",ROUNDDOWN(MIN(L101*$D$16,IF($E$16="",9E+99,$E$16)),0),ROUNDUP(MIN(L101*$D$16,IF($E$16="",9E+99,$E$16)),0))))</f>
        <v/>
      </c>
      <c r="N101" s="20">
        <f>IF(L101="","",IF(OR($D$17="",$H$17="X",L101&lt;N($C$17)),0,IF(B101="G마켓",ROUNDDOWN(MIN(L101*$D$17,IF($E$17="",9E+99,$E$17)),0),ROUNDUP(MIN(L101*$D$17,IF($E$17="",9E+99,$E$17)),0))))</f>
        <v/>
      </c>
      <c r="O101" s="20">
        <f>IF(L101="","",IF(OR($D$18="",$H$18="X",L101&lt;N($C$18)),0,IF(B101="G마켓",ROUNDDOWN(MIN(L101*$D$18,IF($E$18="",9E+99,$E$18)),0),ROUNDUP(MIN(L101*$D$18,IF($E$18="",9E+99,$E$18)),0))))</f>
        <v/>
      </c>
      <c r="P101" s="20">
        <f>IF(L101="","",IF(OR($D$19="",$H$19="X",L101&lt;N($C$19)),0,IF(B101="G마켓",ROUNDDOWN(MIN(L101*$D$19,IF($E$19="",9E+99,$E$19)),0),ROUNDUP(MIN(L101*$D$19,IF($E$19="",9E+99,$E$19)),0))))</f>
        <v/>
      </c>
      <c r="Q101" s="19">
        <f>IF(G101="","",L101-MAX(M101:P101))</f>
        <v/>
      </c>
      <c r="R101" s="20">
        <f>IF(Q101="","",IF(OR($D$23="",Q101&lt;N($C$23)),0,IF(B101="G마켓",ROUNDDOWN(MIN(Q101*$D$23,IF($E$23="",9E+99,$E$23)),0),ROUNDUP(MIN(Q101*$D$23,IF($E$23="",9E+99,$E$23)),0))))</f>
        <v/>
      </c>
      <c r="S101" s="20">
        <f>IF(Q101="","",IF(OR($D$24="",Q101&lt;N($C$24)),0,IF(B101="G마켓",ROUNDDOWN(MIN(Q101*$D$24,IF($E$24="",9E+99,$E$24)),0),ROUNDUP(MIN(Q101*$D$24,IF($E$24="",9E+99,$E$24)),0))))</f>
        <v/>
      </c>
      <c r="T101" s="20">
        <f>IF(Q101="","",IF(OR($D$25="",Q101&lt;N($C$25)),0,IF(B101="G마켓",ROUNDDOWN(MIN(Q101*$D$25,IF($E$25="",9E+99,$E$25)),0),ROUNDUP(MIN(Q101*$D$25,IF($E$25="",9E+99,$E$25)),0))))</f>
        <v/>
      </c>
      <c r="U101" s="19">
        <f>IF(G101="","",MAX(R101:T101))</f>
        <v/>
      </c>
      <c r="V101" s="21">
        <f>IF(G101="","",Q101-U101)</f>
        <v/>
      </c>
      <c r="W101" s="19">
        <f>IF(G101="","",IF(B101="G마켓",ROUNDDOWN(MAX(I101*N($G$10),J101*N($G$11),K101*N($G$12))+MAX(M101*N($G$16),N101*N($G$17),O101*N($G$18),P101*N($G$19))+MAX(R101*N($G$23),S101*N($G$24),T101*N($G$25)),0),ROUNDUP(MAX(I101*N($G$10),J101*N($G$11),K101*N($G$12))+MAX(M101*N($G$16),N101*N($G$17),O101*N($G$18),P101*N($G$19))+MAX(R101*N($G$23),S101*N($G$24),T101*N($G$25)),0)))</f>
        <v/>
      </c>
      <c r="X101" s="21">
        <f>IF(G101="","",IF(B101="G마켓",ROUNDDOWN(G101-G101*$Q$6-W101,0),ROUNDUP(G101-G101*$Q$6-W101,0)))</f>
        <v/>
      </c>
    </row>
    <row r="102">
      <c r="B102" s="7" t="n"/>
      <c r="C102" s="7" t="n"/>
      <c r="D102" s="22" t="n"/>
      <c r="E102" s="23" t="n"/>
      <c r="F102" s="23" t="n"/>
      <c r="G102" s="19">
        <f>IF(E102="","",E102-N(F102))</f>
        <v/>
      </c>
      <c r="I102" s="20">
        <f>IF(G102="","",IF(OR($D$10="",$H$10="X",G102&lt;N($C$10)),0,IF(B102="G마켓",ROUNDDOWN(MIN(G102*$D$10,IF($E$10="",9E+99,$E$10)),0),ROUNDUP(MIN(G102*$D$10,IF($E$10="",9E+99,$E$10)),0))))</f>
        <v/>
      </c>
      <c r="J102" s="20">
        <f>IF(G102="","",IF(OR($D$11="",$H$11="X",G102&lt;N($C$11)),0,IF(B102="G마켓",ROUNDDOWN(MIN(G102*$D$11,IF($E$11="",9E+99,$E$11)),0),ROUNDUP(MIN(G102*$D$11,IF($E$11="",9E+99,$E$11)),0))))</f>
        <v/>
      </c>
      <c r="K102" s="20">
        <f>IF(G102="","",IF(OR($D$12="",$H$12="X",G102&lt;N($C$12)),0,IF(B102="G마켓",ROUNDDOWN(MIN(G102*$D$12,IF($E$12="",9E+99,$E$12)),0),ROUNDUP(MIN(G102*$D$12,IF($E$12="",9E+99,$E$12)),0))))</f>
        <v/>
      </c>
      <c r="L102" s="19">
        <f>IF(G102="","",G102-MAX(I102:K102))</f>
        <v/>
      </c>
      <c r="M102" s="20">
        <f>IF(L102="","",IF(OR($D$16="",$H$16="X",L102&lt;N($C$16)),0,IF(B102="G마켓",ROUNDDOWN(MIN(L102*$D$16,IF($E$16="",9E+99,$E$16)),0),ROUNDUP(MIN(L102*$D$16,IF($E$16="",9E+99,$E$16)),0))))</f>
        <v/>
      </c>
      <c r="N102" s="20">
        <f>IF(L102="","",IF(OR($D$17="",$H$17="X",L102&lt;N($C$17)),0,IF(B102="G마켓",ROUNDDOWN(MIN(L102*$D$17,IF($E$17="",9E+99,$E$17)),0),ROUNDUP(MIN(L102*$D$17,IF($E$17="",9E+99,$E$17)),0))))</f>
        <v/>
      </c>
      <c r="O102" s="20">
        <f>IF(L102="","",IF(OR($D$18="",$H$18="X",L102&lt;N($C$18)),0,IF(B102="G마켓",ROUNDDOWN(MIN(L102*$D$18,IF($E$18="",9E+99,$E$18)),0),ROUNDUP(MIN(L102*$D$18,IF($E$18="",9E+99,$E$18)),0))))</f>
        <v/>
      </c>
      <c r="P102" s="20">
        <f>IF(L102="","",IF(OR($D$19="",$H$19="X",L102&lt;N($C$19)),0,IF(B102="G마켓",ROUNDDOWN(MIN(L102*$D$19,IF($E$19="",9E+99,$E$19)),0),ROUNDUP(MIN(L102*$D$19,IF($E$19="",9E+99,$E$19)),0))))</f>
        <v/>
      </c>
      <c r="Q102" s="19">
        <f>IF(G102="","",L102-MAX(M102:P102))</f>
        <v/>
      </c>
      <c r="R102" s="20">
        <f>IF(Q102="","",IF(OR($D$23="",Q102&lt;N($C$23)),0,IF(B102="G마켓",ROUNDDOWN(MIN(Q102*$D$23,IF($E$23="",9E+99,$E$23)),0),ROUNDUP(MIN(Q102*$D$23,IF($E$23="",9E+99,$E$23)),0))))</f>
        <v/>
      </c>
      <c r="S102" s="20">
        <f>IF(Q102="","",IF(OR($D$24="",Q102&lt;N($C$24)),0,IF(B102="G마켓",ROUNDDOWN(MIN(Q102*$D$24,IF($E$24="",9E+99,$E$24)),0),ROUNDUP(MIN(Q102*$D$24,IF($E$24="",9E+99,$E$24)),0))))</f>
        <v/>
      </c>
      <c r="T102" s="20">
        <f>IF(Q102="","",IF(OR($D$25="",Q102&lt;N($C$25)),0,IF(B102="G마켓",ROUNDDOWN(MIN(Q102*$D$25,IF($E$25="",9E+99,$E$25)),0),ROUNDUP(MIN(Q102*$D$25,IF($E$25="",9E+99,$E$25)),0))))</f>
        <v/>
      </c>
      <c r="U102" s="19">
        <f>IF(G102="","",MAX(R102:T102))</f>
        <v/>
      </c>
      <c r="V102" s="21">
        <f>IF(G102="","",Q102-U102)</f>
        <v/>
      </c>
      <c r="W102" s="19">
        <f>IF(G102="","",IF(B102="G마켓",ROUNDDOWN(MAX(I102*N($G$10),J102*N($G$11),K102*N($G$12))+MAX(M102*N($G$16),N102*N($G$17),O102*N($G$18),P102*N($G$19))+MAX(R102*N($G$23),S102*N($G$24),T102*N($G$25)),0),ROUNDUP(MAX(I102*N($G$10),J102*N($G$11),K102*N($G$12))+MAX(M102*N($G$16),N102*N($G$17),O102*N($G$18),P102*N($G$19))+MAX(R102*N($G$23),S102*N($G$24),T102*N($G$25)),0)))</f>
        <v/>
      </c>
      <c r="X102" s="21">
        <f>IF(G102="","",IF(B102="G마켓",ROUNDDOWN(G102-G102*$Q$6-W102,0),ROUNDUP(G102-G102*$Q$6-W102,0)))</f>
        <v/>
      </c>
    </row>
    <row r="103">
      <c r="B103" s="7" t="n"/>
      <c r="C103" s="7" t="n"/>
      <c r="D103" s="22" t="n"/>
      <c r="E103" s="23" t="n"/>
      <c r="F103" s="23" t="n"/>
      <c r="G103" s="19">
        <f>IF(E103="","",E103-N(F103))</f>
        <v/>
      </c>
      <c r="I103" s="20">
        <f>IF(G103="","",IF(OR($D$10="",$H$10="X",G103&lt;N($C$10)),0,IF(B103="G마켓",ROUNDDOWN(MIN(G103*$D$10,IF($E$10="",9E+99,$E$10)),0),ROUNDUP(MIN(G103*$D$10,IF($E$10="",9E+99,$E$10)),0))))</f>
        <v/>
      </c>
      <c r="J103" s="20">
        <f>IF(G103="","",IF(OR($D$11="",$H$11="X",G103&lt;N($C$11)),0,IF(B103="G마켓",ROUNDDOWN(MIN(G103*$D$11,IF($E$11="",9E+99,$E$11)),0),ROUNDUP(MIN(G103*$D$11,IF($E$11="",9E+99,$E$11)),0))))</f>
        <v/>
      </c>
      <c r="K103" s="20">
        <f>IF(G103="","",IF(OR($D$12="",$H$12="X",G103&lt;N($C$12)),0,IF(B103="G마켓",ROUNDDOWN(MIN(G103*$D$12,IF($E$12="",9E+99,$E$12)),0),ROUNDUP(MIN(G103*$D$12,IF($E$12="",9E+99,$E$12)),0))))</f>
        <v/>
      </c>
      <c r="L103" s="19">
        <f>IF(G103="","",G103-MAX(I103:K103))</f>
        <v/>
      </c>
      <c r="M103" s="20">
        <f>IF(L103="","",IF(OR($D$16="",$H$16="X",L103&lt;N($C$16)),0,IF(B103="G마켓",ROUNDDOWN(MIN(L103*$D$16,IF($E$16="",9E+99,$E$16)),0),ROUNDUP(MIN(L103*$D$16,IF($E$16="",9E+99,$E$16)),0))))</f>
        <v/>
      </c>
      <c r="N103" s="20">
        <f>IF(L103="","",IF(OR($D$17="",$H$17="X",L103&lt;N($C$17)),0,IF(B103="G마켓",ROUNDDOWN(MIN(L103*$D$17,IF($E$17="",9E+99,$E$17)),0),ROUNDUP(MIN(L103*$D$17,IF($E$17="",9E+99,$E$17)),0))))</f>
        <v/>
      </c>
      <c r="O103" s="20">
        <f>IF(L103="","",IF(OR($D$18="",$H$18="X",L103&lt;N($C$18)),0,IF(B103="G마켓",ROUNDDOWN(MIN(L103*$D$18,IF($E$18="",9E+99,$E$18)),0),ROUNDUP(MIN(L103*$D$18,IF($E$18="",9E+99,$E$18)),0))))</f>
        <v/>
      </c>
      <c r="P103" s="20">
        <f>IF(L103="","",IF(OR($D$19="",$H$19="X",L103&lt;N($C$19)),0,IF(B103="G마켓",ROUNDDOWN(MIN(L103*$D$19,IF($E$19="",9E+99,$E$19)),0),ROUNDUP(MIN(L103*$D$19,IF($E$19="",9E+99,$E$19)),0))))</f>
        <v/>
      </c>
      <c r="Q103" s="19">
        <f>IF(G103="","",L103-MAX(M103:P103))</f>
        <v/>
      </c>
      <c r="R103" s="20">
        <f>IF(Q103="","",IF(OR($D$23="",Q103&lt;N($C$23)),0,IF(B103="G마켓",ROUNDDOWN(MIN(Q103*$D$23,IF($E$23="",9E+99,$E$23)),0),ROUNDUP(MIN(Q103*$D$23,IF($E$23="",9E+99,$E$23)),0))))</f>
        <v/>
      </c>
      <c r="S103" s="20">
        <f>IF(Q103="","",IF(OR($D$24="",Q103&lt;N($C$24)),0,IF(B103="G마켓",ROUNDDOWN(MIN(Q103*$D$24,IF($E$24="",9E+99,$E$24)),0),ROUNDUP(MIN(Q103*$D$24,IF($E$24="",9E+99,$E$24)),0))))</f>
        <v/>
      </c>
      <c r="T103" s="20">
        <f>IF(Q103="","",IF(OR($D$25="",Q103&lt;N($C$25)),0,IF(B103="G마켓",ROUNDDOWN(MIN(Q103*$D$25,IF($E$25="",9E+99,$E$25)),0),ROUNDUP(MIN(Q103*$D$25,IF($E$25="",9E+99,$E$25)),0))))</f>
        <v/>
      </c>
      <c r="U103" s="19">
        <f>IF(G103="","",MAX(R103:T103))</f>
        <v/>
      </c>
      <c r="V103" s="21">
        <f>IF(G103="","",Q103-U103)</f>
        <v/>
      </c>
      <c r="W103" s="19">
        <f>IF(G103="","",IF(B103="G마켓",ROUNDDOWN(MAX(I103*N($G$10),J103*N($G$11),K103*N($G$12))+MAX(M103*N($G$16),N103*N($G$17),O103*N($G$18),P103*N($G$19))+MAX(R103*N($G$23),S103*N($G$24),T103*N($G$25)),0),ROUNDUP(MAX(I103*N($G$10),J103*N($G$11),K103*N($G$12))+MAX(M103*N($G$16),N103*N($G$17),O103*N($G$18),P103*N($G$19))+MAX(R103*N($G$23),S103*N($G$24),T103*N($G$25)),0)))</f>
        <v/>
      </c>
      <c r="X103" s="21">
        <f>IF(G103="","",IF(B103="G마켓",ROUNDDOWN(G103-G103*$Q$6-W103,0),ROUNDUP(G103-G103*$Q$6-W103,0)))</f>
        <v/>
      </c>
    </row>
    <row r="104">
      <c r="B104" s="7" t="n"/>
      <c r="C104" s="7" t="n"/>
      <c r="D104" s="22" t="n"/>
      <c r="E104" s="23" t="n"/>
      <c r="F104" s="23" t="n"/>
      <c r="G104" s="19">
        <f>IF(E104="","",E104-N(F104))</f>
        <v/>
      </c>
      <c r="I104" s="20">
        <f>IF(G104="","",IF(OR($D$10="",$H$10="X",G104&lt;N($C$10)),0,IF(B104="G마켓",ROUNDDOWN(MIN(G104*$D$10,IF($E$10="",9E+99,$E$10)),0),ROUNDUP(MIN(G104*$D$10,IF($E$10="",9E+99,$E$10)),0))))</f>
        <v/>
      </c>
      <c r="J104" s="20">
        <f>IF(G104="","",IF(OR($D$11="",$H$11="X",G104&lt;N($C$11)),0,IF(B104="G마켓",ROUNDDOWN(MIN(G104*$D$11,IF($E$11="",9E+99,$E$11)),0),ROUNDUP(MIN(G104*$D$11,IF($E$11="",9E+99,$E$11)),0))))</f>
        <v/>
      </c>
      <c r="K104" s="20">
        <f>IF(G104="","",IF(OR($D$12="",$H$12="X",G104&lt;N($C$12)),0,IF(B104="G마켓",ROUNDDOWN(MIN(G104*$D$12,IF($E$12="",9E+99,$E$12)),0),ROUNDUP(MIN(G104*$D$12,IF($E$12="",9E+99,$E$12)),0))))</f>
        <v/>
      </c>
      <c r="L104" s="19">
        <f>IF(G104="","",G104-MAX(I104:K104))</f>
        <v/>
      </c>
      <c r="M104" s="20">
        <f>IF(L104="","",IF(OR($D$16="",$H$16="X",L104&lt;N($C$16)),0,IF(B104="G마켓",ROUNDDOWN(MIN(L104*$D$16,IF($E$16="",9E+99,$E$16)),0),ROUNDUP(MIN(L104*$D$16,IF($E$16="",9E+99,$E$16)),0))))</f>
        <v/>
      </c>
      <c r="N104" s="20">
        <f>IF(L104="","",IF(OR($D$17="",$H$17="X",L104&lt;N($C$17)),0,IF(B104="G마켓",ROUNDDOWN(MIN(L104*$D$17,IF($E$17="",9E+99,$E$17)),0),ROUNDUP(MIN(L104*$D$17,IF($E$17="",9E+99,$E$17)),0))))</f>
        <v/>
      </c>
      <c r="O104" s="20">
        <f>IF(L104="","",IF(OR($D$18="",$H$18="X",L104&lt;N($C$18)),0,IF(B104="G마켓",ROUNDDOWN(MIN(L104*$D$18,IF($E$18="",9E+99,$E$18)),0),ROUNDUP(MIN(L104*$D$18,IF($E$18="",9E+99,$E$18)),0))))</f>
        <v/>
      </c>
      <c r="P104" s="20">
        <f>IF(L104="","",IF(OR($D$19="",$H$19="X",L104&lt;N($C$19)),0,IF(B104="G마켓",ROUNDDOWN(MIN(L104*$D$19,IF($E$19="",9E+99,$E$19)),0),ROUNDUP(MIN(L104*$D$19,IF($E$19="",9E+99,$E$19)),0))))</f>
        <v/>
      </c>
      <c r="Q104" s="19">
        <f>IF(G104="","",L104-MAX(M104:P104))</f>
        <v/>
      </c>
      <c r="R104" s="20">
        <f>IF(Q104="","",IF(OR($D$23="",Q104&lt;N($C$23)),0,IF(B104="G마켓",ROUNDDOWN(MIN(Q104*$D$23,IF($E$23="",9E+99,$E$23)),0),ROUNDUP(MIN(Q104*$D$23,IF($E$23="",9E+99,$E$23)),0))))</f>
        <v/>
      </c>
      <c r="S104" s="20">
        <f>IF(Q104="","",IF(OR($D$24="",Q104&lt;N($C$24)),0,IF(B104="G마켓",ROUNDDOWN(MIN(Q104*$D$24,IF($E$24="",9E+99,$E$24)),0),ROUNDUP(MIN(Q104*$D$24,IF($E$24="",9E+99,$E$24)),0))))</f>
        <v/>
      </c>
      <c r="T104" s="20">
        <f>IF(Q104="","",IF(OR($D$25="",Q104&lt;N($C$25)),0,IF(B104="G마켓",ROUNDDOWN(MIN(Q104*$D$25,IF($E$25="",9E+99,$E$25)),0),ROUNDUP(MIN(Q104*$D$25,IF($E$25="",9E+99,$E$25)),0))))</f>
        <v/>
      </c>
      <c r="U104" s="19">
        <f>IF(G104="","",MAX(R104:T104))</f>
        <v/>
      </c>
      <c r="V104" s="21">
        <f>IF(G104="","",Q104-U104)</f>
        <v/>
      </c>
      <c r="W104" s="19">
        <f>IF(G104="","",IF(B104="G마켓",ROUNDDOWN(MAX(I104*N($G$10),J104*N($G$11),K104*N($G$12))+MAX(M104*N($G$16),N104*N($G$17),O104*N($G$18),P104*N($G$19))+MAX(R104*N($G$23),S104*N($G$24),T104*N($G$25)),0),ROUNDUP(MAX(I104*N($G$10),J104*N($G$11),K104*N($G$12))+MAX(M104*N($G$16),N104*N($G$17),O104*N($G$18),P104*N($G$19))+MAX(R104*N($G$23),S104*N($G$24),T104*N($G$25)),0)))</f>
        <v/>
      </c>
      <c r="X104" s="21">
        <f>IF(G104="","",IF(B104="G마켓",ROUNDDOWN(G104-G104*$Q$6-W104,0),ROUNDUP(G104-G104*$Q$6-W104,0)))</f>
        <v/>
      </c>
    </row>
    <row r="105">
      <c r="B105" s="7" t="n"/>
      <c r="C105" s="7" t="n"/>
      <c r="D105" s="22" t="n"/>
      <c r="E105" s="23" t="n"/>
      <c r="F105" s="23" t="n"/>
      <c r="G105" s="19">
        <f>IF(E105="","",E105-N(F105))</f>
        <v/>
      </c>
      <c r="I105" s="20">
        <f>IF(G105="","",IF(OR($D$10="",$H$10="X",G105&lt;N($C$10)),0,IF(B105="G마켓",ROUNDDOWN(MIN(G105*$D$10,IF($E$10="",9E+99,$E$10)),0),ROUNDUP(MIN(G105*$D$10,IF($E$10="",9E+99,$E$10)),0))))</f>
        <v/>
      </c>
      <c r="J105" s="20">
        <f>IF(G105="","",IF(OR($D$11="",$H$11="X",G105&lt;N($C$11)),0,IF(B105="G마켓",ROUNDDOWN(MIN(G105*$D$11,IF($E$11="",9E+99,$E$11)),0),ROUNDUP(MIN(G105*$D$11,IF($E$11="",9E+99,$E$11)),0))))</f>
        <v/>
      </c>
      <c r="K105" s="20">
        <f>IF(G105="","",IF(OR($D$12="",$H$12="X",G105&lt;N($C$12)),0,IF(B105="G마켓",ROUNDDOWN(MIN(G105*$D$12,IF($E$12="",9E+99,$E$12)),0),ROUNDUP(MIN(G105*$D$12,IF($E$12="",9E+99,$E$12)),0))))</f>
        <v/>
      </c>
      <c r="L105" s="19">
        <f>IF(G105="","",G105-MAX(I105:K105))</f>
        <v/>
      </c>
      <c r="M105" s="20">
        <f>IF(L105="","",IF(OR($D$16="",$H$16="X",L105&lt;N($C$16)),0,IF(B105="G마켓",ROUNDDOWN(MIN(L105*$D$16,IF($E$16="",9E+99,$E$16)),0),ROUNDUP(MIN(L105*$D$16,IF($E$16="",9E+99,$E$16)),0))))</f>
        <v/>
      </c>
      <c r="N105" s="20">
        <f>IF(L105="","",IF(OR($D$17="",$H$17="X",L105&lt;N($C$17)),0,IF(B105="G마켓",ROUNDDOWN(MIN(L105*$D$17,IF($E$17="",9E+99,$E$17)),0),ROUNDUP(MIN(L105*$D$17,IF($E$17="",9E+99,$E$17)),0))))</f>
        <v/>
      </c>
      <c r="O105" s="20">
        <f>IF(L105="","",IF(OR($D$18="",$H$18="X",L105&lt;N($C$18)),0,IF(B105="G마켓",ROUNDDOWN(MIN(L105*$D$18,IF($E$18="",9E+99,$E$18)),0),ROUNDUP(MIN(L105*$D$18,IF($E$18="",9E+99,$E$18)),0))))</f>
        <v/>
      </c>
      <c r="P105" s="20">
        <f>IF(L105="","",IF(OR($D$19="",$H$19="X",L105&lt;N($C$19)),0,IF(B105="G마켓",ROUNDDOWN(MIN(L105*$D$19,IF($E$19="",9E+99,$E$19)),0),ROUNDUP(MIN(L105*$D$19,IF($E$19="",9E+99,$E$19)),0))))</f>
        <v/>
      </c>
      <c r="Q105" s="19">
        <f>IF(G105="","",L105-MAX(M105:P105))</f>
        <v/>
      </c>
      <c r="R105" s="20">
        <f>IF(Q105="","",IF(OR($D$23="",Q105&lt;N($C$23)),0,IF(B105="G마켓",ROUNDDOWN(MIN(Q105*$D$23,IF($E$23="",9E+99,$E$23)),0),ROUNDUP(MIN(Q105*$D$23,IF($E$23="",9E+99,$E$23)),0))))</f>
        <v/>
      </c>
      <c r="S105" s="20">
        <f>IF(Q105="","",IF(OR($D$24="",Q105&lt;N($C$24)),0,IF(B105="G마켓",ROUNDDOWN(MIN(Q105*$D$24,IF($E$24="",9E+99,$E$24)),0),ROUNDUP(MIN(Q105*$D$24,IF($E$24="",9E+99,$E$24)),0))))</f>
        <v/>
      </c>
      <c r="T105" s="20">
        <f>IF(Q105="","",IF(OR($D$25="",Q105&lt;N($C$25)),0,IF(B105="G마켓",ROUNDDOWN(MIN(Q105*$D$25,IF($E$25="",9E+99,$E$25)),0),ROUNDUP(MIN(Q105*$D$25,IF($E$25="",9E+99,$E$25)),0))))</f>
        <v/>
      </c>
      <c r="U105" s="19">
        <f>IF(G105="","",MAX(R105:T105))</f>
        <v/>
      </c>
      <c r="V105" s="21">
        <f>IF(G105="","",Q105-U105)</f>
        <v/>
      </c>
      <c r="W105" s="19">
        <f>IF(G105="","",IF(B105="G마켓",ROUNDDOWN(MAX(I105*N($G$10),J105*N($G$11),K105*N($G$12))+MAX(M105*N($G$16),N105*N($G$17),O105*N($G$18),P105*N($G$19))+MAX(R105*N($G$23),S105*N($G$24),T105*N($G$25)),0),ROUNDUP(MAX(I105*N($G$10),J105*N($G$11),K105*N($G$12))+MAX(M105*N($G$16),N105*N($G$17),O105*N($G$18),P105*N($G$19))+MAX(R105*N($G$23),S105*N($G$24),T105*N($G$25)),0)))</f>
        <v/>
      </c>
      <c r="X105" s="21">
        <f>IF(G105="","",IF(B105="G마켓",ROUNDDOWN(G105-G105*$Q$6-W105,0),ROUNDUP(G105-G105*$Q$6-W105,0)))</f>
        <v/>
      </c>
    </row>
    <row r="106">
      <c r="B106" s="7" t="n"/>
      <c r="C106" s="7" t="n"/>
      <c r="D106" s="22" t="n"/>
      <c r="E106" s="23" t="n"/>
      <c r="F106" s="23" t="n"/>
      <c r="G106" s="19">
        <f>IF(E106="","",E106-N(F106))</f>
        <v/>
      </c>
      <c r="I106" s="20">
        <f>IF(G106="","",IF(OR($D$10="",$H$10="X",G106&lt;N($C$10)),0,IF(B106="G마켓",ROUNDDOWN(MIN(G106*$D$10,IF($E$10="",9E+99,$E$10)),0),ROUNDUP(MIN(G106*$D$10,IF($E$10="",9E+99,$E$10)),0))))</f>
        <v/>
      </c>
      <c r="J106" s="20">
        <f>IF(G106="","",IF(OR($D$11="",$H$11="X",G106&lt;N($C$11)),0,IF(B106="G마켓",ROUNDDOWN(MIN(G106*$D$11,IF($E$11="",9E+99,$E$11)),0),ROUNDUP(MIN(G106*$D$11,IF($E$11="",9E+99,$E$11)),0))))</f>
        <v/>
      </c>
      <c r="K106" s="20">
        <f>IF(G106="","",IF(OR($D$12="",$H$12="X",G106&lt;N($C$12)),0,IF(B106="G마켓",ROUNDDOWN(MIN(G106*$D$12,IF($E$12="",9E+99,$E$12)),0),ROUNDUP(MIN(G106*$D$12,IF($E$12="",9E+99,$E$12)),0))))</f>
        <v/>
      </c>
      <c r="L106" s="19">
        <f>IF(G106="","",G106-MAX(I106:K106))</f>
        <v/>
      </c>
      <c r="M106" s="20">
        <f>IF(L106="","",IF(OR($D$16="",$H$16="X",L106&lt;N($C$16)),0,IF(B106="G마켓",ROUNDDOWN(MIN(L106*$D$16,IF($E$16="",9E+99,$E$16)),0),ROUNDUP(MIN(L106*$D$16,IF($E$16="",9E+99,$E$16)),0))))</f>
        <v/>
      </c>
      <c r="N106" s="20">
        <f>IF(L106="","",IF(OR($D$17="",$H$17="X",L106&lt;N($C$17)),0,IF(B106="G마켓",ROUNDDOWN(MIN(L106*$D$17,IF($E$17="",9E+99,$E$17)),0),ROUNDUP(MIN(L106*$D$17,IF($E$17="",9E+99,$E$17)),0))))</f>
        <v/>
      </c>
      <c r="O106" s="20">
        <f>IF(L106="","",IF(OR($D$18="",$H$18="X",L106&lt;N($C$18)),0,IF(B106="G마켓",ROUNDDOWN(MIN(L106*$D$18,IF($E$18="",9E+99,$E$18)),0),ROUNDUP(MIN(L106*$D$18,IF($E$18="",9E+99,$E$18)),0))))</f>
        <v/>
      </c>
      <c r="P106" s="20">
        <f>IF(L106="","",IF(OR($D$19="",$H$19="X",L106&lt;N($C$19)),0,IF(B106="G마켓",ROUNDDOWN(MIN(L106*$D$19,IF($E$19="",9E+99,$E$19)),0),ROUNDUP(MIN(L106*$D$19,IF($E$19="",9E+99,$E$19)),0))))</f>
        <v/>
      </c>
      <c r="Q106" s="19">
        <f>IF(G106="","",L106-MAX(M106:P106))</f>
        <v/>
      </c>
      <c r="R106" s="20">
        <f>IF(Q106="","",IF(OR($D$23="",Q106&lt;N($C$23)),0,IF(B106="G마켓",ROUNDDOWN(MIN(Q106*$D$23,IF($E$23="",9E+99,$E$23)),0),ROUNDUP(MIN(Q106*$D$23,IF($E$23="",9E+99,$E$23)),0))))</f>
        <v/>
      </c>
      <c r="S106" s="20">
        <f>IF(Q106="","",IF(OR($D$24="",Q106&lt;N($C$24)),0,IF(B106="G마켓",ROUNDDOWN(MIN(Q106*$D$24,IF($E$24="",9E+99,$E$24)),0),ROUNDUP(MIN(Q106*$D$24,IF($E$24="",9E+99,$E$24)),0))))</f>
        <v/>
      </c>
      <c r="T106" s="20">
        <f>IF(Q106="","",IF(OR($D$25="",Q106&lt;N($C$25)),0,IF(B106="G마켓",ROUNDDOWN(MIN(Q106*$D$25,IF($E$25="",9E+99,$E$25)),0),ROUNDUP(MIN(Q106*$D$25,IF($E$25="",9E+99,$E$25)),0))))</f>
        <v/>
      </c>
      <c r="U106" s="19">
        <f>IF(G106="","",MAX(R106:T106))</f>
        <v/>
      </c>
      <c r="V106" s="21">
        <f>IF(G106="","",Q106-U106)</f>
        <v/>
      </c>
      <c r="W106" s="19">
        <f>IF(G106="","",IF(B106="G마켓",ROUNDDOWN(MAX(I106*N($G$10),J106*N($G$11),K106*N($G$12))+MAX(M106*N($G$16),N106*N($G$17),O106*N($G$18),P106*N($G$19))+MAX(R106*N($G$23),S106*N($G$24),T106*N($G$25)),0),ROUNDUP(MAX(I106*N($G$10),J106*N($G$11),K106*N($G$12))+MAX(M106*N($G$16),N106*N($G$17),O106*N($G$18),P106*N($G$19))+MAX(R106*N($G$23),S106*N($G$24),T106*N($G$25)),0)))</f>
        <v/>
      </c>
      <c r="X106" s="21">
        <f>IF(G106="","",IF(B106="G마켓",ROUNDDOWN(G106-G106*$Q$6-W106,0),ROUNDUP(G106-G106*$Q$6-W106,0)))</f>
        <v/>
      </c>
    </row>
    <row r="107">
      <c r="B107" s="7" t="n"/>
      <c r="C107" s="7" t="n"/>
      <c r="D107" s="22" t="n"/>
      <c r="E107" s="23" t="n"/>
      <c r="F107" s="23" t="n"/>
      <c r="G107" s="19">
        <f>IF(E107="","",E107-N(F107))</f>
        <v/>
      </c>
      <c r="I107" s="20">
        <f>IF(G107="","",IF(OR($D$10="",$H$10="X",G107&lt;N($C$10)),0,IF(B107="G마켓",ROUNDDOWN(MIN(G107*$D$10,IF($E$10="",9E+99,$E$10)),0),ROUNDUP(MIN(G107*$D$10,IF($E$10="",9E+99,$E$10)),0))))</f>
        <v/>
      </c>
      <c r="J107" s="20">
        <f>IF(G107="","",IF(OR($D$11="",$H$11="X",G107&lt;N($C$11)),0,IF(B107="G마켓",ROUNDDOWN(MIN(G107*$D$11,IF($E$11="",9E+99,$E$11)),0),ROUNDUP(MIN(G107*$D$11,IF($E$11="",9E+99,$E$11)),0))))</f>
        <v/>
      </c>
      <c r="K107" s="20">
        <f>IF(G107="","",IF(OR($D$12="",$H$12="X",G107&lt;N($C$12)),0,IF(B107="G마켓",ROUNDDOWN(MIN(G107*$D$12,IF($E$12="",9E+99,$E$12)),0),ROUNDUP(MIN(G107*$D$12,IF($E$12="",9E+99,$E$12)),0))))</f>
        <v/>
      </c>
      <c r="L107" s="19">
        <f>IF(G107="","",G107-MAX(I107:K107))</f>
        <v/>
      </c>
      <c r="M107" s="20">
        <f>IF(L107="","",IF(OR($D$16="",$H$16="X",L107&lt;N($C$16)),0,IF(B107="G마켓",ROUNDDOWN(MIN(L107*$D$16,IF($E$16="",9E+99,$E$16)),0),ROUNDUP(MIN(L107*$D$16,IF($E$16="",9E+99,$E$16)),0))))</f>
        <v/>
      </c>
      <c r="N107" s="20">
        <f>IF(L107="","",IF(OR($D$17="",$H$17="X",L107&lt;N($C$17)),0,IF(B107="G마켓",ROUNDDOWN(MIN(L107*$D$17,IF($E$17="",9E+99,$E$17)),0),ROUNDUP(MIN(L107*$D$17,IF($E$17="",9E+99,$E$17)),0))))</f>
        <v/>
      </c>
      <c r="O107" s="20">
        <f>IF(L107="","",IF(OR($D$18="",$H$18="X",L107&lt;N($C$18)),0,IF(B107="G마켓",ROUNDDOWN(MIN(L107*$D$18,IF($E$18="",9E+99,$E$18)),0),ROUNDUP(MIN(L107*$D$18,IF($E$18="",9E+99,$E$18)),0))))</f>
        <v/>
      </c>
      <c r="P107" s="20">
        <f>IF(L107="","",IF(OR($D$19="",$H$19="X",L107&lt;N($C$19)),0,IF(B107="G마켓",ROUNDDOWN(MIN(L107*$D$19,IF($E$19="",9E+99,$E$19)),0),ROUNDUP(MIN(L107*$D$19,IF($E$19="",9E+99,$E$19)),0))))</f>
        <v/>
      </c>
      <c r="Q107" s="19">
        <f>IF(G107="","",L107-MAX(M107:P107))</f>
        <v/>
      </c>
      <c r="R107" s="20">
        <f>IF(Q107="","",IF(OR($D$23="",Q107&lt;N($C$23)),0,IF(B107="G마켓",ROUNDDOWN(MIN(Q107*$D$23,IF($E$23="",9E+99,$E$23)),0),ROUNDUP(MIN(Q107*$D$23,IF($E$23="",9E+99,$E$23)),0))))</f>
        <v/>
      </c>
      <c r="S107" s="20">
        <f>IF(Q107="","",IF(OR($D$24="",Q107&lt;N($C$24)),0,IF(B107="G마켓",ROUNDDOWN(MIN(Q107*$D$24,IF($E$24="",9E+99,$E$24)),0),ROUNDUP(MIN(Q107*$D$24,IF($E$24="",9E+99,$E$24)),0))))</f>
        <v/>
      </c>
      <c r="T107" s="20">
        <f>IF(Q107="","",IF(OR($D$25="",Q107&lt;N($C$25)),0,IF(B107="G마켓",ROUNDDOWN(MIN(Q107*$D$25,IF($E$25="",9E+99,$E$25)),0),ROUNDUP(MIN(Q107*$D$25,IF($E$25="",9E+99,$E$25)),0))))</f>
        <v/>
      </c>
      <c r="U107" s="19">
        <f>IF(G107="","",MAX(R107:T107))</f>
        <v/>
      </c>
      <c r="V107" s="21">
        <f>IF(G107="","",Q107-U107)</f>
        <v/>
      </c>
      <c r="W107" s="19">
        <f>IF(G107="","",IF(B107="G마켓",ROUNDDOWN(MAX(I107*N($G$10),J107*N($G$11),K107*N($G$12))+MAX(M107*N($G$16),N107*N($G$17),O107*N($G$18),P107*N($G$19))+MAX(R107*N($G$23),S107*N($G$24),T107*N($G$25)),0),ROUNDUP(MAX(I107*N($G$10),J107*N($G$11),K107*N($G$12))+MAX(M107*N($G$16),N107*N($G$17),O107*N($G$18),P107*N($G$19))+MAX(R107*N($G$23),S107*N($G$24),T107*N($G$25)),0)))</f>
        <v/>
      </c>
      <c r="X107" s="21">
        <f>IF(G107="","",IF(B107="G마켓",ROUNDDOWN(G107-G107*$Q$6-W107,0),ROUNDUP(G107-G107*$Q$6-W107,0)))</f>
        <v/>
      </c>
    </row>
    <row r="108">
      <c r="B108" s="7" t="n"/>
      <c r="C108" s="7" t="n"/>
      <c r="D108" s="22" t="n"/>
      <c r="E108" s="23" t="n"/>
      <c r="F108" s="23" t="n"/>
      <c r="G108" s="19">
        <f>IF(E108="","",E108-N(F108))</f>
        <v/>
      </c>
      <c r="I108" s="20">
        <f>IF(G108="","",IF(OR($D$10="",$H$10="X",G108&lt;N($C$10)),0,IF(B108="G마켓",ROUNDDOWN(MIN(G108*$D$10,IF($E$10="",9E+99,$E$10)),0),ROUNDUP(MIN(G108*$D$10,IF($E$10="",9E+99,$E$10)),0))))</f>
        <v/>
      </c>
      <c r="J108" s="20">
        <f>IF(G108="","",IF(OR($D$11="",$H$11="X",G108&lt;N($C$11)),0,IF(B108="G마켓",ROUNDDOWN(MIN(G108*$D$11,IF($E$11="",9E+99,$E$11)),0),ROUNDUP(MIN(G108*$D$11,IF($E$11="",9E+99,$E$11)),0))))</f>
        <v/>
      </c>
      <c r="K108" s="20">
        <f>IF(G108="","",IF(OR($D$12="",$H$12="X",G108&lt;N($C$12)),0,IF(B108="G마켓",ROUNDDOWN(MIN(G108*$D$12,IF($E$12="",9E+99,$E$12)),0),ROUNDUP(MIN(G108*$D$12,IF($E$12="",9E+99,$E$12)),0))))</f>
        <v/>
      </c>
      <c r="L108" s="19">
        <f>IF(G108="","",G108-MAX(I108:K108))</f>
        <v/>
      </c>
      <c r="M108" s="20">
        <f>IF(L108="","",IF(OR($D$16="",$H$16="X",L108&lt;N($C$16)),0,IF(B108="G마켓",ROUNDDOWN(MIN(L108*$D$16,IF($E$16="",9E+99,$E$16)),0),ROUNDUP(MIN(L108*$D$16,IF($E$16="",9E+99,$E$16)),0))))</f>
        <v/>
      </c>
      <c r="N108" s="20">
        <f>IF(L108="","",IF(OR($D$17="",$H$17="X",L108&lt;N($C$17)),0,IF(B108="G마켓",ROUNDDOWN(MIN(L108*$D$17,IF($E$17="",9E+99,$E$17)),0),ROUNDUP(MIN(L108*$D$17,IF($E$17="",9E+99,$E$17)),0))))</f>
        <v/>
      </c>
      <c r="O108" s="20">
        <f>IF(L108="","",IF(OR($D$18="",$H$18="X",L108&lt;N($C$18)),0,IF(B108="G마켓",ROUNDDOWN(MIN(L108*$D$18,IF($E$18="",9E+99,$E$18)),0),ROUNDUP(MIN(L108*$D$18,IF($E$18="",9E+99,$E$18)),0))))</f>
        <v/>
      </c>
      <c r="P108" s="20">
        <f>IF(L108="","",IF(OR($D$19="",$H$19="X",L108&lt;N($C$19)),0,IF(B108="G마켓",ROUNDDOWN(MIN(L108*$D$19,IF($E$19="",9E+99,$E$19)),0),ROUNDUP(MIN(L108*$D$19,IF($E$19="",9E+99,$E$19)),0))))</f>
        <v/>
      </c>
      <c r="Q108" s="19">
        <f>IF(G108="","",L108-MAX(M108:P108))</f>
        <v/>
      </c>
      <c r="R108" s="20">
        <f>IF(Q108="","",IF(OR($D$23="",Q108&lt;N($C$23)),0,IF(B108="G마켓",ROUNDDOWN(MIN(Q108*$D$23,IF($E$23="",9E+99,$E$23)),0),ROUNDUP(MIN(Q108*$D$23,IF($E$23="",9E+99,$E$23)),0))))</f>
        <v/>
      </c>
      <c r="S108" s="20">
        <f>IF(Q108="","",IF(OR($D$24="",Q108&lt;N($C$24)),0,IF(B108="G마켓",ROUNDDOWN(MIN(Q108*$D$24,IF($E$24="",9E+99,$E$24)),0),ROUNDUP(MIN(Q108*$D$24,IF($E$24="",9E+99,$E$24)),0))))</f>
        <v/>
      </c>
      <c r="T108" s="20">
        <f>IF(Q108="","",IF(OR($D$25="",Q108&lt;N($C$25)),0,IF(B108="G마켓",ROUNDDOWN(MIN(Q108*$D$25,IF($E$25="",9E+99,$E$25)),0),ROUNDUP(MIN(Q108*$D$25,IF($E$25="",9E+99,$E$25)),0))))</f>
        <v/>
      </c>
      <c r="U108" s="19">
        <f>IF(G108="","",MAX(R108:T108))</f>
        <v/>
      </c>
      <c r="V108" s="21">
        <f>IF(G108="","",Q108-U108)</f>
        <v/>
      </c>
      <c r="W108" s="19">
        <f>IF(G108="","",IF(B108="G마켓",ROUNDDOWN(MAX(I108*N($G$10),J108*N($G$11),K108*N($G$12))+MAX(M108*N($G$16),N108*N($G$17),O108*N($G$18),P108*N($G$19))+MAX(R108*N($G$23),S108*N($G$24),T108*N($G$25)),0),ROUNDUP(MAX(I108*N($G$10),J108*N($G$11),K108*N($G$12))+MAX(M108*N($G$16),N108*N($G$17),O108*N($G$18),P108*N($G$19))+MAX(R108*N($G$23),S108*N($G$24),T108*N($G$25)),0)))</f>
        <v/>
      </c>
      <c r="X108" s="21">
        <f>IF(G108="","",IF(B108="G마켓",ROUNDDOWN(G108-G108*$Q$6-W108,0),ROUNDUP(G108-G108*$Q$6-W108,0)))</f>
        <v/>
      </c>
    </row>
    <row r="109">
      <c r="B109" s="7" t="n"/>
      <c r="C109" s="7" t="n"/>
      <c r="D109" s="22" t="n"/>
      <c r="E109" s="23" t="n"/>
      <c r="F109" s="23" t="n"/>
      <c r="G109" s="19">
        <f>IF(E109="","",E109-N(F109))</f>
        <v/>
      </c>
      <c r="I109" s="20">
        <f>IF(G109="","",IF(OR($D$10="",$H$10="X",G109&lt;N($C$10)),0,IF(B109="G마켓",ROUNDDOWN(MIN(G109*$D$10,IF($E$10="",9E+99,$E$10)),0),ROUNDUP(MIN(G109*$D$10,IF($E$10="",9E+99,$E$10)),0))))</f>
        <v/>
      </c>
      <c r="J109" s="20">
        <f>IF(G109="","",IF(OR($D$11="",$H$11="X",G109&lt;N($C$11)),0,IF(B109="G마켓",ROUNDDOWN(MIN(G109*$D$11,IF($E$11="",9E+99,$E$11)),0),ROUNDUP(MIN(G109*$D$11,IF($E$11="",9E+99,$E$11)),0))))</f>
        <v/>
      </c>
      <c r="K109" s="20">
        <f>IF(G109="","",IF(OR($D$12="",$H$12="X",G109&lt;N($C$12)),0,IF(B109="G마켓",ROUNDDOWN(MIN(G109*$D$12,IF($E$12="",9E+99,$E$12)),0),ROUNDUP(MIN(G109*$D$12,IF($E$12="",9E+99,$E$12)),0))))</f>
        <v/>
      </c>
      <c r="L109" s="19">
        <f>IF(G109="","",G109-MAX(I109:K109))</f>
        <v/>
      </c>
      <c r="M109" s="20">
        <f>IF(L109="","",IF(OR($D$16="",$H$16="X",L109&lt;N($C$16)),0,IF(B109="G마켓",ROUNDDOWN(MIN(L109*$D$16,IF($E$16="",9E+99,$E$16)),0),ROUNDUP(MIN(L109*$D$16,IF($E$16="",9E+99,$E$16)),0))))</f>
        <v/>
      </c>
      <c r="N109" s="20">
        <f>IF(L109="","",IF(OR($D$17="",$H$17="X",L109&lt;N($C$17)),0,IF(B109="G마켓",ROUNDDOWN(MIN(L109*$D$17,IF($E$17="",9E+99,$E$17)),0),ROUNDUP(MIN(L109*$D$17,IF($E$17="",9E+99,$E$17)),0))))</f>
        <v/>
      </c>
      <c r="O109" s="20">
        <f>IF(L109="","",IF(OR($D$18="",$H$18="X",L109&lt;N($C$18)),0,IF(B109="G마켓",ROUNDDOWN(MIN(L109*$D$18,IF($E$18="",9E+99,$E$18)),0),ROUNDUP(MIN(L109*$D$18,IF($E$18="",9E+99,$E$18)),0))))</f>
        <v/>
      </c>
      <c r="P109" s="20">
        <f>IF(L109="","",IF(OR($D$19="",$H$19="X",L109&lt;N($C$19)),0,IF(B109="G마켓",ROUNDDOWN(MIN(L109*$D$19,IF($E$19="",9E+99,$E$19)),0),ROUNDUP(MIN(L109*$D$19,IF($E$19="",9E+99,$E$19)),0))))</f>
        <v/>
      </c>
      <c r="Q109" s="19">
        <f>IF(G109="","",L109-MAX(M109:P109))</f>
        <v/>
      </c>
      <c r="R109" s="20">
        <f>IF(Q109="","",IF(OR($D$23="",Q109&lt;N($C$23)),0,IF(B109="G마켓",ROUNDDOWN(MIN(Q109*$D$23,IF($E$23="",9E+99,$E$23)),0),ROUNDUP(MIN(Q109*$D$23,IF($E$23="",9E+99,$E$23)),0))))</f>
        <v/>
      </c>
      <c r="S109" s="20">
        <f>IF(Q109="","",IF(OR($D$24="",Q109&lt;N($C$24)),0,IF(B109="G마켓",ROUNDDOWN(MIN(Q109*$D$24,IF($E$24="",9E+99,$E$24)),0),ROUNDUP(MIN(Q109*$D$24,IF($E$24="",9E+99,$E$24)),0))))</f>
        <v/>
      </c>
      <c r="T109" s="20">
        <f>IF(Q109="","",IF(OR($D$25="",Q109&lt;N($C$25)),0,IF(B109="G마켓",ROUNDDOWN(MIN(Q109*$D$25,IF($E$25="",9E+99,$E$25)),0),ROUNDUP(MIN(Q109*$D$25,IF($E$25="",9E+99,$E$25)),0))))</f>
        <v/>
      </c>
      <c r="U109" s="19">
        <f>IF(G109="","",MAX(R109:T109))</f>
        <v/>
      </c>
      <c r="V109" s="21">
        <f>IF(G109="","",Q109-U109)</f>
        <v/>
      </c>
      <c r="W109" s="19">
        <f>IF(G109="","",IF(B109="G마켓",ROUNDDOWN(MAX(I109*N($G$10),J109*N($G$11),K109*N($G$12))+MAX(M109*N($G$16),N109*N($G$17),O109*N($G$18),P109*N($G$19))+MAX(R109*N($G$23),S109*N($G$24),T109*N($G$25)),0),ROUNDUP(MAX(I109*N($G$10),J109*N($G$11),K109*N($G$12))+MAX(M109*N($G$16),N109*N($G$17),O109*N($G$18),P109*N($G$19))+MAX(R109*N($G$23),S109*N($G$24),T109*N($G$25)),0)))</f>
        <v/>
      </c>
      <c r="X109" s="21">
        <f>IF(G109="","",IF(B109="G마켓",ROUNDDOWN(G109-G109*$Q$6-W109,0),ROUNDUP(G109-G109*$Q$6-W109,0)))</f>
        <v/>
      </c>
    </row>
    <row r="110">
      <c r="B110" s="7" t="n"/>
      <c r="C110" s="7" t="n"/>
      <c r="D110" s="22" t="n"/>
      <c r="E110" s="23" t="n"/>
      <c r="F110" s="23" t="n"/>
      <c r="G110" s="19">
        <f>IF(E110="","",E110-N(F110))</f>
        <v/>
      </c>
      <c r="I110" s="20">
        <f>IF(G110="","",IF(OR($D$10="",$H$10="X",G110&lt;N($C$10)),0,IF(B110="G마켓",ROUNDDOWN(MIN(G110*$D$10,IF($E$10="",9E+99,$E$10)),0),ROUNDUP(MIN(G110*$D$10,IF($E$10="",9E+99,$E$10)),0))))</f>
        <v/>
      </c>
      <c r="J110" s="20">
        <f>IF(G110="","",IF(OR($D$11="",$H$11="X",G110&lt;N($C$11)),0,IF(B110="G마켓",ROUNDDOWN(MIN(G110*$D$11,IF($E$11="",9E+99,$E$11)),0),ROUNDUP(MIN(G110*$D$11,IF($E$11="",9E+99,$E$11)),0))))</f>
        <v/>
      </c>
      <c r="K110" s="20">
        <f>IF(G110="","",IF(OR($D$12="",$H$12="X",G110&lt;N($C$12)),0,IF(B110="G마켓",ROUNDDOWN(MIN(G110*$D$12,IF($E$12="",9E+99,$E$12)),0),ROUNDUP(MIN(G110*$D$12,IF($E$12="",9E+99,$E$12)),0))))</f>
        <v/>
      </c>
      <c r="L110" s="19">
        <f>IF(G110="","",G110-MAX(I110:K110))</f>
        <v/>
      </c>
      <c r="M110" s="20">
        <f>IF(L110="","",IF(OR($D$16="",$H$16="X",L110&lt;N($C$16)),0,IF(B110="G마켓",ROUNDDOWN(MIN(L110*$D$16,IF($E$16="",9E+99,$E$16)),0),ROUNDUP(MIN(L110*$D$16,IF($E$16="",9E+99,$E$16)),0))))</f>
        <v/>
      </c>
      <c r="N110" s="20">
        <f>IF(L110="","",IF(OR($D$17="",$H$17="X",L110&lt;N($C$17)),0,IF(B110="G마켓",ROUNDDOWN(MIN(L110*$D$17,IF($E$17="",9E+99,$E$17)),0),ROUNDUP(MIN(L110*$D$17,IF($E$17="",9E+99,$E$17)),0))))</f>
        <v/>
      </c>
      <c r="O110" s="20">
        <f>IF(L110="","",IF(OR($D$18="",$H$18="X",L110&lt;N($C$18)),0,IF(B110="G마켓",ROUNDDOWN(MIN(L110*$D$18,IF($E$18="",9E+99,$E$18)),0),ROUNDUP(MIN(L110*$D$18,IF($E$18="",9E+99,$E$18)),0))))</f>
        <v/>
      </c>
      <c r="P110" s="20">
        <f>IF(L110="","",IF(OR($D$19="",$H$19="X",L110&lt;N($C$19)),0,IF(B110="G마켓",ROUNDDOWN(MIN(L110*$D$19,IF($E$19="",9E+99,$E$19)),0),ROUNDUP(MIN(L110*$D$19,IF($E$19="",9E+99,$E$19)),0))))</f>
        <v/>
      </c>
      <c r="Q110" s="19">
        <f>IF(G110="","",L110-MAX(M110:P110))</f>
        <v/>
      </c>
      <c r="R110" s="20">
        <f>IF(Q110="","",IF(OR($D$23="",Q110&lt;N($C$23)),0,IF(B110="G마켓",ROUNDDOWN(MIN(Q110*$D$23,IF($E$23="",9E+99,$E$23)),0),ROUNDUP(MIN(Q110*$D$23,IF($E$23="",9E+99,$E$23)),0))))</f>
        <v/>
      </c>
      <c r="S110" s="20">
        <f>IF(Q110="","",IF(OR($D$24="",Q110&lt;N($C$24)),0,IF(B110="G마켓",ROUNDDOWN(MIN(Q110*$D$24,IF($E$24="",9E+99,$E$24)),0),ROUNDUP(MIN(Q110*$D$24,IF($E$24="",9E+99,$E$24)),0))))</f>
        <v/>
      </c>
      <c r="T110" s="20">
        <f>IF(Q110="","",IF(OR($D$25="",Q110&lt;N($C$25)),0,IF(B110="G마켓",ROUNDDOWN(MIN(Q110*$D$25,IF($E$25="",9E+99,$E$25)),0),ROUNDUP(MIN(Q110*$D$25,IF($E$25="",9E+99,$E$25)),0))))</f>
        <v/>
      </c>
      <c r="U110" s="19">
        <f>IF(G110="","",MAX(R110:T110))</f>
        <v/>
      </c>
      <c r="V110" s="21">
        <f>IF(G110="","",Q110-U110)</f>
        <v/>
      </c>
      <c r="W110" s="19">
        <f>IF(G110="","",IF(B110="G마켓",ROUNDDOWN(MAX(I110*N($G$10),J110*N($G$11),K110*N($G$12))+MAX(M110*N($G$16),N110*N($G$17),O110*N($G$18),P110*N($G$19))+MAX(R110*N($G$23),S110*N($G$24),T110*N($G$25)),0),ROUNDUP(MAX(I110*N($G$10),J110*N($G$11),K110*N($G$12))+MAX(M110*N($G$16),N110*N($G$17),O110*N($G$18),P110*N($G$19))+MAX(R110*N($G$23),S110*N($G$24),T110*N($G$25)),0)))</f>
        <v/>
      </c>
      <c r="X110" s="21">
        <f>IF(G110="","",IF(B110="G마켓",ROUNDDOWN(G110-G110*$Q$6-W110,0),ROUNDUP(G110-G110*$Q$6-W110,0)))</f>
        <v/>
      </c>
    </row>
    <row r="111">
      <c r="B111" s="7" t="n"/>
      <c r="C111" s="7" t="n"/>
      <c r="D111" s="22" t="n"/>
      <c r="E111" s="23" t="n"/>
      <c r="F111" s="23" t="n"/>
      <c r="G111" s="19">
        <f>IF(E111="","",E111-N(F111))</f>
        <v/>
      </c>
      <c r="I111" s="20">
        <f>IF(G111="","",IF(OR($D$10="",$H$10="X",G111&lt;N($C$10)),0,IF(B111="G마켓",ROUNDDOWN(MIN(G111*$D$10,IF($E$10="",9E+99,$E$10)),0),ROUNDUP(MIN(G111*$D$10,IF($E$10="",9E+99,$E$10)),0))))</f>
        <v/>
      </c>
      <c r="J111" s="20">
        <f>IF(G111="","",IF(OR($D$11="",$H$11="X",G111&lt;N($C$11)),0,IF(B111="G마켓",ROUNDDOWN(MIN(G111*$D$11,IF($E$11="",9E+99,$E$11)),0),ROUNDUP(MIN(G111*$D$11,IF($E$11="",9E+99,$E$11)),0))))</f>
        <v/>
      </c>
      <c r="K111" s="20">
        <f>IF(G111="","",IF(OR($D$12="",$H$12="X",G111&lt;N($C$12)),0,IF(B111="G마켓",ROUNDDOWN(MIN(G111*$D$12,IF($E$12="",9E+99,$E$12)),0),ROUNDUP(MIN(G111*$D$12,IF($E$12="",9E+99,$E$12)),0))))</f>
        <v/>
      </c>
      <c r="L111" s="19">
        <f>IF(G111="","",G111-MAX(I111:K111))</f>
        <v/>
      </c>
      <c r="M111" s="20">
        <f>IF(L111="","",IF(OR($D$16="",$H$16="X",L111&lt;N($C$16)),0,IF(B111="G마켓",ROUNDDOWN(MIN(L111*$D$16,IF($E$16="",9E+99,$E$16)),0),ROUNDUP(MIN(L111*$D$16,IF($E$16="",9E+99,$E$16)),0))))</f>
        <v/>
      </c>
      <c r="N111" s="20">
        <f>IF(L111="","",IF(OR($D$17="",$H$17="X",L111&lt;N($C$17)),0,IF(B111="G마켓",ROUNDDOWN(MIN(L111*$D$17,IF($E$17="",9E+99,$E$17)),0),ROUNDUP(MIN(L111*$D$17,IF($E$17="",9E+99,$E$17)),0))))</f>
        <v/>
      </c>
      <c r="O111" s="20">
        <f>IF(L111="","",IF(OR($D$18="",$H$18="X",L111&lt;N($C$18)),0,IF(B111="G마켓",ROUNDDOWN(MIN(L111*$D$18,IF($E$18="",9E+99,$E$18)),0),ROUNDUP(MIN(L111*$D$18,IF($E$18="",9E+99,$E$18)),0))))</f>
        <v/>
      </c>
      <c r="P111" s="20">
        <f>IF(L111="","",IF(OR($D$19="",$H$19="X",L111&lt;N($C$19)),0,IF(B111="G마켓",ROUNDDOWN(MIN(L111*$D$19,IF($E$19="",9E+99,$E$19)),0),ROUNDUP(MIN(L111*$D$19,IF($E$19="",9E+99,$E$19)),0))))</f>
        <v/>
      </c>
      <c r="Q111" s="19">
        <f>IF(G111="","",L111-MAX(M111:P111))</f>
        <v/>
      </c>
      <c r="R111" s="20">
        <f>IF(Q111="","",IF(OR($D$23="",Q111&lt;N($C$23)),0,IF(B111="G마켓",ROUNDDOWN(MIN(Q111*$D$23,IF($E$23="",9E+99,$E$23)),0),ROUNDUP(MIN(Q111*$D$23,IF($E$23="",9E+99,$E$23)),0))))</f>
        <v/>
      </c>
      <c r="S111" s="20">
        <f>IF(Q111="","",IF(OR($D$24="",Q111&lt;N($C$24)),0,IF(B111="G마켓",ROUNDDOWN(MIN(Q111*$D$24,IF($E$24="",9E+99,$E$24)),0),ROUNDUP(MIN(Q111*$D$24,IF($E$24="",9E+99,$E$24)),0))))</f>
        <v/>
      </c>
      <c r="T111" s="20">
        <f>IF(Q111="","",IF(OR($D$25="",Q111&lt;N($C$25)),0,IF(B111="G마켓",ROUNDDOWN(MIN(Q111*$D$25,IF($E$25="",9E+99,$E$25)),0),ROUNDUP(MIN(Q111*$D$25,IF($E$25="",9E+99,$E$25)),0))))</f>
        <v/>
      </c>
      <c r="U111" s="19">
        <f>IF(G111="","",MAX(R111:T111))</f>
        <v/>
      </c>
      <c r="V111" s="21">
        <f>IF(G111="","",Q111-U111)</f>
        <v/>
      </c>
      <c r="W111" s="19">
        <f>IF(G111="","",IF(B111="G마켓",ROUNDDOWN(MAX(I111*N($G$10),J111*N($G$11),K111*N($G$12))+MAX(M111*N($G$16),N111*N($G$17),O111*N($G$18),P111*N($G$19))+MAX(R111*N($G$23),S111*N($G$24),T111*N($G$25)),0),ROUNDUP(MAX(I111*N($G$10),J111*N($G$11),K111*N($G$12))+MAX(M111*N($G$16),N111*N($G$17),O111*N($G$18),P111*N($G$19))+MAX(R111*N($G$23),S111*N($G$24),T111*N($G$25)),0)))</f>
        <v/>
      </c>
      <c r="X111" s="21">
        <f>IF(G111="","",IF(B111="G마켓",ROUNDDOWN(G111-G111*$Q$6-W111,0),ROUNDUP(G111-G111*$Q$6-W111,0)))</f>
        <v/>
      </c>
    </row>
    <row r="112">
      <c r="B112" s="7" t="n"/>
      <c r="C112" s="7" t="n"/>
      <c r="D112" s="22" t="n"/>
      <c r="E112" s="23" t="n"/>
      <c r="F112" s="23" t="n"/>
      <c r="G112" s="19">
        <f>IF(E112="","",E112-N(F112))</f>
        <v/>
      </c>
      <c r="I112" s="20">
        <f>IF(G112="","",IF(OR($D$10="",$H$10="X",G112&lt;N($C$10)),0,IF(B112="G마켓",ROUNDDOWN(MIN(G112*$D$10,IF($E$10="",9E+99,$E$10)),0),ROUNDUP(MIN(G112*$D$10,IF($E$10="",9E+99,$E$10)),0))))</f>
        <v/>
      </c>
      <c r="J112" s="20">
        <f>IF(G112="","",IF(OR($D$11="",$H$11="X",G112&lt;N($C$11)),0,IF(B112="G마켓",ROUNDDOWN(MIN(G112*$D$11,IF($E$11="",9E+99,$E$11)),0),ROUNDUP(MIN(G112*$D$11,IF($E$11="",9E+99,$E$11)),0))))</f>
        <v/>
      </c>
      <c r="K112" s="20">
        <f>IF(G112="","",IF(OR($D$12="",$H$12="X",G112&lt;N($C$12)),0,IF(B112="G마켓",ROUNDDOWN(MIN(G112*$D$12,IF($E$12="",9E+99,$E$12)),0),ROUNDUP(MIN(G112*$D$12,IF($E$12="",9E+99,$E$12)),0))))</f>
        <v/>
      </c>
      <c r="L112" s="19">
        <f>IF(G112="","",G112-MAX(I112:K112))</f>
        <v/>
      </c>
      <c r="M112" s="20">
        <f>IF(L112="","",IF(OR($D$16="",$H$16="X",L112&lt;N($C$16)),0,IF(B112="G마켓",ROUNDDOWN(MIN(L112*$D$16,IF($E$16="",9E+99,$E$16)),0),ROUNDUP(MIN(L112*$D$16,IF($E$16="",9E+99,$E$16)),0))))</f>
        <v/>
      </c>
      <c r="N112" s="20">
        <f>IF(L112="","",IF(OR($D$17="",$H$17="X",L112&lt;N($C$17)),0,IF(B112="G마켓",ROUNDDOWN(MIN(L112*$D$17,IF($E$17="",9E+99,$E$17)),0),ROUNDUP(MIN(L112*$D$17,IF($E$17="",9E+99,$E$17)),0))))</f>
        <v/>
      </c>
      <c r="O112" s="20">
        <f>IF(L112="","",IF(OR($D$18="",$H$18="X",L112&lt;N($C$18)),0,IF(B112="G마켓",ROUNDDOWN(MIN(L112*$D$18,IF($E$18="",9E+99,$E$18)),0),ROUNDUP(MIN(L112*$D$18,IF($E$18="",9E+99,$E$18)),0))))</f>
        <v/>
      </c>
      <c r="P112" s="20">
        <f>IF(L112="","",IF(OR($D$19="",$H$19="X",L112&lt;N($C$19)),0,IF(B112="G마켓",ROUNDDOWN(MIN(L112*$D$19,IF($E$19="",9E+99,$E$19)),0),ROUNDUP(MIN(L112*$D$19,IF($E$19="",9E+99,$E$19)),0))))</f>
        <v/>
      </c>
      <c r="Q112" s="19">
        <f>IF(G112="","",L112-MAX(M112:P112))</f>
        <v/>
      </c>
      <c r="R112" s="20">
        <f>IF(Q112="","",IF(OR($D$23="",Q112&lt;N($C$23)),0,IF(B112="G마켓",ROUNDDOWN(MIN(Q112*$D$23,IF($E$23="",9E+99,$E$23)),0),ROUNDUP(MIN(Q112*$D$23,IF($E$23="",9E+99,$E$23)),0))))</f>
        <v/>
      </c>
      <c r="S112" s="20">
        <f>IF(Q112="","",IF(OR($D$24="",Q112&lt;N($C$24)),0,IF(B112="G마켓",ROUNDDOWN(MIN(Q112*$D$24,IF($E$24="",9E+99,$E$24)),0),ROUNDUP(MIN(Q112*$D$24,IF($E$24="",9E+99,$E$24)),0))))</f>
        <v/>
      </c>
      <c r="T112" s="20">
        <f>IF(Q112="","",IF(OR($D$25="",Q112&lt;N($C$25)),0,IF(B112="G마켓",ROUNDDOWN(MIN(Q112*$D$25,IF($E$25="",9E+99,$E$25)),0),ROUNDUP(MIN(Q112*$D$25,IF($E$25="",9E+99,$E$25)),0))))</f>
        <v/>
      </c>
      <c r="U112" s="19">
        <f>IF(G112="","",MAX(R112:T112))</f>
        <v/>
      </c>
      <c r="V112" s="21">
        <f>IF(G112="","",Q112-U112)</f>
        <v/>
      </c>
      <c r="W112" s="19">
        <f>IF(G112="","",IF(B112="G마켓",ROUNDDOWN(MAX(I112*N($G$10),J112*N($G$11),K112*N($G$12))+MAX(M112*N($G$16),N112*N($G$17),O112*N($G$18),P112*N($G$19))+MAX(R112*N($G$23),S112*N($G$24),T112*N($G$25)),0),ROUNDUP(MAX(I112*N($G$10),J112*N($G$11),K112*N($G$12))+MAX(M112*N($G$16),N112*N($G$17),O112*N($G$18),P112*N($G$19))+MAX(R112*N($G$23),S112*N($G$24),T112*N($G$25)),0)))</f>
        <v/>
      </c>
      <c r="X112" s="21">
        <f>IF(G112="","",IF(B112="G마켓",ROUNDDOWN(G112-G112*$Q$6-W112,0),ROUNDUP(G112-G112*$Q$6-W112,0)))</f>
        <v/>
      </c>
    </row>
    <row r="113">
      <c r="B113" s="7" t="n"/>
      <c r="C113" s="7" t="n"/>
      <c r="D113" s="22" t="n"/>
      <c r="E113" s="23" t="n"/>
      <c r="F113" s="23" t="n"/>
      <c r="G113" s="19">
        <f>IF(E113="","",E113-N(F113))</f>
        <v/>
      </c>
      <c r="I113" s="20">
        <f>IF(G113="","",IF(OR($D$10="",$H$10="X",G113&lt;N($C$10)),0,IF(B113="G마켓",ROUNDDOWN(MIN(G113*$D$10,IF($E$10="",9E+99,$E$10)),0),ROUNDUP(MIN(G113*$D$10,IF($E$10="",9E+99,$E$10)),0))))</f>
        <v/>
      </c>
      <c r="J113" s="20">
        <f>IF(G113="","",IF(OR($D$11="",$H$11="X",G113&lt;N($C$11)),0,IF(B113="G마켓",ROUNDDOWN(MIN(G113*$D$11,IF($E$11="",9E+99,$E$11)),0),ROUNDUP(MIN(G113*$D$11,IF($E$11="",9E+99,$E$11)),0))))</f>
        <v/>
      </c>
      <c r="K113" s="20">
        <f>IF(G113="","",IF(OR($D$12="",$H$12="X",G113&lt;N($C$12)),0,IF(B113="G마켓",ROUNDDOWN(MIN(G113*$D$12,IF($E$12="",9E+99,$E$12)),0),ROUNDUP(MIN(G113*$D$12,IF($E$12="",9E+99,$E$12)),0))))</f>
        <v/>
      </c>
      <c r="L113" s="19">
        <f>IF(G113="","",G113-MAX(I113:K113))</f>
        <v/>
      </c>
      <c r="M113" s="20">
        <f>IF(L113="","",IF(OR($D$16="",$H$16="X",L113&lt;N($C$16)),0,IF(B113="G마켓",ROUNDDOWN(MIN(L113*$D$16,IF($E$16="",9E+99,$E$16)),0),ROUNDUP(MIN(L113*$D$16,IF($E$16="",9E+99,$E$16)),0))))</f>
        <v/>
      </c>
      <c r="N113" s="20">
        <f>IF(L113="","",IF(OR($D$17="",$H$17="X",L113&lt;N($C$17)),0,IF(B113="G마켓",ROUNDDOWN(MIN(L113*$D$17,IF($E$17="",9E+99,$E$17)),0),ROUNDUP(MIN(L113*$D$17,IF($E$17="",9E+99,$E$17)),0))))</f>
        <v/>
      </c>
      <c r="O113" s="20">
        <f>IF(L113="","",IF(OR($D$18="",$H$18="X",L113&lt;N($C$18)),0,IF(B113="G마켓",ROUNDDOWN(MIN(L113*$D$18,IF($E$18="",9E+99,$E$18)),0),ROUNDUP(MIN(L113*$D$18,IF($E$18="",9E+99,$E$18)),0))))</f>
        <v/>
      </c>
      <c r="P113" s="20">
        <f>IF(L113="","",IF(OR($D$19="",$H$19="X",L113&lt;N($C$19)),0,IF(B113="G마켓",ROUNDDOWN(MIN(L113*$D$19,IF($E$19="",9E+99,$E$19)),0),ROUNDUP(MIN(L113*$D$19,IF($E$19="",9E+99,$E$19)),0))))</f>
        <v/>
      </c>
      <c r="Q113" s="19">
        <f>IF(G113="","",L113-MAX(M113:P113))</f>
        <v/>
      </c>
      <c r="R113" s="20">
        <f>IF(Q113="","",IF(OR($D$23="",Q113&lt;N($C$23)),0,IF(B113="G마켓",ROUNDDOWN(MIN(Q113*$D$23,IF($E$23="",9E+99,$E$23)),0),ROUNDUP(MIN(Q113*$D$23,IF($E$23="",9E+99,$E$23)),0))))</f>
        <v/>
      </c>
      <c r="S113" s="20">
        <f>IF(Q113="","",IF(OR($D$24="",Q113&lt;N($C$24)),0,IF(B113="G마켓",ROUNDDOWN(MIN(Q113*$D$24,IF($E$24="",9E+99,$E$24)),0),ROUNDUP(MIN(Q113*$D$24,IF($E$24="",9E+99,$E$24)),0))))</f>
        <v/>
      </c>
      <c r="T113" s="20">
        <f>IF(Q113="","",IF(OR($D$25="",Q113&lt;N($C$25)),0,IF(B113="G마켓",ROUNDDOWN(MIN(Q113*$D$25,IF($E$25="",9E+99,$E$25)),0),ROUNDUP(MIN(Q113*$D$25,IF($E$25="",9E+99,$E$25)),0))))</f>
        <v/>
      </c>
      <c r="U113" s="19">
        <f>IF(G113="","",MAX(R113:T113))</f>
        <v/>
      </c>
      <c r="V113" s="21">
        <f>IF(G113="","",Q113-U113)</f>
        <v/>
      </c>
      <c r="W113" s="19">
        <f>IF(G113="","",IF(B113="G마켓",ROUNDDOWN(MAX(I113*N($G$10),J113*N($G$11),K113*N($G$12))+MAX(M113*N($G$16),N113*N($G$17),O113*N($G$18),P113*N($G$19))+MAX(R113*N($G$23),S113*N($G$24),T113*N($G$25)),0),ROUNDUP(MAX(I113*N($G$10),J113*N($G$11),K113*N($G$12))+MAX(M113*N($G$16),N113*N($G$17),O113*N($G$18),P113*N($G$19))+MAX(R113*N($G$23),S113*N($G$24),T113*N($G$25)),0)))</f>
        <v/>
      </c>
      <c r="X113" s="21">
        <f>IF(G113="","",IF(B113="G마켓",ROUNDDOWN(G113-G113*$Q$6-W113,0),ROUNDUP(G113-G113*$Q$6-W113,0)))</f>
        <v/>
      </c>
    </row>
    <row r="114">
      <c r="B114" s="7" t="n"/>
      <c r="C114" s="7" t="n"/>
      <c r="D114" s="22" t="n"/>
      <c r="E114" s="23" t="n"/>
      <c r="F114" s="23" t="n"/>
      <c r="G114" s="19">
        <f>IF(E114="","",E114-N(F114))</f>
        <v/>
      </c>
      <c r="I114" s="20">
        <f>IF(G114="","",IF(OR($D$10="",$H$10="X",G114&lt;N($C$10)),0,IF(B114="G마켓",ROUNDDOWN(MIN(G114*$D$10,IF($E$10="",9E+99,$E$10)),0),ROUNDUP(MIN(G114*$D$10,IF($E$10="",9E+99,$E$10)),0))))</f>
        <v/>
      </c>
      <c r="J114" s="20">
        <f>IF(G114="","",IF(OR($D$11="",$H$11="X",G114&lt;N($C$11)),0,IF(B114="G마켓",ROUNDDOWN(MIN(G114*$D$11,IF($E$11="",9E+99,$E$11)),0),ROUNDUP(MIN(G114*$D$11,IF($E$11="",9E+99,$E$11)),0))))</f>
        <v/>
      </c>
      <c r="K114" s="20">
        <f>IF(G114="","",IF(OR($D$12="",$H$12="X",G114&lt;N($C$12)),0,IF(B114="G마켓",ROUNDDOWN(MIN(G114*$D$12,IF($E$12="",9E+99,$E$12)),0),ROUNDUP(MIN(G114*$D$12,IF($E$12="",9E+99,$E$12)),0))))</f>
        <v/>
      </c>
      <c r="L114" s="19">
        <f>IF(G114="","",G114-MAX(I114:K114))</f>
        <v/>
      </c>
      <c r="M114" s="20">
        <f>IF(L114="","",IF(OR($D$16="",$H$16="X",L114&lt;N($C$16)),0,IF(B114="G마켓",ROUNDDOWN(MIN(L114*$D$16,IF($E$16="",9E+99,$E$16)),0),ROUNDUP(MIN(L114*$D$16,IF($E$16="",9E+99,$E$16)),0))))</f>
        <v/>
      </c>
      <c r="N114" s="20">
        <f>IF(L114="","",IF(OR($D$17="",$H$17="X",L114&lt;N($C$17)),0,IF(B114="G마켓",ROUNDDOWN(MIN(L114*$D$17,IF($E$17="",9E+99,$E$17)),0),ROUNDUP(MIN(L114*$D$17,IF($E$17="",9E+99,$E$17)),0))))</f>
        <v/>
      </c>
      <c r="O114" s="20">
        <f>IF(L114="","",IF(OR($D$18="",$H$18="X",L114&lt;N($C$18)),0,IF(B114="G마켓",ROUNDDOWN(MIN(L114*$D$18,IF($E$18="",9E+99,$E$18)),0),ROUNDUP(MIN(L114*$D$18,IF($E$18="",9E+99,$E$18)),0))))</f>
        <v/>
      </c>
      <c r="P114" s="20">
        <f>IF(L114="","",IF(OR($D$19="",$H$19="X",L114&lt;N($C$19)),0,IF(B114="G마켓",ROUNDDOWN(MIN(L114*$D$19,IF($E$19="",9E+99,$E$19)),0),ROUNDUP(MIN(L114*$D$19,IF($E$19="",9E+99,$E$19)),0))))</f>
        <v/>
      </c>
      <c r="Q114" s="19">
        <f>IF(G114="","",L114-MAX(M114:P114))</f>
        <v/>
      </c>
      <c r="R114" s="20">
        <f>IF(Q114="","",IF(OR($D$23="",Q114&lt;N($C$23)),0,IF(B114="G마켓",ROUNDDOWN(MIN(Q114*$D$23,IF($E$23="",9E+99,$E$23)),0),ROUNDUP(MIN(Q114*$D$23,IF($E$23="",9E+99,$E$23)),0))))</f>
        <v/>
      </c>
      <c r="S114" s="20">
        <f>IF(Q114="","",IF(OR($D$24="",Q114&lt;N($C$24)),0,IF(B114="G마켓",ROUNDDOWN(MIN(Q114*$D$24,IF($E$24="",9E+99,$E$24)),0),ROUNDUP(MIN(Q114*$D$24,IF($E$24="",9E+99,$E$24)),0))))</f>
        <v/>
      </c>
      <c r="T114" s="20">
        <f>IF(Q114="","",IF(OR($D$25="",Q114&lt;N($C$25)),0,IF(B114="G마켓",ROUNDDOWN(MIN(Q114*$D$25,IF($E$25="",9E+99,$E$25)),0),ROUNDUP(MIN(Q114*$D$25,IF($E$25="",9E+99,$E$25)),0))))</f>
        <v/>
      </c>
      <c r="U114" s="19">
        <f>IF(G114="","",MAX(R114:T114))</f>
        <v/>
      </c>
      <c r="V114" s="21">
        <f>IF(G114="","",Q114-U114)</f>
        <v/>
      </c>
      <c r="W114" s="19">
        <f>IF(G114="","",IF(B114="G마켓",ROUNDDOWN(MAX(I114*N($G$10),J114*N($G$11),K114*N($G$12))+MAX(M114*N($G$16),N114*N($G$17),O114*N($G$18),P114*N($G$19))+MAX(R114*N($G$23),S114*N($G$24),T114*N($G$25)),0),ROUNDUP(MAX(I114*N($G$10),J114*N($G$11),K114*N($G$12))+MAX(M114*N($G$16),N114*N($G$17),O114*N($G$18),P114*N($G$19))+MAX(R114*N($G$23),S114*N($G$24),T114*N($G$25)),0)))</f>
        <v/>
      </c>
      <c r="X114" s="21">
        <f>IF(G114="","",IF(B114="G마켓",ROUNDDOWN(G114-G114*$Q$6-W114,0),ROUNDUP(G114-G114*$Q$6-W114,0)))</f>
        <v/>
      </c>
    </row>
    <row r="115">
      <c r="B115" s="7" t="n"/>
      <c r="C115" s="7" t="n"/>
      <c r="D115" s="22" t="n"/>
      <c r="E115" s="23" t="n"/>
      <c r="F115" s="23" t="n"/>
      <c r="G115" s="19">
        <f>IF(E115="","",E115-N(F115))</f>
        <v/>
      </c>
      <c r="I115" s="20">
        <f>IF(G115="","",IF(OR($D$10="",$H$10="X",G115&lt;N($C$10)),0,IF(B115="G마켓",ROUNDDOWN(MIN(G115*$D$10,IF($E$10="",9E+99,$E$10)),0),ROUNDUP(MIN(G115*$D$10,IF($E$10="",9E+99,$E$10)),0))))</f>
        <v/>
      </c>
      <c r="J115" s="20">
        <f>IF(G115="","",IF(OR($D$11="",$H$11="X",G115&lt;N($C$11)),0,IF(B115="G마켓",ROUNDDOWN(MIN(G115*$D$11,IF($E$11="",9E+99,$E$11)),0),ROUNDUP(MIN(G115*$D$11,IF($E$11="",9E+99,$E$11)),0))))</f>
        <v/>
      </c>
      <c r="K115" s="20">
        <f>IF(G115="","",IF(OR($D$12="",$H$12="X",G115&lt;N($C$12)),0,IF(B115="G마켓",ROUNDDOWN(MIN(G115*$D$12,IF($E$12="",9E+99,$E$12)),0),ROUNDUP(MIN(G115*$D$12,IF($E$12="",9E+99,$E$12)),0))))</f>
        <v/>
      </c>
      <c r="L115" s="19">
        <f>IF(G115="","",G115-MAX(I115:K115))</f>
        <v/>
      </c>
      <c r="M115" s="20">
        <f>IF(L115="","",IF(OR($D$16="",$H$16="X",L115&lt;N($C$16)),0,IF(B115="G마켓",ROUNDDOWN(MIN(L115*$D$16,IF($E$16="",9E+99,$E$16)),0),ROUNDUP(MIN(L115*$D$16,IF($E$16="",9E+99,$E$16)),0))))</f>
        <v/>
      </c>
      <c r="N115" s="20">
        <f>IF(L115="","",IF(OR($D$17="",$H$17="X",L115&lt;N($C$17)),0,IF(B115="G마켓",ROUNDDOWN(MIN(L115*$D$17,IF($E$17="",9E+99,$E$17)),0),ROUNDUP(MIN(L115*$D$17,IF($E$17="",9E+99,$E$17)),0))))</f>
        <v/>
      </c>
      <c r="O115" s="20">
        <f>IF(L115="","",IF(OR($D$18="",$H$18="X",L115&lt;N($C$18)),0,IF(B115="G마켓",ROUNDDOWN(MIN(L115*$D$18,IF($E$18="",9E+99,$E$18)),0),ROUNDUP(MIN(L115*$D$18,IF($E$18="",9E+99,$E$18)),0))))</f>
        <v/>
      </c>
      <c r="P115" s="20">
        <f>IF(L115="","",IF(OR($D$19="",$H$19="X",L115&lt;N($C$19)),0,IF(B115="G마켓",ROUNDDOWN(MIN(L115*$D$19,IF($E$19="",9E+99,$E$19)),0),ROUNDUP(MIN(L115*$D$19,IF($E$19="",9E+99,$E$19)),0))))</f>
        <v/>
      </c>
      <c r="Q115" s="19">
        <f>IF(G115="","",L115-MAX(M115:P115))</f>
        <v/>
      </c>
      <c r="R115" s="20">
        <f>IF(Q115="","",IF(OR($D$23="",Q115&lt;N($C$23)),0,IF(B115="G마켓",ROUNDDOWN(MIN(Q115*$D$23,IF($E$23="",9E+99,$E$23)),0),ROUNDUP(MIN(Q115*$D$23,IF($E$23="",9E+99,$E$23)),0))))</f>
        <v/>
      </c>
      <c r="S115" s="20">
        <f>IF(Q115="","",IF(OR($D$24="",Q115&lt;N($C$24)),0,IF(B115="G마켓",ROUNDDOWN(MIN(Q115*$D$24,IF($E$24="",9E+99,$E$24)),0),ROUNDUP(MIN(Q115*$D$24,IF($E$24="",9E+99,$E$24)),0))))</f>
        <v/>
      </c>
      <c r="T115" s="20">
        <f>IF(Q115="","",IF(OR($D$25="",Q115&lt;N($C$25)),0,IF(B115="G마켓",ROUNDDOWN(MIN(Q115*$D$25,IF($E$25="",9E+99,$E$25)),0),ROUNDUP(MIN(Q115*$D$25,IF($E$25="",9E+99,$E$25)),0))))</f>
        <v/>
      </c>
      <c r="U115" s="19">
        <f>IF(G115="","",MAX(R115:T115))</f>
        <v/>
      </c>
      <c r="V115" s="21">
        <f>IF(G115="","",Q115-U115)</f>
        <v/>
      </c>
      <c r="W115" s="19">
        <f>IF(G115="","",IF(B115="G마켓",ROUNDDOWN(MAX(I115*N($G$10),J115*N($G$11),K115*N($G$12))+MAX(M115*N($G$16),N115*N($G$17),O115*N($G$18),P115*N($G$19))+MAX(R115*N($G$23),S115*N($G$24),T115*N($G$25)),0),ROUNDUP(MAX(I115*N($G$10),J115*N($G$11),K115*N($G$12))+MAX(M115*N($G$16),N115*N($G$17),O115*N($G$18),P115*N($G$19))+MAX(R115*N($G$23),S115*N($G$24),T115*N($G$25)),0)))</f>
        <v/>
      </c>
      <c r="X115" s="21">
        <f>IF(G115="","",IF(B115="G마켓",ROUNDDOWN(G115-G115*$Q$6-W115,0),ROUNDUP(G115-G115*$Q$6-W115,0)))</f>
        <v/>
      </c>
    </row>
    <row r="116">
      <c r="B116" s="7" t="n"/>
      <c r="C116" s="7" t="n"/>
      <c r="D116" s="22" t="n"/>
      <c r="E116" s="23" t="n"/>
      <c r="F116" s="23" t="n"/>
      <c r="G116" s="19">
        <f>IF(E116="","",E116-N(F116))</f>
        <v/>
      </c>
      <c r="I116" s="20">
        <f>IF(G116="","",IF(OR($D$10="",$H$10="X",G116&lt;N($C$10)),0,IF(B116="G마켓",ROUNDDOWN(MIN(G116*$D$10,IF($E$10="",9E+99,$E$10)),0),ROUNDUP(MIN(G116*$D$10,IF($E$10="",9E+99,$E$10)),0))))</f>
        <v/>
      </c>
      <c r="J116" s="20">
        <f>IF(G116="","",IF(OR($D$11="",$H$11="X",G116&lt;N($C$11)),0,IF(B116="G마켓",ROUNDDOWN(MIN(G116*$D$11,IF($E$11="",9E+99,$E$11)),0),ROUNDUP(MIN(G116*$D$11,IF($E$11="",9E+99,$E$11)),0))))</f>
        <v/>
      </c>
      <c r="K116" s="20">
        <f>IF(G116="","",IF(OR($D$12="",$H$12="X",G116&lt;N($C$12)),0,IF(B116="G마켓",ROUNDDOWN(MIN(G116*$D$12,IF($E$12="",9E+99,$E$12)),0),ROUNDUP(MIN(G116*$D$12,IF($E$12="",9E+99,$E$12)),0))))</f>
        <v/>
      </c>
      <c r="L116" s="19">
        <f>IF(G116="","",G116-MAX(I116:K116))</f>
        <v/>
      </c>
      <c r="M116" s="20">
        <f>IF(L116="","",IF(OR($D$16="",$H$16="X",L116&lt;N($C$16)),0,IF(B116="G마켓",ROUNDDOWN(MIN(L116*$D$16,IF($E$16="",9E+99,$E$16)),0),ROUNDUP(MIN(L116*$D$16,IF($E$16="",9E+99,$E$16)),0))))</f>
        <v/>
      </c>
      <c r="N116" s="20">
        <f>IF(L116="","",IF(OR($D$17="",$H$17="X",L116&lt;N($C$17)),0,IF(B116="G마켓",ROUNDDOWN(MIN(L116*$D$17,IF($E$17="",9E+99,$E$17)),0),ROUNDUP(MIN(L116*$D$17,IF($E$17="",9E+99,$E$17)),0))))</f>
        <v/>
      </c>
      <c r="O116" s="20">
        <f>IF(L116="","",IF(OR($D$18="",$H$18="X",L116&lt;N($C$18)),0,IF(B116="G마켓",ROUNDDOWN(MIN(L116*$D$18,IF($E$18="",9E+99,$E$18)),0),ROUNDUP(MIN(L116*$D$18,IF($E$18="",9E+99,$E$18)),0))))</f>
        <v/>
      </c>
      <c r="P116" s="20">
        <f>IF(L116="","",IF(OR($D$19="",$H$19="X",L116&lt;N($C$19)),0,IF(B116="G마켓",ROUNDDOWN(MIN(L116*$D$19,IF($E$19="",9E+99,$E$19)),0),ROUNDUP(MIN(L116*$D$19,IF($E$19="",9E+99,$E$19)),0))))</f>
        <v/>
      </c>
      <c r="Q116" s="19">
        <f>IF(G116="","",L116-MAX(M116:P116))</f>
        <v/>
      </c>
      <c r="R116" s="20">
        <f>IF(Q116="","",IF(OR($D$23="",Q116&lt;N($C$23)),0,IF(B116="G마켓",ROUNDDOWN(MIN(Q116*$D$23,IF($E$23="",9E+99,$E$23)),0),ROUNDUP(MIN(Q116*$D$23,IF($E$23="",9E+99,$E$23)),0))))</f>
        <v/>
      </c>
      <c r="S116" s="20">
        <f>IF(Q116="","",IF(OR($D$24="",Q116&lt;N($C$24)),0,IF(B116="G마켓",ROUNDDOWN(MIN(Q116*$D$24,IF($E$24="",9E+99,$E$24)),0),ROUNDUP(MIN(Q116*$D$24,IF($E$24="",9E+99,$E$24)),0))))</f>
        <v/>
      </c>
      <c r="T116" s="20">
        <f>IF(Q116="","",IF(OR($D$25="",Q116&lt;N($C$25)),0,IF(B116="G마켓",ROUNDDOWN(MIN(Q116*$D$25,IF($E$25="",9E+99,$E$25)),0),ROUNDUP(MIN(Q116*$D$25,IF($E$25="",9E+99,$E$25)),0))))</f>
        <v/>
      </c>
      <c r="U116" s="19">
        <f>IF(G116="","",MAX(R116:T116))</f>
        <v/>
      </c>
      <c r="V116" s="21">
        <f>IF(G116="","",Q116-U116)</f>
        <v/>
      </c>
      <c r="W116" s="19">
        <f>IF(G116="","",IF(B116="G마켓",ROUNDDOWN(MAX(I116*N($G$10),J116*N($G$11),K116*N($G$12))+MAX(M116*N($G$16),N116*N($G$17),O116*N($G$18),P116*N($G$19))+MAX(R116*N($G$23),S116*N($G$24),T116*N($G$25)),0),ROUNDUP(MAX(I116*N($G$10),J116*N($G$11),K116*N($G$12))+MAX(M116*N($G$16),N116*N($G$17),O116*N($G$18),P116*N($G$19))+MAX(R116*N($G$23),S116*N($G$24),T116*N($G$25)),0)))</f>
        <v/>
      </c>
      <c r="X116" s="21">
        <f>IF(G116="","",IF(B116="G마켓",ROUNDDOWN(G116-G116*$Q$6-W116,0),ROUNDUP(G116-G116*$Q$6-W116,0)))</f>
        <v/>
      </c>
    </row>
    <row r="117">
      <c r="B117" s="7" t="n"/>
      <c r="C117" s="7" t="n"/>
      <c r="D117" s="22" t="n"/>
      <c r="E117" s="23" t="n"/>
      <c r="F117" s="23" t="n"/>
      <c r="G117" s="19">
        <f>IF(E117="","",E117-N(F117))</f>
        <v/>
      </c>
      <c r="I117" s="20">
        <f>IF(G117="","",IF(OR($D$10="",$H$10="X",G117&lt;N($C$10)),0,IF(B117="G마켓",ROUNDDOWN(MIN(G117*$D$10,IF($E$10="",9E+99,$E$10)),0),ROUNDUP(MIN(G117*$D$10,IF($E$10="",9E+99,$E$10)),0))))</f>
        <v/>
      </c>
      <c r="J117" s="20">
        <f>IF(G117="","",IF(OR($D$11="",$H$11="X",G117&lt;N($C$11)),0,IF(B117="G마켓",ROUNDDOWN(MIN(G117*$D$11,IF($E$11="",9E+99,$E$11)),0),ROUNDUP(MIN(G117*$D$11,IF($E$11="",9E+99,$E$11)),0))))</f>
        <v/>
      </c>
      <c r="K117" s="20">
        <f>IF(G117="","",IF(OR($D$12="",$H$12="X",G117&lt;N($C$12)),0,IF(B117="G마켓",ROUNDDOWN(MIN(G117*$D$12,IF($E$12="",9E+99,$E$12)),0),ROUNDUP(MIN(G117*$D$12,IF($E$12="",9E+99,$E$12)),0))))</f>
        <v/>
      </c>
      <c r="L117" s="19">
        <f>IF(G117="","",G117-MAX(I117:K117))</f>
        <v/>
      </c>
      <c r="M117" s="20">
        <f>IF(L117="","",IF(OR($D$16="",$H$16="X",L117&lt;N($C$16)),0,IF(B117="G마켓",ROUNDDOWN(MIN(L117*$D$16,IF($E$16="",9E+99,$E$16)),0),ROUNDUP(MIN(L117*$D$16,IF($E$16="",9E+99,$E$16)),0))))</f>
        <v/>
      </c>
      <c r="N117" s="20">
        <f>IF(L117="","",IF(OR($D$17="",$H$17="X",L117&lt;N($C$17)),0,IF(B117="G마켓",ROUNDDOWN(MIN(L117*$D$17,IF($E$17="",9E+99,$E$17)),0),ROUNDUP(MIN(L117*$D$17,IF($E$17="",9E+99,$E$17)),0))))</f>
        <v/>
      </c>
      <c r="O117" s="20">
        <f>IF(L117="","",IF(OR($D$18="",$H$18="X",L117&lt;N($C$18)),0,IF(B117="G마켓",ROUNDDOWN(MIN(L117*$D$18,IF($E$18="",9E+99,$E$18)),0),ROUNDUP(MIN(L117*$D$18,IF($E$18="",9E+99,$E$18)),0))))</f>
        <v/>
      </c>
      <c r="P117" s="20">
        <f>IF(L117="","",IF(OR($D$19="",$H$19="X",L117&lt;N($C$19)),0,IF(B117="G마켓",ROUNDDOWN(MIN(L117*$D$19,IF($E$19="",9E+99,$E$19)),0),ROUNDUP(MIN(L117*$D$19,IF($E$19="",9E+99,$E$19)),0))))</f>
        <v/>
      </c>
      <c r="Q117" s="19">
        <f>IF(G117="","",L117-MAX(M117:P117))</f>
        <v/>
      </c>
      <c r="R117" s="20">
        <f>IF(Q117="","",IF(OR($D$23="",Q117&lt;N($C$23)),0,IF(B117="G마켓",ROUNDDOWN(MIN(Q117*$D$23,IF($E$23="",9E+99,$E$23)),0),ROUNDUP(MIN(Q117*$D$23,IF($E$23="",9E+99,$E$23)),0))))</f>
        <v/>
      </c>
      <c r="S117" s="20">
        <f>IF(Q117="","",IF(OR($D$24="",Q117&lt;N($C$24)),0,IF(B117="G마켓",ROUNDDOWN(MIN(Q117*$D$24,IF($E$24="",9E+99,$E$24)),0),ROUNDUP(MIN(Q117*$D$24,IF($E$24="",9E+99,$E$24)),0))))</f>
        <v/>
      </c>
      <c r="T117" s="20">
        <f>IF(Q117="","",IF(OR($D$25="",Q117&lt;N($C$25)),0,IF(B117="G마켓",ROUNDDOWN(MIN(Q117*$D$25,IF($E$25="",9E+99,$E$25)),0),ROUNDUP(MIN(Q117*$D$25,IF($E$25="",9E+99,$E$25)),0))))</f>
        <v/>
      </c>
      <c r="U117" s="19">
        <f>IF(G117="","",MAX(R117:T117))</f>
        <v/>
      </c>
      <c r="V117" s="21">
        <f>IF(G117="","",Q117-U117)</f>
        <v/>
      </c>
      <c r="W117" s="19">
        <f>IF(G117="","",IF(B117="G마켓",ROUNDDOWN(MAX(I117*N($G$10),J117*N($G$11),K117*N($G$12))+MAX(M117*N($G$16),N117*N($G$17),O117*N($G$18),P117*N($G$19))+MAX(R117*N($G$23),S117*N($G$24),T117*N($G$25)),0),ROUNDUP(MAX(I117*N($G$10),J117*N($G$11),K117*N($G$12))+MAX(M117*N($G$16),N117*N($G$17),O117*N($G$18),P117*N($G$19))+MAX(R117*N($G$23),S117*N($G$24),T117*N($G$25)),0)))</f>
        <v/>
      </c>
      <c r="X117" s="21">
        <f>IF(G117="","",IF(B117="G마켓",ROUNDDOWN(G117-G117*$Q$6-W117,0),ROUNDUP(G117-G117*$Q$6-W117,0)))</f>
        <v/>
      </c>
    </row>
    <row r="118">
      <c r="B118" s="7" t="n"/>
      <c r="C118" s="7" t="n"/>
      <c r="D118" s="22" t="n"/>
      <c r="E118" s="23" t="n"/>
      <c r="F118" s="23" t="n"/>
      <c r="G118" s="19">
        <f>IF(E118="","",E118-N(F118))</f>
        <v/>
      </c>
      <c r="I118" s="20">
        <f>IF(G118="","",IF(OR($D$10="",$H$10="X",G118&lt;N($C$10)),0,IF(B118="G마켓",ROUNDDOWN(MIN(G118*$D$10,IF($E$10="",9E+99,$E$10)),0),ROUNDUP(MIN(G118*$D$10,IF($E$10="",9E+99,$E$10)),0))))</f>
        <v/>
      </c>
      <c r="J118" s="20">
        <f>IF(G118="","",IF(OR($D$11="",$H$11="X",G118&lt;N($C$11)),0,IF(B118="G마켓",ROUNDDOWN(MIN(G118*$D$11,IF($E$11="",9E+99,$E$11)),0),ROUNDUP(MIN(G118*$D$11,IF($E$11="",9E+99,$E$11)),0))))</f>
        <v/>
      </c>
      <c r="K118" s="20">
        <f>IF(G118="","",IF(OR($D$12="",$H$12="X",G118&lt;N($C$12)),0,IF(B118="G마켓",ROUNDDOWN(MIN(G118*$D$12,IF($E$12="",9E+99,$E$12)),0),ROUNDUP(MIN(G118*$D$12,IF($E$12="",9E+99,$E$12)),0))))</f>
        <v/>
      </c>
      <c r="L118" s="19">
        <f>IF(G118="","",G118-MAX(I118:K118))</f>
        <v/>
      </c>
      <c r="M118" s="20">
        <f>IF(L118="","",IF(OR($D$16="",$H$16="X",L118&lt;N($C$16)),0,IF(B118="G마켓",ROUNDDOWN(MIN(L118*$D$16,IF($E$16="",9E+99,$E$16)),0),ROUNDUP(MIN(L118*$D$16,IF($E$16="",9E+99,$E$16)),0))))</f>
        <v/>
      </c>
      <c r="N118" s="20">
        <f>IF(L118="","",IF(OR($D$17="",$H$17="X",L118&lt;N($C$17)),0,IF(B118="G마켓",ROUNDDOWN(MIN(L118*$D$17,IF($E$17="",9E+99,$E$17)),0),ROUNDUP(MIN(L118*$D$17,IF($E$17="",9E+99,$E$17)),0))))</f>
        <v/>
      </c>
      <c r="O118" s="20">
        <f>IF(L118="","",IF(OR($D$18="",$H$18="X",L118&lt;N($C$18)),0,IF(B118="G마켓",ROUNDDOWN(MIN(L118*$D$18,IF($E$18="",9E+99,$E$18)),0),ROUNDUP(MIN(L118*$D$18,IF($E$18="",9E+99,$E$18)),0))))</f>
        <v/>
      </c>
      <c r="P118" s="20">
        <f>IF(L118="","",IF(OR($D$19="",$H$19="X",L118&lt;N($C$19)),0,IF(B118="G마켓",ROUNDDOWN(MIN(L118*$D$19,IF($E$19="",9E+99,$E$19)),0),ROUNDUP(MIN(L118*$D$19,IF($E$19="",9E+99,$E$19)),0))))</f>
        <v/>
      </c>
      <c r="Q118" s="19">
        <f>IF(G118="","",L118-MAX(M118:P118))</f>
        <v/>
      </c>
      <c r="R118" s="20">
        <f>IF(Q118="","",IF(OR($D$23="",Q118&lt;N($C$23)),0,IF(B118="G마켓",ROUNDDOWN(MIN(Q118*$D$23,IF($E$23="",9E+99,$E$23)),0),ROUNDUP(MIN(Q118*$D$23,IF($E$23="",9E+99,$E$23)),0))))</f>
        <v/>
      </c>
      <c r="S118" s="20">
        <f>IF(Q118="","",IF(OR($D$24="",Q118&lt;N($C$24)),0,IF(B118="G마켓",ROUNDDOWN(MIN(Q118*$D$24,IF($E$24="",9E+99,$E$24)),0),ROUNDUP(MIN(Q118*$D$24,IF($E$24="",9E+99,$E$24)),0))))</f>
        <v/>
      </c>
      <c r="T118" s="20">
        <f>IF(Q118="","",IF(OR($D$25="",Q118&lt;N($C$25)),0,IF(B118="G마켓",ROUNDDOWN(MIN(Q118*$D$25,IF($E$25="",9E+99,$E$25)),0),ROUNDUP(MIN(Q118*$D$25,IF($E$25="",9E+99,$E$25)),0))))</f>
        <v/>
      </c>
      <c r="U118" s="19">
        <f>IF(G118="","",MAX(R118:T118))</f>
        <v/>
      </c>
      <c r="V118" s="21">
        <f>IF(G118="","",Q118-U118)</f>
        <v/>
      </c>
      <c r="W118" s="19">
        <f>IF(G118="","",IF(B118="G마켓",ROUNDDOWN(MAX(I118*N($G$10),J118*N($G$11),K118*N($G$12))+MAX(M118*N($G$16),N118*N($G$17),O118*N($G$18),P118*N($G$19))+MAX(R118*N($G$23),S118*N($G$24),T118*N($G$25)),0),ROUNDUP(MAX(I118*N($G$10),J118*N($G$11),K118*N($G$12))+MAX(M118*N($G$16),N118*N($G$17),O118*N($G$18),P118*N($G$19))+MAX(R118*N($G$23),S118*N($G$24),T118*N($G$25)),0)))</f>
        <v/>
      </c>
      <c r="X118" s="21">
        <f>IF(G118="","",IF(B118="G마켓",ROUNDDOWN(G118-G118*$Q$6-W118,0),ROUNDUP(G118-G118*$Q$6-W118,0)))</f>
        <v/>
      </c>
    </row>
    <row r="119">
      <c r="B119" s="7" t="n"/>
      <c r="C119" s="7" t="n"/>
      <c r="D119" s="22" t="n"/>
      <c r="E119" s="23" t="n"/>
      <c r="F119" s="23" t="n"/>
      <c r="G119" s="19">
        <f>IF(E119="","",E119-N(F119))</f>
        <v/>
      </c>
      <c r="I119" s="20">
        <f>IF(G119="","",IF(OR($D$10="",$H$10="X",G119&lt;N($C$10)),0,IF(B119="G마켓",ROUNDDOWN(MIN(G119*$D$10,IF($E$10="",9E+99,$E$10)),0),ROUNDUP(MIN(G119*$D$10,IF($E$10="",9E+99,$E$10)),0))))</f>
        <v/>
      </c>
      <c r="J119" s="20">
        <f>IF(G119="","",IF(OR($D$11="",$H$11="X",G119&lt;N($C$11)),0,IF(B119="G마켓",ROUNDDOWN(MIN(G119*$D$11,IF($E$11="",9E+99,$E$11)),0),ROUNDUP(MIN(G119*$D$11,IF($E$11="",9E+99,$E$11)),0))))</f>
        <v/>
      </c>
      <c r="K119" s="20">
        <f>IF(G119="","",IF(OR($D$12="",$H$12="X",G119&lt;N($C$12)),0,IF(B119="G마켓",ROUNDDOWN(MIN(G119*$D$12,IF($E$12="",9E+99,$E$12)),0),ROUNDUP(MIN(G119*$D$12,IF($E$12="",9E+99,$E$12)),0))))</f>
        <v/>
      </c>
      <c r="L119" s="19">
        <f>IF(G119="","",G119-MAX(I119:K119))</f>
        <v/>
      </c>
      <c r="M119" s="20">
        <f>IF(L119="","",IF(OR($D$16="",$H$16="X",L119&lt;N($C$16)),0,IF(B119="G마켓",ROUNDDOWN(MIN(L119*$D$16,IF($E$16="",9E+99,$E$16)),0),ROUNDUP(MIN(L119*$D$16,IF($E$16="",9E+99,$E$16)),0))))</f>
        <v/>
      </c>
      <c r="N119" s="20">
        <f>IF(L119="","",IF(OR($D$17="",$H$17="X",L119&lt;N($C$17)),0,IF(B119="G마켓",ROUNDDOWN(MIN(L119*$D$17,IF($E$17="",9E+99,$E$17)),0),ROUNDUP(MIN(L119*$D$17,IF($E$17="",9E+99,$E$17)),0))))</f>
        <v/>
      </c>
      <c r="O119" s="20">
        <f>IF(L119="","",IF(OR($D$18="",$H$18="X",L119&lt;N($C$18)),0,IF(B119="G마켓",ROUNDDOWN(MIN(L119*$D$18,IF($E$18="",9E+99,$E$18)),0),ROUNDUP(MIN(L119*$D$18,IF($E$18="",9E+99,$E$18)),0))))</f>
        <v/>
      </c>
      <c r="P119" s="20">
        <f>IF(L119="","",IF(OR($D$19="",$H$19="X",L119&lt;N($C$19)),0,IF(B119="G마켓",ROUNDDOWN(MIN(L119*$D$19,IF($E$19="",9E+99,$E$19)),0),ROUNDUP(MIN(L119*$D$19,IF($E$19="",9E+99,$E$19)),0))))</f>
        <v/>
      </c>
      <c r="Q119" s="19">
        <f>IF(G119="","",L119-MAX(M119:P119))</f>
        <v/>
      </c>
      <c r="R119" s="20">
        <f>IF(Q119="","",IF(OR($D$23="",Q119&lt;N($C$23)),0,IF(B119="G마켓",ROUNDDOWN(MIN(Q119*$D$23,IF($E$23="",9E+99,$E$23)),0),ROUNDUP(MIN(Q119*$D$23,IF($E$23="",9E+99,$E$23)),0))))</f>
        <v/>
      </c>
      <c r="S119" s="20">
        <f>IF(Q119="","",IF(OR($D$24="",Q119&lt;N($C$24)),0,IF(B119="G마켓",ROUNDDOWN(MIN(Q119*$D$24,IF($E$24="",9E+99,$E$24)),0),ROUNDUP(MIN(Q119*$D$24,IF($E$24="",9E+99,$E$24)),0))))</f>
        <v/>
      </c>
      <c r="T119" s="20">
        <f>IF(Q119="","",IF(OR($D$25="",Q119&lt;N($C$25)),0,IF(B119="G마켓",ROUNDDOWN(MIN(Q119*$D$25,IF($E$25="",9E+99,$E$25)),0),ROUNDUP(MIN(Q119*$D$25,IF($E$25="",9E+99,$E$25)),0))))</f>
        <v/>
      </c>
      <c r="U119" s="19">
        <f>IF(G119="","",MAX(R119:T119))</f>
        <v/>
      </c>
      <c r="V119" s="21">
        <f>IF(G119="","",Q119-U119)</f>
        <v/>
      </c>
      <c r="W119" s="19">
        <f>IF(G119="","",IF(B119="G마켓",ROUNDDOWN(MAX(I119*N($G$10),J119*N($G$11),K119*N($G$12))+MAX(M119*N($G$16),N119*N($G$17),O119*N($G$18),P119*N($G$19))+MAX(R119*N($G$23),S119*N($G$24),T119*N($G$25)),0),ROUNDUP(MAX(I119*N($G$10),J119*N($G$11),K119*N($G$12))+MAX(M119*N($G$16),N119*N($G$17),O119*N($G$18),P119*N($G$19))+MAX(R119*N($G$23),S119*N($G$24),T119*N($G$25)),0)))</f>
        <v/>
      </c>
      <c r="X119" s="21">
        <f>IF(G119="","",IF(B119="G마켓",ROUNDDOWN(G119-G119*$Q$6-W119,0),ROUNDUP(G119-G119*$Q$6-W119,0)))</f>
        <v/>
      </c>
    </row>
    <row r="120">
      <c r="B120" s="7" t="n"/>
      <c r="C120" s="7" t="n"/>
      <c r="D120" s="22" t="n"/>
      <c r="E120" s="23" t="n"/>
      <c r="F120" s="23" t="n"/>
      <c r="G120" s="19">
        <f>IF(E120="","",E120-N(F120))</f>
        <v/>
      </c>
      <c r="I120" s="20">
        <f>IF(G120="","",IF(OR($D$10="",$H$10="X",G120&lt;N($C$10)),0,IF(B120="G마켓",ROUNDDOWN(MIN(G120*$D$10,IF($E$10="",9E+99,$E$10)),0),ROUNDUP(MIN(G120*$D$10,IF($E$10="",9E+99,$E$10)),0))))</f>
        <v/>
      </c>
      <c r="J120" s="20">
        <f>IF(G120="","",IF(OR($D$11="",$H$11="X",G120&lt;N($C$11)),0,IF(B120="G마켓",ROUNDDOWN(MIN(G120*$D$11,IF($E$11="",9E+99,$E$11)),0),ROUNDUP(MIN(G120*$D$11,IF($E$11="",9E+99,$E$11)),0))))</f>
        <v/>
      </c>
      <c r="K120" s="20">
        <f>IF(G120="","",IF(OR($D$12="",$H$12="X",G120&lt;N($C$12)),0,IF(B120="G마켓",ROUNDDOWN(MIN(G120*$D$12,IF($E$12="",9E+99,$E$12)),0),ROUNDUP(MIN(G120*$D$12,IF($E$12="",9E+99,$E$12)),0))))</f>
        <v/>
      </c>
      <c r="L120" s="19">
        <f>IF(G120="","",G120-MAX(I120:K120))</f>
        <v/>
      </c>
      <c r="M120" s="20">
        <f>IF(L120="","",IF(OR($D$16="",$H$16="X",L120&lt;N($C$16)),0,IF(B120="G마켓",ROUNDDOWN(MIN(L120*$D$16,IF($E$16="",9E+99,$E$16)),0),ROUNDUP(MIN(L120*$D$16,IF($E$16="",9E+99,$E$16)),0))))</f>
        <v/>
      </c>
      <c r="N120" s="20">
        <f>IF(L120="","",IF(OR($D$17="",$H$17="X",L120&lt;N($C$17)),0,IF(B120="G마켓",ROUNDDOWN(MIN(L120*$D$17,IF($E$17="",9E+99,$E$17)),0),ROUNDUP(MIN(L120*$D$17,IF($E$17="",9E+99,$E$17)),0))))</f>
        <v/>
      </c>
      <c r="O120" s="20">
        <f>IF(L120="","",IF(OR($D$18="",$H$18="X",L120&lt;N($C$18)),0,IF(B120="G마켓",ROUNDDOWN(MIN(L120*$D$18,IF($E$18="",9E+99,$E$18)),0),ROUNDUP(MIN(L120*$D$18,IF($E$18="",9E+99,$E$18)),0))))</f>
        <v/>
      </c>
      <c r="P120" s="20">
        <f>IF(L120="","",IF(OR($D$19="",$H$19="X",L120&lt;N($C$19)),0,IF(B120="G마켓",ROUNDDOWN(MIN(L120*$D$19,IF($E$19="",9E+99,$E$19)),0),ROUNDUP(MIN(L120*$D$19,IF($E$19="",9E+99,$E$19)),0))))</f>
        <v/>
      </c>
      <c r="Q120" s="19">
        <f>IF(G120="","",L120-MAX(M120:P120))</f>
        <v/>
      </c>
      <c r="R120" s="20">
        <f>IF(Q120="","",IF(OR($D$23="",Q120&lt;N($C$23)),0,IF(B120="G마켓",ROUNDDOWN(MIN(Q120*$D$23,IF($E$23="",9E+99,$E$23)),0),ROUNDUP(MIN(Q120*$D$23,IF($E$23="",9E+99,$E$23)),0))))</f>
        <v/>
      </c>
      <c r="S120" s="20">
        <f>IF(Q120="","",IF(OR($D$24="",Q120&lt;N($C$24)),0,IF(B120="G마켓",ROUNDDOWN(MIN(Q120*$D$24,IF($E$24="",9E+99,$E$24)),0),ROUNDUP(MIN(Q120*$D$24,IF($E$24="",9E+99,$E$24)),0))))</f>
        <v/>
      </c>
      <c r="T120" s="20">
        <f>IF(Q120="","",IF(OR($D$25="",Q120&lt;N($C$25)),0,IF(B120="G마켓",ROUNDDOWN(MIN(Q120*$D$25,IF($E$25="",9E+99,$E$25)),0),ROUNDUP(MIN(Q120*$D$25,IF($E$25="",9E+99,$E$25)),0))))</f>
        <v/>
      </c>
      <c r="U120" s="19">
        <f>IF(G120="","",MAX(R120:T120))</f>
        <v/>
      </c>
      <c r="V120" s="21">
        <f>IF(G120="","",Q120-U120)</f>
        <v/>
      </c>
      <c r="W120" s="19">
        <f>IF(G120="","",IF(B120="G마켓",ROUNDDOWN(MAX(I120*N($G$10),J120*N($G$11),K120*N($G$12))+MAX(M120*N($G$16),N120*N($G$17),O120*N($G$18),P120*N($G$19))+MAX(R120*N($G$23),S120*N($G$24),T120*N($G$25)),0),ROUNDUP(MAX(I120*N($G$10),J120*N($G$11),K120*N($G$12))+MAX(M120*N($G$16),N120*N($G$17),O120*N($G$18),P120*N($G$19))+MAX(R120*N($G$23),S120*N($G$24),T120*N($G$25)),0)))</f>
        <v/>
      </c>
      <c r="X120" s="21">
        <f>IF(G120="","",IF(B120="G마켓",ROUNDDOWN(G120-G120*$Q$6-W120,0),ROUNDUP(G120-G120*$Q$6-W120,0)))</f>
        <v/>
      </c>
    </row>
    <row r="121">
      <c r="B121" s="7" t="n"/>
      <c r="C121" s="7" t="n"/>
      <c r="D121" s="22" t="n"/>
      <c r="E121" s="23" t="n"/>
      <c r="F121" s="23" t="n"/>
      <c r="G121" s="19">
        <f>IF(E121="","",E121-N(F121))</f>
        <v/>
      </c>
      <c r="I121" s="20">
        <f>IF(G121="","",IF(OR($D$10="",$H$10="X",G121&lt;N($C$10)),0,IF(B121="G마켓",ROUNDDOWN(MIN(G121*$D$10,IF($E$10="",9E+99,$E$10)),0),ROUNDUP(MIN(G121*$D$10,IF($E$10="",9E+99,$E$10)),0))))</f>
        <v/>
      </c>
      <c r="J121" s="20">
        <f>IF(G121="","",IF(OR($D$11="",$H$11="X",G121&lt;N($C$11)),0,IF(B121="G마켓",ROUNDDOWN(MIN(G121*$D$11,IF($E$11="",9E+99,$E$11)),0),ROUNDUP(MIN(G121*$D$11,IF($E$11="",9E+99,$E$11)),0))))</f>
        <v/>
      </c>
      <c r="K121" s="20">
        <f>IF(G121="","",IF(OR($D$12="",$H$12="X",G121&lt;N($C$12)),0,IF(B121="G마켓",ROUNDDOWN(MIN(G121*$D$12,IF($E$12="",9E+99,$E$12)),0),ROUNDUP(MIN(G121*$D$12,IF($E$12="",9E+99,$E$12)),0))))</f>
        <v/>
      </c>
      <c r="L121" s="19">
        <f>IF(G121="","",G121-MAX(I121:K121))</f>
        <v/>
      </c>
      <c r="M121" s="20">
        <f>IF(L121="","",IF(OR($D$16="",$H$16="X",L121&lt;N($C$16)),0,IF(B121="G마켓",ROUNDDOWN(MIN(L121*$D$16,IF($E$16="",9E+99,$E$16)),0),ROUNDUP(MIN(L121*$D$16,IF($E$16="",9E+99,$E$16)),0))))</f>
        <v/>
      </c>
      <c r="N121" s="20">
        <f>IF(L121="","",IF(OR($D$17="",$H$17="X",L121&lt;N($C$17)),0,IF(B121="G마켓",ROUNDDOWN(MIN(L121*$D$17,IF($E$17="",9E+99,$E$17)),0),ROUNDUP(MIN(L121*$D$17,IF($E$17="",9E+99,$E$17)),0))))</f>
        <v/>
      </c>
      <c r="O121" s="20">
        <f>IF(L121="","",IF(OR($D$18="",$H$18="X",L121&lt;N($C$18)),0,IF(B121="G마켓",ROUNDDOWN(MIN(L121*$D$18,IF($E$18="",9E+99,$E$18)),0),ROUNDUP(MIN(L121*$D$18,IF($E$18="",9E+99,$E$18)),0))))</f>
        <v/>
      </c>
      <c r="P121" s="20">
        <f>IF(L121="","",IF(OR($D$19="",$H$19="X",L121&lt;N($C$19)),0,IF(B121="G마켓",ROUNDDOWN(MIN(L121*$D$19,IF($E$19="",9E+99,$E$19)),0),ROUNDUP(MIN(L121*$D$19,IF($E$19="",9E+99,$E$19)),0))))</f>
        <v/>
      </c>
      <c r="Q121" s="19">
        <f>IF(G121="","",L121-MAX(M121:P121))</f>
        <v/>
      </c>
      <c r="R121" s="20">
        <f>IF(Q121="","",IF(OR($D$23="",Q121&lt;N($C$23)),0,IF(B121="G마켓",ROUNDDOWN(MIN(Q121*$D$23,IF($E$23="",9E+99,$E$23)),0),ROUNDUP(MIN(Q121*$D$23,IF($E$23="",9E+99,$E$23)),0))))</f>
        <v/>
      </c>
      <c r="S121" s="20">
        <f>IF(Q121="","",IF(OR($D$24="",Q121&lt;N($C$24)),0,IF(B121="G마켓",ROUNDDOWN(MIN(Q121*$D$24,IF($E$24="",9E+99,$E$24)),0),ROUNDUP(MIN(Q121*$D$24,IF($E$24="",9E+99,$E$24)),0))))</f>
        <v/>
      </c>
      <c r="T121" s="20">
        <f>IF(Q121="","",IF(OR($D$25="",Q121&lt;N($C$25)),0,IF(B121="G마켓",ROUNDDOWN(MIN(Q121*$D$25,IF($E$25="",9E+99,$E$25)),0),ROUNDUP(MIN(Q121*$D$25,IF($E$25="",9E+99,$E$25)),0))))</f>
        <v/>
      </c>
      <c r="U121" s="19">
        <f>IF(G121="","",MAX(R121:T121))</f>
        <v/>
      </c>
      <c r="V121" s="21">
        <f>IF(G121="","",Q121-U121)</f>
        <v/>
      </c>
      <c r="W121" s="19">
        <f>IF(G121="","",IF(B121="G마켓",ROUNDDOWN(MAX(I121*N($G$10),J121*N($G$11),K121*N($G$12))+MAX(M121*N($G$16),N121*N($G$17),O121*N($G$18),P121*N($G$19))+MAX(R121*N($G$23),S121*N($G$24),T121*N($G$25)),0),ROUNDUP(MAX(I121*N($G$10),J121*N($G$11),K121*N($G$12))+MAX(M121*N($G$16),N121*N($G$17),O121*N($G$18),P121*N($G$19))+MAX(R121*N($G$23),S121*N($G$24),T121*N($G$25)),0)))</f>
        <v/>
      </c>
      <c r="X121" s="21">
        <f>IF(G121="","",IF(B121="G마켓",ROUNDDOWN(G121-G121*$Q$6-W121,0),ROUNDUP(G121-G121*$Q$6-W121,0)))</f>
        <v/>
      </c>
    </row>
    <row r="122">
      <c r="B122" s="7" t="n"/>
      <c r="C122" s="7" t="n"/>
      <c r="D122" s="22" t="n"/>
      <c r="E122" s="23" t="n"/>
      <c r="F122" s="23" t="n"/>
      <c r="G122" s="19">
        <f>IF(E122="","",E122-N(F122))</f>
        <v/>
      </c>
      <c r="I122" s="20">
        <f>IF(G122="","",IF(OR($D$10="",$H$10="X",G122&lt;N($C$10)),0,IF(B122="G마켓",ROUNDDOWN(MIN(G122*$D$10,IF($E$10="",9E+99,$E$10)),0),ROUNDUP(MIN(G122*$D$10,IF($E$10="",9E+99,$E$10)),0))))</f>
        <v/>
      </c>
      <c r="J122" s="20">
        <f>IF(G122="","",IF(OR($D$11="",$H$11="X",G122&lt;N($C$11)),0,IF(B122="G마켓",ROUNDDOWN(MIN(G122*$D$11,IF($E$11="",9E+99,$E$11)),0),ROUNDUP(MIN(G122*$D$11,IF($E$11="",9E+99,$E$11)),0))))</f>
        <v/>
      </c>
      <c r="K122" s="20">
        <f>IF(G122="","",IF(OR($D$12="",$H$12="X",G122&lt;N($C$12)),0,IF(B122="G마켓",ROUNDDOWN(MIN(G122*$D$12,IF($E$12="",9E+99,$E$12)),0),ROUNDUP(MIN(G122*$D$12,IF($E$12="",9E+99,$E$12)),0))))</f>
        <v/>
      </c>
      <c r="L122" s="19">
        <f>IF(G122="","",G122-MAX(I122:K122))</f>
        <v/>
      </c>
      <c r="M122" s="20">
        <f>IF(L122="","",IF(OR($D$16="",$H$16="X",L122&lt;N($C$16)),0,IF(B122="G마켓",ROUNDDOWN(MIN(L122*$D$16,IF($E$16="",9E+99,$E$16)),0),ROUNDUP(MIN(L122*$D$16,IF($E$16="",9E+99,$E$16)),0))))</f>
        <v/>
      </c>
      <c r="N122" s="20">
        <f>IF(L122="","",IF(OR($D$17="",$H$17="X",L122&lt;N($C$17)),0,IF(B122="G마켓",ROUNDDOWN(MIN(L122*$D$17,IF($E$17="",9E+99,$E$17)),0),ROUNDUP(MIN(L122*$D$17,IF($E$17="",9E+99,$E$17)),0))))</f>
        <v/>
      </c>
      <c r="O122" s="20">
        <f>IF(L122="","",IF(OR($D$18="",$H$18="X",L122&lt;N($C$18)),0,IF(B122="G마켓",ROUNDDOWN(MIN(L122*$D$18,IF($E$18="",9E+99,$E$18)),0),ROUNDUP(MIN(L122*$D$18,IF($E$18="",9E+99,$E$18)),0))))</f>
        <v/>
      </c>
      <c r="P122" s="20">
        <f>IF(L122="","",IF(OR($D$19="",$H$19="X",L122&lt;N($C$19)),0,IF(B122="G마켓",ROUNDDOWN(MIN(L122*$D$19,IF($E$19="",9E+99,$E$19)),0),ROUNDUP(MIN(L122*$D$19,IF($E$19="",9E+99,$E$19)),0))))</f>
        <v/>
      </c>
      <c r="Q122" s="19">
        <f>IF(G122="","",L122-MAX(M122:P122))</f>
        <v/>
      </c>
      <c r="R122" s="20">
        <f>IF(Q122="","",IF(OR($D$23="",Q122&lt;N($C$23)),0,IF(B122="G마켓",ROUNDDOWN(MIN(Q122*$D$23,IF($E$23="",9E+99,$E$23)),0),ROUNDUP(MIN(Q122*$D$23,IF($E$23="",9E+99,$E$23)),0))))</f>
        <v/>
      </c>
      <c r="S122" s="20">
        <f>IF(Q122="","",IF(OR($D$24="",Q122&lt;N($C$24)),0,IF(B122="G마켓",ROUNDDOWN(MIN(Q122*$D$24,IF($E$24="",9E+99,$E$24)),0),ROUNDUP(MIN(Q122*$D$24,IF($E$24="",9E+99,$E$24)),0))))</f>
        <v/>
      </c>
      <c r="T122" s="20">
        <f>IF(Q122="","",IF(OR($D$25="",Q122&lt;N($C$25)),0,IF(B122="G마켓",ROUNDDOWN(MIN(Q122*$D$25,IF($E$25="",9E+99,$E$25)),0),ROUNDUP(MIN(Q122*$D$25,IF($E$25="",9E+99,$E$25)),0))))</f>
        <v/>
      </c>
      <c r="U122" s="19">
        <f>IF(G122="","",MAX(R122:T122))</f>
        <v/>
      </c>
      <c r="V122" s="21">
        <f>IF(G122="","",Q122-U122)</f>
        <v/>
      </c>
      <c r="W122" s="19">
        <f>IF(G122="","",IF(B122="G마켓",ROUNDDOWN(MAX(I122*N($G$10),J122*N($G$11),K122*N($G$12))+MAX(M122*N($G$16),N122*N($G$17),O122*N($G$18),P122*N($G$19))+MAX(R122*N($G$23),S122*N($G$24),T122*N($G$25)),0),ROUNDUP(MAX(I122*N($G$10),J122*N($G$11),K122*N($G$12))+MAX(M122*N($G$16),N122*N($G$17),O122*N($G$18),P122*N($G$19))+MAX(R122*N($G$23),S122*N($G$24),T122*N($G$25)),0)))</f>
        <v/>
      </c>
      <c r="X122" s="21">
        <f>IF(G122="","",IF(B122="G마켓",ROUNDDOWN(G122-G122*$Q$6-W122,0),ROUNDUP(G122-G122*$Q$6-W122,0)))</f>
        <v/>
      </c>
    </row>
    <row r="123">
      <c r="B123" s="7" t="n"/>
      <c r="C123" s="7" t="n"/>
      <c r="D123" s="22" t="n"/>
      <c r="E123" s="23" t="n"/>
      <c r="F123" s="23" t="n"/>
      <c r="G123" s="19">
        <f>IF(E123="","",E123-N(F123))</f>
        <v/>
      </c>
      <c r="I123" s="20">
        <f>IF(G123="","",IF(OR($D$10="",$H$10="X",G123&lt;N($C$10)),0,IF(B123="G마켓",ROUNDDOWN(MIN(G123*$D$10,IF($E$10="",9E+99,$E$10)),0),ROUNDUP(MIN(G123*$D$10,IF($E$10="",9E+99,$E$10)),0))))</f>
        <v/>
      </c>
      <c r="J123" s="20">
        <f>IF(G123="","",IF(OR($D$11="",$H$11="X",G123&lt;N($C$11)),0,IF(B123="G마켓",ROUNDDOWN(MIN(G123*$D$11,IF($E$11="",9E+99,$E$11)),0),ROUNDUP(MIN(G123*$D$11,IF($E$11="",9E+99,$E$11)),0))))</f>
        <v/>
      </c>
      <c r="K123" s="20">
        <f>IF(G123="","",IF(OR($D$12="",$H$12="X",G123&lt;N($C$12)),0,IF(B123="G마켓",ROUNDDOWN(MIN(G123*$D$12,IF($E$12="",9E+99,$E$12)),0),ROUNDUP(MIN(G123*$D$12,IF($E$12="",9E+99,$E$12)),0))))</f>
        <v/>
      </c>
      <c r="L123" s="19">
        <f>IF(G123="","",G123-MAX(I123:K123))</f>
        <v/>
      </c>
      <c r="M123" s="20">
        <f>IF(L123="","",IF(OR($D$16="",$H$16="X",L123&lt;N($C$16)),0,IF(B123="G마켓",ROUNDDOWN(MIN(L123*$D$16,IF($E$16="",9E+99,$E$16)),0),ROUNDUP(MIN(L123*$D$16,IF($E$16="",9E+99,$E$16)),0))))</f>
        <v/>
      </c>
      <c r="N123" s="20">
        <f>IF(L123="","",IF(OR($D$17="",$H$17="X",L123&lt;N($C$17)),0,IF(B123="G마켓",ROUNDDOWN(MIN(L123*$D$17,IF($E$17="",9E+99,$E$17)),0),ROUNDUP(MIN(L123*$D$17,IF($E$17="",9E+99,$E$17)),0))))</f>
        <v/>
      </c>
      <c r="O123" s="20">
        <f>IF(L123="","",IF(OR($D$18="",$H$18="X",L123&lt;N($C$18)),0,IF(B123="G마켓",ROUNDDOWN(MIN(L123*$D$18,IF($E$18="",9E+99,$E$18)),0),ROUNDUP(MIN(L123*$D$18,IF($E$18="",9E+99,$E$18)),0))))</f>
        <v/>
      </c>
      <c r="P123" s="20">
        <f>IF(L123="","",IF(OR($D$19="",$H$19="X",L123&lt;N($C$19)),0,IF(B123="G마켓",ROUNDDOWN(MIN(L123*$D$19,IF($E$19="",9E+99,$E$19)),0),ROUNDUP(MIN(L123*$D$19,IF($E$19="",9E+99,$E$19)),0))))</f>
        <v/>
      </c>
      <c r="Q123" s="19">
        <f>IF(G123="","",L123-MAX(M123:P123))</f>
        <v/>
      </c>
      <c r="R123" s="20">
        <f>IF(Q123="","",IF(OR($D$23="",Q123&lt;N($C$23)),0,IF(B123="G마켓",ROUNDDOWN(MIN(Q123*$D$23,IF($E$23="",9E+99,$E$23)),0),ROUNDUP(MIN(Q123*$D$23,IF($E$23="",9E+99,$E$23)),0))))</f>
        <v/>
      </c>
      <c r="S123" s="20">
        <f>IF(Q123="","",IF(OR($D$24="",Q123&lt;N($C$24)),0,IF(B123="G마켓",ROUNDDOWN(MIN(Q123*$D$24,IF($E$24="",9E+99,$E$24)),0),ROUNDUP(MIN(Q123*$D$24,IF($E$24="",9E+99,$E$24)),0))))</f>
        <v/>
      </c>
      <c r="T123" s="20">
        <f>IF(Q123="","",IF(OR($D$25="",Q123&lt;N($C$25)),0,IF(B123="G마켓",ROUNDDOWN(MIN(Q123*$D$25,IF($E$25="",9E+99,$E$25)),0),ROUNDUP(MIN(Q123*$D$25,IF($E$25="",9E+99,$E$25)),0))))</f>
        <v/>
      </c>
      <c r="U123" s="19">
        <f>IF(G123="","",MAX(R123:T123))</f>
        <v/>
      </c>
      <c r="V123" s="21">
        <f>IF(G123="","",Q123-U123)</f>
        <v/>
      </c>
      <c r="W123" s="19">
        <f>IF(G123="","",IF(B123="G마켓",ROUNDDOWN(MAX(I123*N($G$10),J123*N($G$11),K123*N($G$12))+MAX(M123*N($G$16),N123*N($G$17),O123*N($G$18),P123*N($G$19))+MAX(R123*N($G$23),S123*N($G$24),T123*N($G$25)),0),ROUNDUP(MAX(I123*N($G$10),J123*N($G$11),K123*N($G$12))+MAX(M123*N($G$16),N123*N($G$17),O123*N($G$18),P123*N($G$19))+MAX(R123*N($G$23),S123*N($G$24),T123*N($G$25)),0)))</f>
        <v/>
      </c>
      <c r="X123" s="21">
        <f>IF(G123="","",IF(B123="G마켓",ROUNDDOWN(G123-G123*$Q$6-W123,0),ROUNDUP(G123-G123*$Q$6-W123,0)))</f>
        <v/>
      </c>
    </row>
    <row r="124">
      <c r="B124" s="7" t="n"/>
      <c r="C124" s="7" t="n"/>
      <c r="D124" s="22" t="n"/>
      <c r="E124" s="23" t="n"/>
      <c r="F124" s="23" t="n"/>
      <c r="G124" s="19">
        <f>IF(E124="","",E124-N(F124))</f>
        <v/>
      </c>
      <c r="I124" s="20">
        <f>IF(G124="","",IF(OR($D$10="",$H$10="X",G124&lt;N($C$10)),0,IF(B124="G마켓",ROUNDDOWN(MIN(G124*$D$10,IF($E$10="",9E+99,$E$10)),0),ROUNDUP(MIN(G124*$D$10,IF($E$10="",9E+99,$E$10)),0))))</f>
        <v/>
      </c>
      <c r="J124" s="20">
        <f>IF(G124="","",IF(OR($D$11="",$H$11="X",G124&lt;N($C$11)),0,IF(B124="G마켓",ROUNDDOWN(MIN(G124*$D$11,IF($E$11="",9E+99,$E$11)),0),ROUNDUP(MIN(G124*$D$11,IF($E$11="",9E+99,$E$11)),0))))</f>
        <v/>
      </c>
      <c r="K124" s="20">
        <f>IF(G124="","",IF(OR($D$12="",$H$12="X",G124&lt;N($C$12)),0,IF(B124="G마켓",ROUNDDOWN(MIN(G124*$D$12,IF($E$12="",9E+99,$E$12)),0),ROUNDUP(MIN(G124*$D$12,IF($E$12="",9E+99,$E$12)),0))))</f>
        <v/>
      </c>
      <c r="L124" s="19">
        <f>IF(G124="","",G124-MAX(I124:K124))</f>
        <v/>
      </c>
      <c r="M124" s="20">
        <f>IF(L124="","",IF(OR($D$16="",$H$16="X",L124&lt;N($C$16)),0,IF(B124="G마켓",ROUNDDOWN(MIN(L124*$D$16,IF($E$16="",9E+99,$E$16)),0),ROUNDUP(MIN(L124*$D$16,IF($E$16="",9E+99,$E$16)),0))))</f>
        <v/>
      </c>
      <c r="N124" s="20">
        <f>IF(L124="","",IF(OR($D$17="",$H$17="X",L124&lt;N($C$17)),0,IF(B124="G마켓",ROUNDDOWN(MIN(L124*$D$17,IF($E$17="",9E+99,$E$17)),0),ROUNDUP(MIN(L124*$D$17,IF($E$17="",9E+99,$E$17)),0))))</f>
        <v/>
      </c>
      <c r="O124" s="20">
        <f>IF(L124="","",IF(OR($D$18="",$H$18="X",L124&lt;N($C$18)),0,IF(B124="G마켓",ROUNDDOWN(MIN(L124*$D$18,IF($E$18="",9E+99,$E$18)),0),ROUNDUP(MIN(L124*$D$18,IF($E$18="",9E+99,$E$18)),0))))</f>
        <v/>
      </c>
      <c r="P124" s="20">
        <f>IF(L124="","",IF(OR($D$19="",$H$19="X",L124&lt;N($C$19)),0,IF(B124="G마켓",ROUNDDOWN(MIN(L124*$D$19,IF($E$19="",9E+99,$E$19)),0),ROUNDUP(MIN(L124*$D$19,IF($E$19="",9E+99,$E$19)),0))))</f>
        <v/>
      </c>
      <c r="Q124" s="19">
        <f>IF(G124="","",L124-MAX(M124:P124))</f>
        <v/>
      </c>
      <c r="R124" s="20">
        <f>IF(Q124="","",IF(OR($D$23="",Q124&lt;N($C$23)),0,IF(B124="G마켓",ROUNDDOWN(MIN(Q124*$D$23,IF($E$23="",9E+99,$E$23)),0),ROUNDUP(MIN(Q124*$D$23,IF($E$23="",9E+99,$E$23)),0))))</f>
        <v/>
      </c>
      <c r="S124" s="20">
        <f>IF(Q124="","",IF(OR($D$24="",Q124&lt;N($C$24)),0,IF(B124="G마켓",ROUNDDOWN(MIN(Q124*$D$24,IF($E$24="",9E+99,$E$24)),0),ROUNDUP(MIN(Q124*$D$24,IF($E$24="",9E+99,$E$24)),0))))</f>
        <v/>
      </c>
      <c r="T124" s="20">
        <f>IF(Q124="","",IF(OR($D$25="",Q124&lt;N($C$25)),0,IF(B124="G마켓",ROUNDDOWN(MIN(Q124*$D$25,IF($E$25="",9E+99,$E$25)),0),ROUNDUP(MIN(Q124*$D$25,IF($E$25="",9E+99,$E$25)),0))))</f>
        <v/>
      </c>
      <c r="U124" s="19">
        <f>IF(G124="","",MAX(R124:T124))</f>
        <v/>
      </c>
      <c r="V124" s="21">
        <f>IF(G124="","",Q124-U124)</f>
        <v/>
      </c>
      <c r="W124" s="19">
        <f>IF(G124="","",IF(B124="G마켓",ROUNDDOWN(MAX(I124*N($G$10),J124*N($G$11),K124*N($G$12))+MAX(M124*N($G$16),N124*N($G$17),O124*N($G$18),P124*N($G$19))+MAX(R124*N($G$23),S124*N($G$24),T124*N($G$25)),0),ROUNDUP(MAX(I124*N($G$10),J124*N($G$11),K124*N($G$12))+MAX(M124*N($G$16),N124*N($G$17),O124*N($G$18),P124*N($G$19))+MAX(R124*N($G$23),S124*N($G$24),T124*N($G$25)),0)))</f>
        <v/>
      </c>
      <c r="X124" s="21">
        <f>IF(G124="","",IF(B124="G마켓",ROUNDDOWN(G124-G124*$Q$6-W124,0),ROUNDUP(G124-G124*$Q$6-W124,0)))</f>
        <v/>
      </c>
    </row>
    <row r="125">
      <c r="B125" s="7" t="n"/>
      <c r="C125" s="7" t="n"/>
      <c r="D125" s="22" t="n"/>
      <c r="E125" s="23" t="n"/>
      <c r="F125" s="23" t="n"/>
      <c r="G125" s="19">
        <f>IF(E125="","",E125-N(F125))</f>
        <v/>
      </c>
      <c r="I125" s="20">
        <f>IF(G125="","",IF(OR($D$10="",$H$10="X",G125&lt;N($C$10)),0,IF(B125="G마켓",ROUNDDOWN(MIN(G125*$D$10,IF($E$10="",9E+99,$E$10)),0),ROUNDUP(MIN(G125*$D$10,IF($E$10="",9E+99,$E$10)),0))))</f>
        <v/>
      </c>
      <c r="J125" s="20">
        <f>IF(G125="","",IF(OR($D$11="",$H$11="X",G125&lt;N($C$11)),0,IF(B125="G마켓",ROUNDDOWN(MIN(G125*$D$11,IF($E$11="",9E+99,$E$11)),0),ROUNDUP(MIN(G125*$D$11,IF($E$11="",9E+99,$E$11)),0))))</f>
        <v/>
      </c>
      <c r="K125" s="20">
        <f>IF(G125="","",IF(OR($D$12="",$H$12="X",G125&lt;N($C$12)),0,IF(B125="G마켓",ROUNDDOWN(MIN(G125*$D$12,IF($E$12="",9E+99,$E$12)),0),ROUNDUP(MIN(G125*$D$12,IF($E$12="",9E+99,$E$12)),0))))</f>
        <v/>
      </c>
      <c r="L125" s="19">
        <f>IF(G125="","",G125-MAX(I125:K125))</f>
        <v/>
      </c>
      <c r="M125" s="20">
        <f>IF(L125="","",IF(OR($D$16="",$H$16="X",L125&lt;N($C$16)),0,IF(B125="G마켓",ROUNDDOWN(MIN(L125*$D$16,IF($E$16="",9E+99,$E$16)),0),ROUNDUP(MIN(L125*$D$16,IF($E$16="",9E+99,$E$16)),0))))</f>
        <v/>
      </c>
      <c r="N125" s="20">
        <f>IF(L125="","",IF(OR($D$17="",$H$17="X",L125&lt;N($C$17)),0,IF(B125="G마켓",ROUNDDOWN(MIN(L125*$D$17,IF($E$17="",9E+99,$E$17)),0),ROUNDUP(MIN(L125*$D$17,IF($E$17="",9E+99,$E$17)),0))))</f>
        <v/>
      </c>
      <c r="O125" s="20">
        <f>IF(L125="","",IF(OR($D$18="",$H$18="X",L125&lt;N($C$18)),0,IF(B125="G마켓",ROUNDDOWN(MIN(L125*$D$18,IF($E$18="",9E+99,$E$18)),0),ROUNDUP(MIN(L125*$D$18,IF($E$18="",9E+99,$E$18)),0))))</f>
        <v/>
      </c>
      <c r="P125" s="20">
        <f>IF(L125="","",IF(OR($D$19="",$H$19="X",L125&lt;N($C$19)),0,IF(B125="G마켓",ROUNDDOWN(MIN(L125*$D$19,IF($E$19="",9E+99,$E$19)),0),ROUNDUP(MIN(L125*$D$19,IF($E$19="",9E+99,$E$19)),0))))</f>
        <v/>
      </c>
      <c r="Q125" s="19">
        <f>IF(G125="","",L125-MAX(M125:P125))</f>
        <v/>
      </c>
      <c r="R125" s="20">
        <f>IF(Q125="","",IF(OR($D$23="",Q125&lt;N($C$23)),0,IF(B125="G마켓",ROUNDDOWN(MIN(Q125*$D$23,IF($E$23="",9E+99,$E$23)),0),ROUNDUP(MIN(Q125*$D$23,IF($E$23="",9E+99,$E$23)),0))))</f>
        <v/>
      </c>
      <c r="S125" s="20">
        <f>IF(Q125="","",IF(OR($D$24="",Q125&lt;N($C$24)),0,IF(B125="G마켓",ROUNDDOWN(MIN(Q125*$D$24,IF($E$24="",9E+99,$E$24)),0),ROUNDUP(MIN(Q125*$D$24,IF($E$24="",9E+99,$E$24)),0))))</f>
        <v/>
      </c>
      <c r="T125" s="20">
        <f>IF(Q125="","",IF(OR($D$25="",Q125&lt;N($C$25)),0,IF(B125="G마켓",ROUNDDOWN(MIN(Q125*$D$25,IF($E$25="",9E+99,$E$25)),0),ROUNDUP(MIN(Q125*$D$25,IF($E$25="",9E+99,$E$25)),0))))</f>
        <v/>
      </c>
      <c r="U125" s="19">
        <f>IF(G125="","",MAX(R125:T125))</f>
        <v/>
      </c>
      <c r="V125" s="21">
        <f>IF(G125="","",Q125-U125)</f>
        <v/>
      </c>
      <c r="W125" s="19">
        <f>IF(G125="","",IF(B125="G마켓",ROUNDDOWN(MAX(I125*N($G$10),J125*N($G$11),K125*N($G$12))+MAX(M125*N($G$16),N125*N($G$17),O125*N($G$18),P125*N($G$19))+MAX(R125*N($G$23),S125*N($G$24),T125*N($G$25)),0),ROUNDUP(MAX(I125*N($G$10),J125*N($G$11),K125*N($G$12))+MAX(M125*N($G$16),N125*N($G$17),O125*N($G$18),P125*N($G$19))+MAX(R125*N($G$23),S125*N($G$24),T125*N($G$25)),0)))</f>
        <v/>
      </c>
      <c r="X125" s="21">
        <f>IF(G125="","",IF(B125="G마켓",ROUNDDOWN(G125-G125*$Q$6-W125,0),ROUNDUP(G125-G125*$Q$6-W125,0)))</f>
        <v/>
      </c>
    </row>
    <row r="126">
      <c r="B126" s="7" t="n"/>
      <c r="C126" s="7" t="n"/>
      <c r="D126" s="22" t="n"/>
      <c r="E126" s="23" t="n"/>
      <c r="F126" s="23" t="n"/>
      <c r="G126" s="19">
        <f>IF(E126="","",E126-N(F126))</f>
        <v/>
      </c>
      <c r="I126" s="20">
        <f>IF(G126="","",IF(OR($D$10="",$H$10="X",G126&lt;N($C$10)),0,IF(B126="G마켓",ROUNDDOWN(MIN(G126*$D$10,IF($E$10="",9E+99,$E$10)),0),ROUNDUP(MIN(G126*$D$10,IF($E$10="",9E+99,$E$10)),0))))</f>
        <v/>
      </c>
      <c r="J126" s="20">
        <f>IF(G126="","",IF(OR($D$11="",$H$11="X",G126&lt;N($C$11)),0,IF(B126="G마켓",ROUNDDOWN(MIN(G126*$D$11,IF($E$11="",9E+99,$E$11)),0),ROUNDUP(MIN(G126*$D$11,IF($E$11="",9E+99,$E$11)),0))))</f>
        <v/>
      </c>
      <c r="K126" s="20">
        <f>IF(G126="","",IF(OR($D$12="",$H$12="X",G126&lt;N($C$12)),0,IF(B126="G마켓",ROUNDDOWN(MIN(G126*$D$12,IF($E$12="",9E+99,$E$12)),0),ROUNDUP(MIN(G126*$D$12,IF($E$12="",9E+99,$E$12)),0))))</f>
        <v/>
      </c>
      <c r="L126" s="19">
        <f>IF(G126="","",G126-MAX(I126:K126))</f>
        <v/>
      </c>
      <c r="M126" s="20">
        <f>IF(L126="","",IF(OR($D$16="",$H$16="X",L126&lt;N($C$16)),0,IF(B126="G마켓",ROUNDDOWN(MIN(L126*$D$16,IF($E$16="",9E+99,$E$16)),0),ROUNDUP(MIN(L126*$D$16,IF($E$16="",9E+99,$E$16)),0))))</f>
        <v/>
      </c>
      <c r="N126" s="20">
        <f>IF(L126="","",IF(OR($D$17="",$H$17="X",L126&lt;N($C$17)),0,IF(B126="G마켓",ROUNDDOWN(MIN(L126*$D$17,IF($E$17="",9E+99,$E$17)),0),ROUNDUP(MIN(L126*$D$17,IF($E$17="",9E+99,$E$17)),0))))</f>
        <v/>
      </c>
      <c r="O126" s="20">
        <f>IF(L126="","",IF(OR($D$18="",$H$18="X",L126&lt;N($C$18)),0,IF(B126="G마켓",ROUNDDOWN(MIN(L126*$D$18,IF($E$18="",9E+99,$E$18)),0),ROUNDUP(MIN(L126*$D$18,IF($E$18="",9E+99,$E$18)),0))))</f>
        <v/>
      </c>
      <c r="P126" s="20">
        <f>IF(L126="","",IF(OR($D$19="",$H$19="X",L126&lt;N($C$19)),0,IF(B126="G마켓",ROUNDDOWN(MIN(L126*$D$19,IF($E$19="",9E+99,$E$19)),0),ROUNDUP(MIN(L126*$D$19,IF($E$19="",9E+99,$E$19)),0))))</f>
        <v/>
      </c>
      <c r="Q126" s="19">
        <f>IF(G126="","",L126-MAX(M126:P126))</f>
        <v/>
      </c>
      <c r="R126" s="20">
        <f>IF(Q126="","",IF(OR($D$23="",Q126&lt;N($C$23)),0,IF(B126="G마켓",ROUNDDOWN(MIN(Q126*$D$23,IF($E$23="",9E+99,$E$23)),0),ROUNDUP(MIN(Q126*$D$23,IF($E$23="",9E+99,$E$23)),0))))</f>
        <v/>
      </c>
      <c r="S126" s="20">
        <f>IF(Q126="","",IF(OR($D$24="",Q126&lt;N($C$24)),0,IF(B126="G마켓",ROUNDDOWN(MIN(Q126*$D$24,IF($E$24="",9E+99,$E$24)),0),ROUNDUP(MIN(Q126*$D$24,IF($E$24="",9E+99,$E$24)),0))))</f>
        <v/>
      </c>
      <c r="T126" s="20">
        <f>IF(Q126="","",IF(OR($D$25="",Q126&lt;N($C$25)),0,IF(B126="G마켓",ROUNDDOWN(MIN(Q126*$D$25,IF($E$25="",9E+99,$E$25)),0),ROUNDUP(MIN(Q126*$D$25,IF($E$25="",9E+99,$E$25)),0))))</f>
        <v/>
      </c>
      <c r="U126" s="19">
        <f>IF(G126="","",MAX(R126:T126))</f>
        <v/>
      </c>
      <c r="V126" s="21">
        <f>IF(G126="","",Q126-U126)</f>
        <v/>
      </c>
      <c r="W126" s="19">
        <f>IF(G126="","",IF(B126="G마켓",ROUNDDOWN(MAX(I126*N($G$10),J126*N($G$11),K126*N($G$12))+MAX(M126*N($G$16),N126*N($G$17),O126*N($G$18),P126*N($G$19))+MAX(R126*N($G$23),S126*N($G$24),T126*N($G$25)),0),ROUNDUP(MAX(I126*N($G$10),J126*N($G$11),K126*N($G$12))+MAX(M126*N($G$16),N126*N($G$17),O126*N($G$18),P126*N($G$19))+MAX(R126*N($G$23),S126*N($G$24),T126*N($G$25)),0)))</f>
        <v/>
      </c>
      <c r="X126" s="21">
        <f>IF(G126="","",IF(B126="G마켓",ROUNDDOWN(G126-G126*$Q$6-W126,0),ROUNDUP(G126-G126*$Q$6-W126,0)))</f>
        <v/>
      </c>
    </row>
    <row r="127">
      <c r="B127" s="7" t="n"/>
      <c r="C127" s="7" t="n"/>
      <c r="D127" s="22" t="n"/>
      <c r="E127" s="23" t="n"/>
      <c r="F127" s="23" t="n"/>
      <c r="G127" s="19">
        <f>IF(E127="","",E127-N(F127))</f>
        <v/>
      </c>
      <c r="I127" s="20">
        <f>IF(G127="","",IF(OR($D$10="",$H$10="X",G127&lt;N($C$10)),0,IF(B127="G마켓",ROUNDDOWN(MIN(G127*$D$10,IF($E$10="",9E+99,$E$10)),0),ROUNDUP(MIN(G127*$D$10,IF($E$10="",9E+99,$E$10)),0))))</f>
        <v/>
      </c>
      <c r="J127" s="20">
        <f>IF(G127="","",IF(OR($D$11="",$H$11="X",G127&lt;N($C$11)),0,IF(B127="G마켓",ROUNDDOWN(MIN(G127*$D$11,IF($E$11="",9E+99,$E$11)),0),ROUNDUP(MIN(G127*$D$11,IF($E$11="",9E+99,$E$11)),0))))</f>
        <v/>
      </c>
      <c r="K127" s="20">
        <f>IF(G127="","",IF(OR($D$12="",$H$12="X",G127&lt;N($C$12)),0,IF(B127="G마켓",ROUNDDOWN(MIN(G127*$D$12,IF($E$12="",9E+99,$E$12)),0),ROUNDUP(MIN(G127*$D$12,IF($E$12="",9E+99,$E$12)),0))))</f>
        <v/>
      </c>
      <c r="L127" s="19">
        <f>IF(G127="","",G127-MAX(I127:K127))</f>
        <v/>
      </c>
      <c r="M127" s="20">
        <f>IF(L127="","",IF(OR($D$16="",$H$16="X",L127&lt;N($C$16)),0,IF(B127="G마켓",ROUNDDOWN(MIN(L127*$D$16,IF($E$16="",9E+99,$E$16)),0),ROUNDUP(MIN(L127*$D$16,IF($E$16="",9E+99,$E$16)),0))))</f>
        <v/>
      </c>
      <c r="N127" s="20">
        <f>IF(L127="","",IF(OR($D$17="",$H$17="X",L127&lt;N($C$17)),0,IF(B127="G마켓",ROUNDDOWN(MIN(L127*$D$17,IF($E$17="",9E+99,$E$17)),0),ROUNDUP(MIN(L127*$D$17,IF($E$17="",9E+99,$E$17)),0))))</f>
        <v/>
      </c>
      <c r="O127" s="20">
        <f>IF(L127="","",IF(OR($D$18="",$H$18="X",L127&lt;N($C$18)),0,IF(B127="G마켓",ROUNDDOWN(MIN(L127*$D$18,IF($E$18="",9E+99,$E$18)),0),ROUNDUP(MIN(L127*$D$18,IF($E$18="",9E+99,$E$18)),0))))</f>
        <v/>
      </c>
      <c r="P127" s="20">
        <f>IF(L127="","",IF(OR($D$19="",$H$19="X",L127&lt;N($C$19)),0,IF(B127="G마켓",ROUNDDOWN(MIN(L127*$D$19,IF($E$19="",9E+99,$E$19)),0),ROUNDUP(MIN(L127*$D$19,IF($E$19="",9E+99,$E$19)),0))))</f>
        <v/>
      </c>
      <c r="Q127" s="19">
        <f>IF(G127="","",L127-MAX(M127:P127))</f>
        <v/>
      </c>
      <c r="R127" s="20">
        <f>IF(Q127="","",IF(OR($D$23="",Q127&lt;N($C$23)),0,IF(B127="G마켓",ROUNDDOWN(MIN(Q127*$D$23,IF($E$23="",9E+99,$E$23)),0),ROUNDUP(MIN(Q127*$D$23,IF($E$23="",9E+99,$E$23)),0))))</f>
        <v/>
      </c>
      <c r="S127" s="20">
        <f>IF(Q127="","",IF(OR($D$24="",Q127&lt;N($C$24)),0,IF(B127="G마켓",ROUNDDOWN(MIN(Q127*$D$24,IF($E$24="",9E+99,$E$24)),0),ROUNDUP(MIN(Q127*$D$24,IF($E$24="",9E+99,$E$24)),0))))</f>
        <v/>
      </c>
      <c r="T127" s="20">
        <f>IF(Q127="","",IF(OR($D$25="",Q127&lt;N($C$25)),0,IF(B127="G마켓",ROUNDDOWN(MIN(Q127*$D$25,IF($E$25="",9E+99,$E$25)),0),ROUNDUP(MIN(Q127*$D$25,IF($E$25="",9E+99,$E$25)),0))))</f>
        <v/>
      </c>
      <c r="U127" s="19">
        <f>IF(G127="","",MAX(R127:T127))</f>
        <v/>
      </c>
      <c r="V127" s="21">
        <f>IF(G127="","",Q127-U127)</f>
        <v/>
      </c>
      <c r="W127" s="19">
        <f>IF(G127="","",IF(B127="G마켓",ROUNDDOWN(MAX(I127*N($G$10),J127*N($G$11),K127*N($G$12))+MAX(M127*N($G$16),N127*N($G$17),O127*N($G$18),P127*N($G$19))+MAX(R127*N($G$23),S127*N($G$24),T127*N($G$25)),0),ROUNDUP(MAX(I127*N($G$10),J127*N($G$11),K127*N($G$12))+MAX(M127*N($G$16),N127*N($G$17),O127*N($G$18),P127*N($G$19))+MAX(R127*N($G$23),S127*N($G$24),T127*N($G$25)),0)))</f>
        <v/>
      </c>
      <c r="X127" s="21">
        <f>IF(G127="","",IF(B127="G마켓",ROUNDDOWN(G127-G127*$Q$6-W127,0),ROUNDUP(G127-G127*$Q$6-W127,0)))</f>
        <v/>
      </c>
    </row>
    <row r="128">
      <c r="B128" s="7" t="n"/>
      <c r="C128" s="7" t="n"/>
      <c r="D128" s="22" t="n"/>
      <c r="E128" s="23" t="n"/>
      <c r="F128" s="23" t="n"/>
      <c r="G128" s="19">
        <f>IF(E128="","",E128-N(F128))</f>
        <v/>
      </c>
      <c r="I128" s="20">
        <f>IF(G128="","",IF(OR($D$10="",$H$10="X",G128&lt;N($C$10)),0,IF(B128="G마켓",ROUNDDOWN(MIN(G128*$D$10,IF($E$10="",9E+99,$E$10)),0),ROUNDUP(MIN(G128*$D$10,IF($E$10="",9E+99,$E$10)),0))))</f>
        <v/>
      </c>
      <c r="J128" s="20">
        <f>IF(G128="","",IF(OR($D$11="",$H$11="X",G128&lt;N($C$11)),0,IF(B128="G마켓",ROUNDDOWN(MIN(G128*$D$11,IF($E$11="",9E+99,$E$11)),0),ROUNDUP(MIN(G128*$D$11,IF($E$11="",9E+99,$E$11)),0))))</f>
        <v/>
      </c>
      <c r="K128" s="20">
        <f>IF(G128="","",IF(OR($D$12="",$H$12="X",G128&lt;N($C$12)),0,IF(B128="G마켓",ROUNDDOWN(MIN(G128*$D$12,IF($E$12="",9E+99,$E$12)),0),ROUNDUP(MIN(G128*$D$12,IF($E$12="",9E+99,$E$12)),0))))</f>
        <v/>
      </c>
      <c r="L128" s="19">
        <f>IF(G128="","",G128-MAX(I128:K128))</f>
        <v/>
      </c>
      <c r="M128" s="20">
        <f>IF(L128="","",IF(OR($D$16="",$H$16="X",L128&lt;N($C$16)),0,IF(B128="G마켓",ROUNDDOWN(MIN(L128*$D$16,IF($E$16="",9E+99,$E$16)),0),ROUNDUP(MIN(L128*$D$16,IF($E$16="",9E+99,$E$16)),0))))</f>
        <v/>
      </c>
      <c r="N128" s="20">
        <f>IF(L128="","",IF(OR($D$17="",$H$17="X",L128&lt;N($C$17)),0,IF(B128="G마켓",ROUNDDOWN(MIN(L128*$D$17,IF($E$17="",9E+99,$E$17)),0),ROUNDUP(MIN(L128*$D$17,IF($E$17="",9E+99,$E$17)),0))))</f>
        <v/>
      </c>
      <c r="O128" s="20">
        <f>IF(L128="","",IF(OR($D$18="",$H$18="X",L128&lt;N($C$18)),0,IF(B128="G마켓",ROUNDDOWN(MIN(L128*$D$18,IF($E$18="",9E+99,$E$18)),0),ROUNDUP(MIN(L128*$D$18,IF($E$18="",9E+99,$E$18)),0))))</f>
        <v/>
      </c>
      <c r="P128" s="20">
        <f>IF(L128="","",IF(OR($D$19="",$H$19="X",L128&lt;N($C$19)),0,IF(B128="G마켓",ROUNDDOWN(MIN(L128*$D$19,IF($E$19="",9E+99,$E$19)),0),ROUNDUP(MIN(L128*$D$19,IF($E$19="",9E+99,$E$19)),0))))</f>
        <v/>
      </c>
      <c r="Q128" s="19">
        <f>IF(G128="","",L128-MAX(M128:P128))</f>
        <v/>
      </c>
      <c r="R128" s="20">
        <f>IF(Q128="","",IF(OR($D$23="",Q128&lt;N($C$23)),0,IF(B128="G마켓",ROUNDDOWN(MIN(Q128*$D$23,IF($E$23="",9E+99,$E$23)),0),ROUNDUP(MIN(Q128*$D$23,IF($E$23="",9E+99,$E$23)),0))))</f>
        <v/>
      </c>
      <c r="S128" s="20">
        <f>IF(Q128="","",IF(OR($D$24="",Q128&lt;N($C$24)),0,IF(B128="G마켓",ROUNDDOWN(MIN(Q128*$D$24,IF($E$24="",9E+99,$E$24)),0),ROUNDUP(MIN(Q128*$D$24,IF($E$24="",9E+99,$E$24)),0))))</f>
        <v/>
      </c>
      <c r="T128" s="20">
        <f>IF(Q128="","",IF(OR($D$25="",Q128&lt;N($C$25)),0,IF(B128="G마켓",ROUNDDOWN(MIN(Q128*$D$25,IF($E$25="",9E+99,$E$25)),0),ROUNDUP(MIN(Q128*$D$25,IF($E$25="",9E+99,$E$25)),0))))</f>
        <v/>
      </c>
      <c r="U128" s="19">
        <f>IF(G128="","",MAX(R128:T128))</f>
        <v/>
      </c>
      <c r="V128" s="21">
        <f>IF(G128="","",Q128-U128)</f>
        <v/>
      </c>
      <c r="W128" s="19">
        <f>IF(G128="","",IF(B128="G마켓",ROUNDDOWN(MAX(I128*N($G$10),J128*N($G$11),K128*N($G$12))+MAX(M128*N($G$16),N128*N($G$17),O128*N($G$18),P128*N($G$19))+MAX(R128*N($G$23),S128*N($G$24),T128*N($G$25)),0),ROUNDUP(MAX(I128*N($G$10),J128*N($G$11),K128*N($G$12))+MAX(M128*N($G$16),N128*N($G$17),O128*N($G$18),P128*N($G$19))+MAX(R128*N($G$23),S128*N($G$24),T128*N($G$25)),0)))</f>
        <v/>
      </c>
      <c r="X128" s="21">
        <f>IF(G128="","",IF(B128="G마켓",ROUNDDOWN(G128-G128*$Q$6-W128,0),ROUNDUP(G128-G128*$Q$6-W128,0)))</f>
        <v/>
      </c>
    </row>
    <row r="129">
      <c r="B129" s="7" t="n"/>
      <c r="C129" s="7" t="n"/>
      <c r="D129" s="22" t="n"/>
      <c r="E129" s="23" t="n"/>
      <c r="F129" s="23" t="n"/>
      <c r="G129" s="19">
        <f>IF(E129="","",E129-N(F129))</f>
        <v/>
      </c>
      <c r="I129" s="20">
        <f>IF(G129="","",IF(OR($D$10="",$H$10="X",G129&lt;N($C$10)),0,IF(B129="G마켓",ROUNDDOWN(MIN(G129*$D$10,IF($E$10="",9E+99,$E$10)),0),ROUNDUP(MIN(G129*$D$10,IF($E$10="",9E+99,$E$10)),0))))</f>
        <v/>
      </c>
      <c r="J129" s="20">
        <f>IF(G129="","",IF(OR($D$11="",$H$11="X",G129&lt;N($C$11)),0,IF(B129="G마켓",ROUNDDOWN(MIN(G129*$D$11,IF($E$11="",9E+99,$E$11)),0),ROUNDUP(MIN(G129*$D$11,IF($E$11="",9E+99,$E$11)),0))))</f>
        <v/>
      </c>
      <c r="K129" s="20">
        <f>IF(G129="","",IF(OR($D$12="",$H$12="X",G129&lt;N($C$12)),0,IF(B129="G마켓",ROUNDDOWN(MIN(G129*$D$12,IF($E$12="",9E+99,$E$12)),0),ROUNDUP(MIN(G129*$D$12,IF($E$12="",9E+99,$E$12)),0))))</f>
        <v/>
      </c>
      <c r="L129" s="19">
        <f>IF(G129="","",G129-MAX(I129:K129))</f>
        <v/>
      </c>
      <c r="M129" s="20">
        <f>IF(L129="","",IF(OR($D$16="",$H$16="X",L129&lt;N($C$16)),0,IF(B129="G마켓",ROUNDDOWN(MIN(L129*$D$16,IF($E$16="",9E+99,$E$16)),0),ROUNDUP(MIN(L129*$D$16,IF($E$16="",9E+99,$E$16)),0))))</f>
        <v/>
      </c>
      <c r="N129" s="20">
        <f>IF(L129="","",IF(OR($D$17="",$H$17="X",L129&lt;N($C$17)),0,IF(B129="G마켓",ROUNDDOWN(MIN(L129*$D$17,IF($E$17="",9E+99,$E$17)),0),ROUNDUP(MIN(L129*$D$17,IF($E$17="",9E+99,$E$17)),0))))</f>
        <v/>
      </c>
      <c r="O129" s="20">
        <f>IF(L129="","",IF(OR($D$18="",$H$18="X",L129&lt;N($C$18)),0,IF(B129="G마켓",ROUNDDOWN(MIN(L129*$D$18,IF($E$18="",9E+99,$E$18)),0),ROUNDUP(MIN(L129*$D$18,IF($E$18="",9E+99,$E$18)),0))))</f>
        <v/>
      </c>
      <c r="P129" s="20">
        <f>IF(L129="","",IF(OR($D$19="",$H$19="X",L129&lt;N($C$19)),0,IF(B129="G마켓",ROUNDDOWN(MIN(L129*$D$19,IF($E$19="",9E+99,$E$19)),0),ROUNDUP(MIN(L129*$D$19,IF($E$19="",9E+99,$E$19)),0))))</f>
        <v/>
      </c>
      <c r="Q129" s="19">
        <f>IF(G129="","",L129-MAX(M129:P129))</f>
        <v/>
      </c>
      <c r="R129" s="20">
        <f>IF(Q129="","",IF(OR($D$23="",Q129&lt;N($C$23)),0,IF(B129="G마켓",ROUNDDOWN(MIN(Q129*$D$23,IF($E$23="",9E+99,$E$23)),0),ROUNDUP(MIN(Q129*$D$23,IF($E$23="",9E+99,$E$23)),0))))</f>
        <v/>
      </c>
      <c r="S129" s="20">
        <f>IF(Q129="","",IF(OR($D$24="",Q129&lt;N($C$24)),0,IF(B129="G마켓",ROUNDDOWN(MIN(Q129*$D$24,IF($E$24="",9E+99,$E$24)),0),ROUNDUP(MIN(Q129*$D$24,IF($E$24="",9E+99,$E$24)),0))))</f>
        <v/>
      </c>
      <c r="T129" s="20">
        <f>IF(Q129="","",IF(OR($D$25="",Q129&lt;N($C$25)),0,IF(B129="G마켓",ROUNDDOWN(MIN(Q129*$D$25,IF($E$25="",9E+99,$E$25)),0),ROUNDUP(MIN(Q129*$D$25,IF($E$25="",9E+99,$E$25)),0))))</f>
        <v/>
      </c>
      <c r="U129" s="19">
        <f>IF(G129="","",MAX(R129:T129))</f>
        <v/>
      </c>
      <c r="V129" s="21">
        <f>IF(G129="","",Q129-U129)</f>
        <v/>
      </c>
      <c r="W129" s="19">
        <f>IF(G129="","",IF(B129="G마켓",ROUNDDOWN(MAX(I129*N($G$10),J129*N($G$11),K129*N($G$12))+MAX(M129*N($G$16),N129*N($G$17),O129*N($G$18),P129*N($G$19))+MAX(R129*N($G$23),S129*N($G$24),T129*N($G$25)),0),ROUNDUP(MAX(I129*N($G$10),J129*N($G$11),K129*N($G$12))+MAX(M129*N($G$16),N129*N($G$17),O129*N($G$18),P129*N($G$19))+MAX(R129*N($G$23),S129*N($G$24),T129*N($G$25)),0)))</f>
        <v/>
      </c>
      <c r="X129" s="21">
        <f>IF(G129="","",IF(B129="G마켓",ROUNDDOWN(G129-G129*$Q$6-W129,0),ROUNDUP(G129-G129*$Q$6-W129,0)))</f>
        <v/>
      </c>
    </row>
    <row r="130">
      <c r="B130" s="7" t="n"/>
      <c r="C130" s="7" t="n"/>
      <c r="D130" s="22" t="n"/>
      <c r="E130" s="23" t="n"/>
      <c r="F130" s="23" t="n"/>
      <c r="G130" s="19">
        <f>IF(E130="","",E130-N(F130))</f>
        <v/>
      </c>
      <c r="I130" s="20">
        <f>IF(G130="","",IF(OR($D$10="",$H$10="X",G130&lt;N($C$10)),0,IF(B130="G마켓",ROUNDDOWN(MIN(G130*$D$10,IF($E$10="",9E+99,$E$10)),0),ROUNDUP(MIN(G130*$D$10,IF($E$10="",9E+99,$E$10)),0))))</f>
        <v/>
      </c>
      <c r="J130" s="20">
        <f>IF(G130="","",IF(OR($D$11="",$H$11="X",G130&lt;N($C$11)),0,IF(B130="G마켓",ROUNDDOWN(MIN(G130*$D$11,IF($E$11="",9E+99,$E$11)),0),ROUNDUP(MIN(G130*$D$11,IF($E$11="",9E+99,$E$11)),0))))</f>
        <v/>
      </c>
      <c r="K130" s="20">
        <f>IF(G130="","",IF(OR($D$12="",$H$12="X",G130&lt;N($C$12)),0,IF(B130="G마켓",ROUNDDOWN(MIN(G130*$D$12,IF($E$12="",9E+99,$E$12)),0),ROUNDUP(MIN(G130*$D$12,IF($E$12="",9E+99,$E$12)),0))))</f>
        <v/>
      </c>
      <c r="L130" s="19">
        <f>IF(G130="","",G130-MAX(I130:K130))</f>
        <v/>
      </c>
      <c r="M130" s="20">
        <f>IF(L130="","",IF(OR($D$16="",$H$16="X",L130&lt;N($C$16)),0,IF(B130="G마켓",ROUNDDOWN(MIN(L130*$D$16,IF($E$16="",9E+99,$E$16)),0),ROUNDUP(MIN(L130*$D$16,IF($E$16="",9E+99,$E$16)),0))))</f>
        <v/>
      </c>
      <c r="N130" s="20">
        <f>IF(L130="","",IF(OR($D$17="",$H$17="X",L130&lt;N($C$17)),0,IF(B130="G마켓",ROUNDDOWN(MIN(L130*$D$17,IF($E$17="",9E+99,$E$17)),0),ROUNDUP(MIN(L130*$D$17,IF($E$17="",9E+99,$E$17)),0))))</f>
        <v/>
      </c>
      <c r="O130" s="20">
        <f>IF(L130="","",IF(OR($D$18="",$H$18="X",L130&lt;N($C$18)),0,IF(B130="G마켓",ROUNDDOWN(MIN(L130*$D$18,IF($E$18="",9E+99,$E$18)),0),ROUNDUP(MIN(L130*$D$18,IF($E$18="",9E+99,$E$18)),0))))</f>
        <v/>
      </c>
      <c r="P130" s="20">
        <f>IF(L130="","",IF(OR($D$19="",$H$19="X",L130&lt;N($C$19)),0,IF(B130="G마켓",ROUNDDOWN(MIN(L130*$D$19,IF($E$19="",9E+99,$E$19)),0),ROUNDUP(MIN(L130*$D$19,IF($E$19="",9E+99,$E$19)),0))))</f>
        <v/>
      </c>
      <c r="Q130" s="19">
        <f>IF(G130="","",L130-MAX(M130:P130))</f>
        <v/>
      </c>
      <c r="R130" s="20">
        <f>IF(Q130="","",IF(OR($D$23="",Q130&lt;N($C$23)),0,IF(B130="G마켓",ROUNDDOWN(MIN(Q130*$D$23,IF($E$23="",9E+99,$E$23)),0),ROUNDUP(MIN(Q130*$D$23,IF($E$23="",9E+99,$E$23)),0))))</f>
        <v/>
      </c>
      <c r="S130" s="20">
        <f>IF(Q130="","",IF(OR($D$24="",Q130&lt;N($C$24)),0,IF(B130="G마켓",ROUNDDOWN(MIN(Q130*$D$24,IF($E$24="",9E+99,$E$24)),0),ROUNDUP(MIN(Q130*$D$24,IF($E$24="",9E+99,$E$24)),0))))</f>
        <v/>
      </c>
      <c r="T130" s="20">
        <f>IF(Q130="","",IF(OR($D$25="",Q130&lt;N($C$25)),0,IF(B130="G마켓",ROUNDDOWN(MIN(Q130*$D$25,IF($E$25="",9E+99,$E$25)),0),ROUNDUP(MIN(Q130*$D$25,IF($E$25="",9E+99,$E$25)),0))))</f>
        <v/>
      </c>
      <c r="U130" s="19">
        <f>IF(G130="","",MAX(R130:T130))</f>
        <v/>
      </c>
      <c r="V130" s="21">
        <f>IF(G130="","",Q130-U130)</f>
        <v/>
      </c>
      <c r="W130" s="19">
        <f>IF(G130="","",IF(B130="G마켓",ROUNDDOWN(MAX(I130*N($G$10),J130*N($G$11),K130*N($G$12))+MAX(M130*N($G$16),N130*N($G$17),O130*N($G$18),P130*N($G$19))+MAX(R130*N($G$23),S130*N($G$24),T130*N($G$25)),0),ROUNDUP(MAX(I130*N($G$10),J130*N($G$11),K130*N($G$12))+MAX(M130*N($G$16),N130*N($G$17),O130*N($G$18),P130*N($G$19))+MAX(R130*N($G$23),S130*N($G$24),T130*N($G$25)),0)))</f>
        <v/>
      </c>
      <c r="X130" s="21">
        <f>IF(G130="","",IF(B130="G마켓",ROUNDDOWN(G130-G130*$Q$6-W130,0),ROUNDUP(G130-G130*$Q$6-W130,0)))</f>
        <v/>
      </c>
    </row>
    <row r="131">
      <c r="B131" s="7" t="n"/>
      <c r="C131" s="7" t="n"/>
      <c r="D131" s="22" t="n"/>
      <c r="E131" s="23" t="n"/>
      <c r="F131" s="23" t="n"/>
      <c r="G131" s="19">
        <f>IF(E131="","",E131-N(F131))</f>
        <v/>
      </c>
      <c r="I131" s="20">
        <f>IF(G131="","",IF(OR($D$10="",$H$10="X",G131&lt;N($C$10)),0,IF(B131="G마켓",ROUNDDOWN(MIN(G131*$D$10,IF($E$10="",9E+99,$E$10)),0),ROUNDUP(MIN(G131*$D$10,IF($E$10="",9E+99,$E$10)),0))))</f>
        <v/>
      </c>
      <c r="J131" s="20">
        <f>IF(G131="","",IF(OR($D$11="",$H$11="X",G131&lt;N($C$11)),0,IF(B131="G마켓",ROUNDDOWN(MIN(G131*$D$11,IF($E$11="",9E+99,$E$11)),0),ROUNDUP(MIN(G131*$D$11,IF($E$11="",9E+99,$E$11)),0))))</f>
        <v/>
      </c>
      <c r="K131" s="20">
        <f>IF(G131="","",IF(OR($D$12="",$H$12="X",G131&lt;N($C$12)),0,IF(B131="G마켓",ROUNDDOWN(MIN(G131*$D$12,IF($E$12="",9E+99,$E$12)),0),ROUNDUP(MIN(G131*$D$12,IF($E$12="",9E+99,$E$12)),0))))</f>
        <v/>
      </c>
      <c r="L131" s="19">
        <f>IF(G131="","",G131-MAX(I131:K131))</f>
        <v/>
      </c>
      <c r="M131" s="20">
        <f>IF(L131="","",IF(OR($D$16="",$H$16="X",L131&lt;N($C$16)),0,IF(B131="G마켓",ROUNDDOWN(MIN(L131*$D$16,IF($E$16="",9E+99,$E$16)),0),ROUNDUP(MIN(L131*$D$16,IF($E$16="",9E+99,$E$16)),0))))</f>
        <v/>
      </c>
      <c r="N131" s="20">
        <f>IF(L131="","",IF(OR($D$17="",$H$17="X",L131&lt;N($C$17)),0,IF(B131="G마켓",ROUNDDOWN(MIN(L131*$D$17,IF($E$17="",9E+99,$E$17)),0),ROUNDUP(MIN(L131*$D$17,IF($E$17="",9E+99,$E$17)),0))))</f>
        <v/>
      </c>
      <c r="O131" s="20">
        <f>IF(L131="","",IF(OR($D$18="",$H$18="X",L131&lt;N($C$18)),0,IF(B131="G마켓",ROUNDDOWN(MIN(L131*$D$18,IF($E$18="",9E+99,$E$18)),0),ROUNDUP(MIN(L131*$D$18,IF($E$18="",9E+99,$E$18)),0))))</f>
        <v/>
      </c>
      <c r="P131" s="20">
        <f>IF(L131="","",IF(OR($D$19="",$H$19="X",L131&lt;N($C$19)),0,IF(B131="G마켓",ROUNDDOWN(MIN(L131*$D$19,IF($E$19="",9E+99,$E$19)),0),ROUNDUP(MIN(L131*$D$19,IF($E$19="",9E+99,$E$19)),0))))</f>
        <v/>
      </c>
      <c r="Q131" s="19">
        <f>IF(G131="","",L131-MAX(M131:P131))</f>
        <v/>
      </c>
      <c r="R131" s="20">
        <f>IF(Q131="","",IF(OR($D$23="",Q131&lt;N($C$23)),0,IF(B131="G마켓",ROUNDDOWN(MIN(Q131*$D$23,IF($E$23="",9E+99,$E$23)),0),ROUNDUP(MIN(Q131*$D$23,IF($E$23="",9E+99,$E$23)),0))))</f>
        <v/>
      </c>
      <c r="S131" s="20">
        <f>IF(Q131="","",IF(OR($D$24="",Q131&lt;N($C$24)),0,IF(B131="G마켓",ROUNDDOWN(MIN(Q131*$D$24,IF($E$24="",9E+99,$E$24)),0),ROUNDUP(MIN(Q131*$D$24,IF($E$24="",9E+99,$E$24)),0))))</f>
        <v/>
      </c>
      <c r="T131" s="20">
        <f>IF(Q131="","",IF(OR($D$25="",Q131&lt;N($C$25)),0,IF(B131="G마켓",ROUNDDOWN(MIN(Q131*$D$25,IF($E$25="",9E+99,$E$25)),0),ROUNDUP(MIN(Q131*$D$25,IF($E$25="",9E+99,$E$25)),0))))</f>
        <v/>
      </c>
      <c r="U131" s="19">
        <f>IF(G131="","",MAX(R131:T131))</f>
        <v/>
      </c>
      <c r="V131" s="21">
        <f>IF(G131="","",Q131-U131)</f>
        <v/>
      </c>
      <c r="W131" s="19">
        <f>IF(G131="","",IF(B131="G마켓",ROUNDDOWN(MAX(I131*N($G$10),J131*N($G$11),K131*N($G$12))+MAX(M131*N($G$16),N131*N($G$17),O131*N($G$18),P131*N($G$19))+MAX(R131*N($G$23),S131*N($G$24),T131*N($G$25)),0),ROUNDUP(MAX(I131*N($G$10),J131*N($G$11),K131*N($G$12))+MAX(M131*N($G$16),N131*N($G$17),O131*N($G$18),P131*N($G$19))+MAX(R131*N($G$23),S131*N($G$24),T131*N($G$25)),0)))</f>
        <v/>
      </c>
      <c r="X131" s="21">
        <f>IF(G131="","",IF(B131="G마켓",ROUNDDOWN(G131-G131*$Q$6-W131,0),ROUNDUP(G131-G131*$Q$6-W131,0)))</f>
        <v/>
      </c>
    </row>
    <row r="132">
      <c r="B132" s="7" t="n"/>
      <c r="C132" s="7" t="n"/>
      <c r="D132" s="22" t="n"/>
      <c r="E132" s="23" t="n"/>
      <c r="F132" s="23" t="n"/>
      <c r="G132" s="19">
        <f>IF(E132="","",E132-N(F132))</f>
        <v/>
      </c>
      <c r="I132" s="20">
        <f>IF(G132="","",IF(OR($D$10="",$H$10="X",G132&lt;N($C$10)),0,IF(B132="G마켓",ROUNDDOWN(MIN(G132*$D$10,IF($E$10="",9E+99,$E$10)),0),ROUNDUP(MIN(G132*$D$10,IF($E$10="",9E+99,$E$10)),0))))</f>
        <v/>
      </c>
      <c r="J132" s="20">
        <f>IF(G132="","",IF(OR($D$11="",$H$11="X",G132&lt;N($C$11)),0,IF(B132="G마켓",ROUNDDOWN(MIN(G132*$D$11,IF($E$11="",9E+99,$E$11)),0),ROUNDUP(MIN(G132*$D$11,IF($E$11="",9E+99,$E$11)),0))))</f>
        <v/>
      </c>
      <c r="K132" s="20">
        <f>IF(G132="","",IF(OR($D$12="",$H$12="X",G132&lt;N($C$12)),0,IF(B132="G마켓",ROUNDDOWN(MIN(G132*$D$12,IF($E$12="",9E+99,$E$12)),0),ROUNDUP(MIN(G132*$D$12,IF($E$12="",9E+99,$E$12)),0))))</f>
        <v/>
      </c>
      <c r="L132" s="19">
        <f>IF(G132="","",G132-MAX(I132:K132))</f>
        <v/>
      </c>
      <c r="M132" s="20">
        <f>IF(L132="","",IF(OR($D$16="",$H$16="X",L132&lt;N($C$16)),0,IF(B132="G마켓",ROUNDDOWN(MIN(L132*$D$16,IF($E$16="",9E+99,$E$16)),0),ROUNDUP(MIN(L132*$D$16,IF($E$16="",9E+99,$E$16)),0))))</f>
        <v/>
      </c>
      <c r="N132" s="20">
        <f>IF(L132="","",IF(OR($D$17="",$H$17="X",L132&lt;N($C$17)),0,IF(B132="G마켓",ROUNDDOWN(MIN(L132*$D$17,IF($E$17="",9E+99,$E$17)),0),ROUNDUP(MIN(L132*$D$17,IF($E$17="",9E+99,$E$17)),0))))</f>
        <v/>
      </c>
      <c r="O132" s="20">
        <f>IF(L132="","",IF(OR($D$18="",$H$18="X",L132&lt;N($C$18)),0,IF(B132="G마켓",ROUNDDOWN(MIN(L132*$D$18,IF($E$18="",9E+99,$E$18)),0),ROUNDUP(MIN(L132*$D$18,IF($E$18="",9E+99,$E$18)),0))))</f>
        <v/>
      </c>
      <c r="P132" s="20">
        <f>IF(L132="","",IF(OR($D$19="",$H$19="X",L132&lt;N($C$19)),0,IF(B132="G마켓",ROUNDDOWN(MIN(L132*$D$19,IF($E$19="",9E+99,$E$19)),0),ROUNDUP(MIN(L132*$D$19,IF($E$19="",9E+99,$E$19)),0))))</f>
        <v/>
      </c>
      <c r="Q132" s="19">
        <f>IF(G132="","",L132-MAX(M132:P132))</f>
        <v/>
      </c>
      <c r="R132" s="20">
        <f>IF(Q132="","",IF(OR($D$23="",Q132&lt;N($C$23)),0,IF(B132="G마켓",ROUNDDOWN(MIN(Q132*$D$23,IF($E$23="",9E+99,$E$23)),0),ROUNDUP(MIN(Q132*$D$23,IF($E$23="",9E+99,$E$23)),0))))</f>
        <v/>
      </c>
      <c r="S132" s="20">
        <f>IF(Q132="","",IF(OR($D$24="",Q132&lt;N($C$24)),0,IF(B132="G마켓",ROUNDDOWN(MIN(Q132*$D$24,IF($E$24="",9E+99,$E$24)),0),ROUNDUP(MIN(Q132*$D$24,IF($E$24="",9E+99,$E$24)),0))))</f>
        <v/>
      </c>
      <c r="T132" s="20">
        <f>IF(Q132="","",IF(OR($D$25="",Q132&lt;N($C$25)),0,IF(B132="G마켓",ROUNDDOWN(MIN(Q132*$D$25,IF($E$25="",9E+99,$E$25)),0),ROUNDUP(MIN(Q132*$D$25,IF($E$25="",9E+99,$E$25)),0))))</f>
        <v/>
      </c>
      <c r="U132" s="19">
        <f>IF(G132="","",MAX(R132:T132))</f>
        <v/>
      </c>
      <c r="V132" s="21">
        <f>IF(G132="","",Q132-U132)</f>
        <v/>
      </c>
      <c r="W132" s="19">
        <f>IF(G132="","",IF(B132="G마켓",ROUNDDOWN(MAX(I132*N($G$10),J132*N($G$11),K132*N($G$12))+MAX(M132*N($G$16),N132*N($G$17),O132*N($G$18),P132*N($G$19))+MAX(R132*N($G$23),S132*N($G$24),T132*N($G$25)),0),ROUNDUP(MAX(I132*N($G$10),J132*N($G$11),K132*N($G$12))+MAX(M132*N($G$16),N132*N($G$17),O132*N($G$18),P132*N($G$19))+MAX(R132*N($G$23),S132*N($G$24),T132*N($G$25)),0)))</f>
        <v/>
      </c>
      <c r="X132" s="21">
        <f>IF(G132="","",IF(B132="G마켓",ROUNDDOWN(G132-G132*$Q$6-W132,0),ROUNDUP(G132-G132*$Q$6-W132,0)))</f>
        <v/>
      </c>
    </row>
    <row r="133">
      <c r="B133" s="7" t="n"/>
      <c r="C133" s="7" t="n"/>
      <c r="D133" s="22" t="n"/>
      <c r="E133" s="23" t="n"/>
      <c r="F133" s="23" t="n"/>
      <c r="G133" s="19">
        <f>IF(E133="","",E133-N(F133))</f>
        <v/>
      </c>
      <c r="I133" s="20">
        <f>IF(G133="","",IF(OR($D$10="",$H$10="X",G133&lt;N($C$10)),0,IF(B133="G마켓",ROUNDDOWN(MIN(G133*$D$10,IF($E$10="",9E+99,$E$10)),0),ROUNDUP(MIN(G133*$D$10,IF($E$10="",9E+99,$E$10)),0))))</f>
        <v/>
      </c>
      <c r="J133" s="20">
        <f>IF(G133="","",IF(OR($D$11="",$H$11="X",G133&lt;N($C$11)),0,IF(B133="G마켓",ROUNDDOWN(MIN(G133*$D$11,IF($E$11="",9E+99,$E$11)),0),ROUNDUP(MIN(G133*$D$11,IF($E$11="",9E+99,$E$11)),0))))</f>
        <v/>
      </c>
      <c r="K133" s="20">
        <f>IF(G133="","",IF(OR($D$12="",$H$12="X",G133&lt;N($C$12)),0,IF(B133="G마켓",ROUNDDOWN(MIN(G133*$D$12,IF($E$12="",9E+99,$E$12)),0),ROUNDUP(MIN(G133*$D$12,IF($E$12="",9E+99,$E$12)),0))))</f>
        <v/>
      </c>
      <c r="L133" s="19">
        <f>IF(G133="","",G133-MAX(I133:K133))</f>
        <v/>
      </c>
      <c r="M133" s="20">
        <f>IF(L133="","",IF(OR($D$16="",$H$16="X",L133&lt;N($C$16)),0,IF(B133="G마켓",ROUNDDOWN(MIN(L133*$D$16,IF($E$16="",9E+99,$E$16)),0),ROUNDUP(MIN(L133*$D$16,IF($E$16="",9E+99,$E$16)),0))))</f>
        <v/>
      </c>
      <c r="N133" s="20">
        <f>IF(L133="","",IF(OR($D$17="",$H$17="X",L133&lt;N($C$17)),0,IF(B133="G마켓",ROUNDDOWN(MIN(L133*$D$17,IF($E$17="",9E+99,$E$17)),0),ROUNDUP(MIN(L133*$D$17,IF($E$17="",9E+99,$E$17)),0))))</f>
        <v/>
      </c>
      <c r="O133" s="20">
        <f>IF(L133="","",IF(OR($D$18="",$H$18="X",L133&lt;N($C$18)),0,IF(B133="G마켓",ROUNDDOWN(MIN(L133*$D$18,IF($E$18="",9E+99,$E$18)),0),ROUNDUP(MIN(L133*$D$18,IF($E$18="",9E+99,$E$18)),0))))</f>
        <v/>
      </c>
      <c r="P133" s="20">
        <f>IF(L133="","",IF(OR($D$19="",$H$19="X",L133&lt;N($C$19)),0,IF(B133="G마켓",ROUNDDOWN(MIN(L133*$D$19,IF($E$19="",9E+99,$E$19)),0),ROUNDUP(MIN(L133*$D$19,IF($E$19="",9E+99,$E$19)),0))))</f>
        <v/>
      </c>
      <c r="Q133" s="19">
        <f>IF(G133="","",L133-MAX(M133:P133))</f>
        <v/>
      </c>
      <c r="R133" s="20">
        <f>IF(Q133="","",IF(OR($D$23="",Q133&lt;N($C$23)),0,IF(B133="G마켓",ROUNDDOWN(MIN(Q133*$D$23,IF($E$23="",9E+99,$E$23)),0),ROUNDUP(MIN(Q133*$D$23,IF($E$23="",9E+99,$E$23)),0))))</f>
        <v/>
      </c>
      <c r="S133" s="20">
        <f>IF(Q133="","",IF(OR($D$24="",Q133&lt;N($C$24)),0,IF(B133="G마켓",ROUNDDOWN(MIN(Q133*$D$24,IF($E$24="",9E+99,$E$24)),0),ROUNDUP(MIN(Q133*$D$24,IF($E$24="",9E+99,$E$24)),0))))</f>
        <v/>
      </c>
      <c r="T133" s="20">
        <f>IF(Q133="","",IF(OR($D$25="",Q133&lt;N($C$25)),0,IF(B133="G마켓",ROUNDDOWN(MIN(Q133*$D$25,IF($E$25="",9E+99,$E$25)),0),ROUNDUP(MIN(Q133*$D$25,IF($E$25="",9E+99,$E$25)),0))))</f>
        <v/>
      </c>
      <c r="U133" s="19">
        <f>IF(G133="","",MAX(R133:T133))</f>
        <v/>
      </c>
      <c r="V133" s="21">
        <f>IF(G133="","",Q133-U133)</f>
        <v/>
      </c>
      <c r="W133" s="19">
        <f>IF(G133="","",IF(B133="G마켓",ROUNDDOWN(MAX(I133*N($G$10),J133*N($G$11),K133*N($G$12))+MAX(M133*N($G$16),N133*N($G$17),O133*N($G$18),P133*N($G$19))+MAX(R133*N($G$23),S133*N($G$24),T133*N($G$25)),0),ROUNDUP(MAX(I133*N($G$10),J133*N($G$11),K133*N($G$12))+MAX(M133*N($G$16),N133*N($G$17),O133*N($G$18),P133*N($G$19))+MAX(R133*N($G$23),S133*N($G$24),T133*N($G$25)),0)))</f>
        <v/>
      </c>
      <c r="X133" s="21">
        <f>IF(G133="","",IF(B133="G마켓",ROUNDDOWN(G133-G133*$Q$6-W133,0),ROUNDUP(G133-G133*$Q$6-W133,0)))</f>
        <v/>
      </c>
    </row>
    <row r="134">
      <c r="B134" s="7" t="n"/>
      <c r="C134" s="7" t="n"/>
      <c r="D134" s="22" t="n"/>
      <c r="E134" s="23" t="n"/>
      <c r="F134" s="23" t="n"/>
      <c r="G134" s="19">
        <f>IF(E134="","",E134-N(F134))</f>
        <v/>
      </c>
      <c r="I134" s="20">
        <f>IF(G134="","",IF(OR($D$10="",$H$10="X",G134&lt;N($C$10)),0,IF(B134="G마켓",ROUNDDOWN(MIN(G134*$D$10,IF($E$10="",9E+99,$E$10)),0),ROUNDUP(MIN(G134*$D$10,IF($E$10="",9E+99,$E$10)),0))))</f>
        <v/>
      </c>
      <c r="J134" s="20">
        <f>IF(G134="","",IF(OR($D$11="",$H$11="X",G134&lt;N($C$11)),0,IF(B134="G마켓",ROUNDDOWN(MIN(G134*$D$11,IF($E$11="",9E+99,$E$11)),0),ROUNDUP(MIN(G134*$D$11,IF($E$11="",9E+99,$E$11)),0))))</f>
        <v/>
      </c>
      <c r="K134" s="20">
        <f>IF(G134="","",IF(OR($D$12="",$H$12="X",G134&lt;N($C$12)),0,IF(B134="G마켓",ROUNDDOWN(MIN(G134*$D$12,IF($E$12="",9E+99,$E$12)),0),ROUNDUP(MIN(G134*$D$12,IF($E$12="",9E+99,$E$12)),0))))</f>
        <v/>
      </c>
      <c r="L134" s="19">
        <f>IF(G134="","",G134-MAX(I134:K134))</f>
        <v/>
      </c>
      <c r="M134" s="20">
        <f>IF(L134="","",IF(OR($D$16="",$H$16="X",L134&lt;N($C$16)),0,IF(B134="G마켓",ROUNDDOWN(MIN(L134*$D$16,IF($E$16="",9E+99,$E$16)),0),ROUNDUP(MIN(L134*$D$16,IF($E$16="",9E+99,$E$16)),0))))</f>
        <v/>
      </c>
      <c r="N134" s="20">
        <f>IF(L134="","",IF(OR($D$17="",$H$17="X",L134&lt;N($C$17)),0,IF(B134="G마켓",ROUNDDOWN(MIN(L134*$D$17,IF($E$17="",9E+99,$E$17)),0),ROUNDUP(MIN(L134*$D$17,IF($E$17="",9E+99,$E$17)),0))))</f>
        <v/>
      </c>
      <c r="O134" s="20">
        <f>IF(L134="","",IF(OR($D$18="",$H$18="X",L134&lt;N($C$18)),0,IF(B134="G마켓",ROUNDDOWN(MIN(L134*$D$18,IF($E$18="",9E+99,$E$18)),0),ROUNDUP(MIN(L134*$D$18,IF($E$18="",9E+99,$E$18)),0))))</f>
        <v/>
      </c>
      <c r="P134" s="20">
        <f>IF(L134="","",IF(OR($D$19="",$H$19="X",L134&lt;N($C$19)),0,IF(B134="G마켓",ROUNDDOWN(MIN(L134*$D$19,IF($E$19="",9E+99,$E$19)),0),ROUNDUP(MIN(L134*$D$19,IF($E$19="",9E+99,$E$19)),0))))</f>
        <v/>
      </c>
      <c r="Q134" s="19">
        <f>IF(G134="","",L134-MAX(M134:P134))</f>
        <v/>
      </c>
      <c r="R134" s="20">
        <f>IF(Q134="","",IF(OR($D$23="",Q134&lt;N($C$23)),0,IF(B134="G마켓",ROUNDDOWN(MIN(Q134*$D$23,IF($E$23="",9E+99,$E$23)),0),ROUNDUP(MIN(Q134*$D$23,IF($E$23="",9E+99,$E$23)),0))))</f>
        <v/>
      </c>
      <c r="S134" s="20">
        <f>IF(Q134="","",IF(OR($D$24="",Q134&lt;N($C$24)),0,IF(B134="G마켓",ROUNDDOWN(MIN(Q134*$D$24,IF($E$24="",9E+99,$E$24)),0),ROUNDUP(MIN(Q134*$D$24,IF($E$24="",9E+99,$E$24)),0))))</f>
        <v/>
      </c>
      <c r="T134" s="20">
        <f>IF(Q134="","",IF(OR($D$25="",Q134&lt;N($C$25)),0,IF(B134="G마켓",ROUNDDOWN(MIN(Q134*$D$25,IF($E$25="",9E+99,$E$25)),0),ROUNDUP(MIN(Q134*$D$25,IF($E$25="",9E+99,$E$25)),0))))</f>
        <v/>
      </c>
      <c r="U134" s="19">
        <f>IF(G134="","",MAX(R134:T134))</f>
        <v/>
      </c>
      <c r="V134" s="21">
        <f>IF(G134="","",Q134-U134)</f>
        <v/>
      </c>
      <c r="W134" s="19">
        <f>IF(G134="","",IF(B134="G마켓",ROUNDDOWN(MAX(I134*N($G$10),J134*N($G$11),K134*N($G$12))+MAX(M134*N($G$16),N134*N($G$17),O134*N($G$18),P134*N($G$19))+MAX(R134*N($G$23),S134*N($G$24),T134*N($G$25)),0),ROUNDUP(MAX(I134*N($G$10),J134*N($G$11),K134*N($G$12))+MAX(M134*N($G$16),N134*N($G$17),O134*N($G$18),P134*N($G$19))+MAX(R134*N($G$23),S134*N($G$24),T134*N($G$25)),0)))</f>
        <v/>
      </c>
      <c r="X134" s="21">
        <f>IF(G134="","",IF(B134="G마켓",ROUNDDOWN(G134-G134*$Q$6-W134,0),ROUNDUP(G134-G134*$Q$6-W134,0)))</f>
        <v/>
      </c>
    </row>
    <row r="135">
      <c r="B135" s="7" t="n"/>
      <c r="C135" s="7" t="n"/>
      <c r="D135" s="22" t="n"/>
      <c r="E135" s="23" t="n"/>
      <c r="F135" s="23" t="n"/>
      <c r="G135" s="19">
        <f>IF(E135="","",E135-N(F135))</f>
        <v/>
      </c>
      <c r="I135" s="20">
        <f>IF(G135="","",IF(OR($D$10="",$H$10="X",G135&lt;N($C$10)),0,IF(B135="G마켓",ROUNDDOWN(MIN(G135*$D$10,IF($E$10="",9E+99,$E$10)),0),ROUNDUP(MIN(G135*$D$10,IF($E$10="",9E+99,$E$10)),0))))</f>
        <v/>
      </c>
      <c r="J135" s="20">
        <f>IF(G135="","",IF(OR($D$11="",$H$11="X",G135&lt;N($C$11)),0,IF(B135="G마켓",ROUNDDOWN(MIN(G135*$D$11,IF($E$11="",9E+99,$E$11)),0),ROUNDUP(MIN(G135*$D$11,IF($E$11="",9E+99,$E$11)),0))))</f>
        <v/>
      </c>
      <c r="K135" s="20">
        <f>IF(G135="","",IF(OR($D$12="",$H$12="X",G135&lt;N($C$12)),0,IF(B135="G마켓",ROUNDDOWN(MIN(G135*$D$12,IF($E$12="",9E+99,$E$12)),0),ROUNDUP(MIN(G135*$D$12,IF($E$12="",9E+99,$E$12)),0))))</f>
        <v/>
      </c>
      <c r="L135" s="19">
        <f>IF(G135="","",G135-MAX(I135:K135))</f>
        <v/>
      </c>
      <c r="M135" s="20">
        <f>IF(L135="","",IF(OR($D$16="",$H$16="X",L135&lt;N($C$16)),0,IF(B135="G마켓",ROUNDDOWN(MIN(L135*$D$16,IF($E$16="",9E+99,$E$16)),0),ROUNDUP(MIN(L135*$D$16,IF($E$16="",9E+99,$E$16)),0))))</f>
        <v/>
      </c>
      <c r="N135" s="20">
        <f>IF(L135="","",IF(OR($D$17="",$H$17="X",L135&lt;N($C$17)),0,IF(B135="G마켓",ROUNDDOWN(MIN(L135*$D$17,IF($E$17="",9E+99,$E$17)),0),ROUNDUP(MIN(L135*$D$17,IF($E$17="",9E+99,$E$17)),0))))</f>
        <v/>
      </c>
      <c r="O135" s="20">
        <f>IF(L135="","",IF(OR($D$18="",$H$18="X",L135&lt;N($C$18)),0,IF(B135="G마켓",ROUNDDOWN(MIN(L135*$D$18,IF($E$18="",9E+99,$E$18)),0),ROUNDUP(MIN(L135*$D$18,IF($E$18="",9E+99,$E$18)),0))))</f>
        <v/>
      </c>
      <c r="P135" s="20">
        <f>IF(L135="","",IF(OR($D$19="",$H$19="X",L135&lt;N($C$19)),0,IF(B135="G마켓",ROUNDDOWN(MIN(L135*$D$19,IF($E$19="",9E+99,$E$19)),0),ROUNDUP(MIN(L135*$D$19,IF($E$19="",9E+99,$E$19)),0))))</f>
        <v/>
      </c>
      <c r="Q135" s="19">
        <f>IF(G135="","",L135-MAX(M135:P135))</f>
        <v/>
      </c>
      <c r="R135" s="20">
        <f>IF(Q135="","",IF(OR($D$23="",Q135&lt;N($C$23)),0,IF(B135="G마켓",ROUNDDOWN(MIN(Q135*$D$23,IF($E$23="",9E+99,$E$23)),0),ROUNDUP(MIN(Q135*$D$23,IF($E$23="",9E+99,$E$23)),0))))</f>
        <v/>
      </c>
      <c r="S135" s="20">
        <f>IF(Q135="","",IF(OR($D$24="",Q135&lt;N($C$24)),0,IF(B135="G마켓",ROUNDDOWN(MIN(Q135*$D$24,IF($E$24="",9E+99,$E$24)),0),ROUNDUP(MIN(Q135*$D$24,IF($E$24="",9E+99,$E$24)),0))))</f>
        <v/>
      </c>
      <c r="T135" s="20">
        <f>IF(Q135="","",IF(OR($D$25="",Q135&lt;N($C$25)),0,IF(B135="G마켓",ROUNDDOWN(MIN(Q135*$D$25,IF($E$25="",9E+99,$E$25)),0),ROUNDUP(MIN(Q135*$D$25,IF($E$25="",9E+99,$E$25)),0))))</f>
        <v/>
      </c>
      <c r="U135" s="19">
        <f>IF(G135="","",MAX(R135:T135))</f>
        <v/>
      </c>
      <c r="V135" s="21">
        <f>IF(G135="","",Q135-U135)</f>
        <v/>
      </c>
      <c r="W135" s="19">
        <f>IF(G135="","",IF(B135="G마켓",ROUNDDOWN(MAX(I135*N($G$10),J135*N($G$11),K135*N($G$12))+MAX(M135*N($G$16),N135*N($G$17),O135*N($G$18),P135*N($G$19))+MAX(R135*N($G$23),S135*N($G$24),T135*N($G$25)),0),ROUNDUP(MAX(I135*N($G$10),J135*N($G$11),K135*N($G$12))+MAX(M135*N($G$16),N135*N($G$17),O135*N($G$18),P135*N($G$19))+MAX(R135*N($G$23),S135*N($G$24),T135*N($G$25)),0)))</f>
        <v/>
      </c>
      <c r="X135" s="21">
        <f>IF(G135="","",IF(B135="G마켓",ROUNDDOWN(G135-G135*$Q$6-W135,0),ROUNDUP(G135-G135*$Q$6-W135,0)))</f>
        <v/>
      </c>
    </row>
    <row r="136">
      <c r="B136" s="7" t="n"/>
      <c r="C136" s="7" t="n"/>
      <c r="D136" s="22" t="n"/>
      <c r="E136" s="23" t="n"/>
      <c r="F136" s="23" t="n"/>
      <c r="G136" s="19">
        <f>IF(E136="","",E136-N(F136))</f>
        <v/>
      </c>
      <c r="I136" s="20">
        <f>IF(G136="","",IF(OR($D$10="",$H$10="X",G136&lt;N($C$10)),0,IF(B136="G마켓",ROUNDDOWN(MIN(G136*$D$10,IF($E$10="",9E+99,$E$10)),0),ROUNDUP(MIN(G136*$D$10,IF($E$10="",9E+99,$E$10)),0))))</f>
        <v/>
      </c>
      <c r="J136" s="20">
        <f>IF(G136="","",IF(OR($D$11="",$H$11="X",G136&lt;N($C$11)),0,IF(B136="G마켓",ROUNDDOWN(MIN(G136*$D$11,IF($E$11="",9E+99,$E$11)),0),ROUNDUP(MIN(G136*$D$11,IF($E$11="",9E+99,$E$11)),0))))</f>
        <v/>
      </c>
      <c r="K136" s="20">
        <f>IF(G136="","",IF(OR($D$12="",$H$12="X",G136&lt;N($C$12)),0,IF(B136="G마켓",ROUNDDOWN(MIN(G136*$D$12,IF($E$12="",9E+99,$E$12)),0),ROUNDUP(MIN(G136*$D$12,IF($E$12="",9E+99,$E$12)),0))))</f>
        <v/>
      </c>
      <c r="L136" s="19">
        <f>IF(G136="","",G136-MAX(I136:K136))</f>
        <v/>
      </c>
      <c r="M136" s="20">
        <f>IF(L136="","",IF(OR($D$16="",$H$16="X",L136&lt;N($C$16)),0,IF(B136="G마켓",ROUNDDOWN(MIN(L136*$D$16,IF($E$16="",9E+99,$E$16)),0),ROUNDUP(MIN(L136*$D$16,IF($E$16="",9E+99,$E$16)),0))))</f>
        <v/>
      </c>
      <c r="N136" s="20">
        <f>IF(L136="","",IF(OR($D$17="",$H$17="X",L136&lt;N($C$17)),0,IF(B136="G마켓",ROUNDDOWN(MIN(L136*$D$17,IF($E$17="",9E+99,$E$17)),0),ROUNDUP(MIN(L136*$D$17,IF($E$17="",9E+99,$E$17)),0))))</f>
        <v/>
      </c>
      <c r="O136" s="20">
        <f>IF(L136="","",IF(OR($D$18="",$H$18="X",L136&lt;N($C$18)),0,IF(B136="G마켓",ROUNDDOWN(MIN(L136*$D$18,IF($E$18="",9E+99,$E$18)),0),ROUNDUP(MIN(L136*$D$18,IF($E$18="",9E+99,$E$18)),0))))</f>
        <v/>
      </c>
      <c r="P136" s="20">
        <f>IF(L136="","",IF(OR($D$19="",$H$19="X",L136&lt;N($C$19)),0,IF(B136="G마켓",ROUNDDOWN(MIN(L136*$D$19,IF($E$19="",9E+99,$E$19)),0),ROUNDUP(MIN(L136*$D$19,IF($E$19="",9E+99,$E$19)),0))))</f>
        <v/>
      </c>
      <c r="Q136" s="19">
        <f>IF(G136="","",L136-MAX(M136:P136))</f>
        <v/>
      </c>
      <c r="R136" s="20">
        <f>IF(Q136="","",IF(OR($D$23="",Q136&lt;N($C$23)),0,IF(B136="G마켓",ROUNDDOWN(MIN(Q136*$D$23,IF($E$23="",9E+99,$E$23)),0),ROUNDUP(MIN(Q136*$D$23,IF($E$23="",9E+99,$E$23)),0))))</f>
        <v/>
      </c>
      <c r="S136" s="20">
        <f>IF(Q136="","",IF(OR($D$24="",Q136&lt;N($C$24)),0,IF(B136="G마켓",ROUNDDOWN(MIN(Q136*$D$24,IF($E$24="",9E+99,$E$24)),0),ROUNDUP(MIN(Q136*$D$24,IF($E$24="",9E+99,$E$24)),0))))</f>
        <v/>
      </c>
      <c r="T136" s="20">
        <f>IF(Q136="","",IF(OR($D$25="",Q136&lt;N($C$25)),0,IF(B136="G마켓",ROUNDDOWN(MIN(Q136*$D$25,IF($E$25="",9E+99,$E$25)),0),ROUNDUP(MIN(Q136*$D$25,IF($E$25="",9E+99,$E$25)),0))))</f>
        <v/>
      </c>
      <c r="U136" s="19">
        <f>IF(G136="","",MAX(R136:T136))</f>
        <v/>
      </c>
      <c r="V136" s="21">
        <f>IF(G136="","",Q136-U136)</f>
        <v/>
      </c>
      <c r="W136" s="19">
        <f>IF(G136="","",IF(B136="G마켓",ROUNDDOWN(MAX(I136*N($G$10),J136*N($G$11),K136*N($G$12))+MAX(M136*N($G$16),N136*N($G$17),O136*N($G$18),P136*N($G$19))+MAX(R136*N($G$23),S136*N($G$24),T136*N($G$25)),0),ROUNDUP(MAX(I136*N($G$10),J136*N($G$11),K136*N($G$12))+MAX(M136*N($G$16),N136*N($G$17),O136*N($G$18),P136*N($G$19))+MAX(R136*N($G$23),S136*N($G$24),T136*N($G$25)),0)))</f>
        <v/>
      </c>
      <c r="X136" s="21">
        <f>IF(G136="","",IF(B136="G마켓",ROUNDDOWN(G136-G136*$Q$6-W136,0),ROUNDUP(G136-G136*$Q$6-W136,0)))</f>
        <v/>
      </c>
    </row>
    <row r="137">
      <c r="B137" s="7" t="n"/>
      <c r="C137" s="7" t="n"/>
      <c r="D137" s="22" t="n"/>
      <c r="E137" s="23" t="n"/>
      <c r="F137" s="23" t="n"/>
      <c r="G137" s="19">
        <f>IF(E137="","",E137-N(F137))</f>
        <v/>
      </c>
      <c r="I137" s="20">
        <f>IF(G137="","",IF(OR($D$10="",$H$10="X",G137&lt;N($C$10)),0,IF(B137="G마켓",ROUNDDOWN(MIN(G137*$D$10,IF($E$10="",9E+99,$E$10)),0),ROUNDUP(MIN(G137*$D$10,IF($E$10="",9E+99,$E$10)),0))))</f>
        <v/>
      </c>
      <c r="J137" s="20">
        <f>IF(G137="","",IF(OR($D$11="",$H$11="X",G137&lt;N($C$11)),0,IF(B137="G마켓",ROUNDDOWN(MIN(G137*$D$11,IF($E$11="",9E+99,$E$11)),0),ROUNDUP(MIN(G137*$D$11,IF($E$11="",9E+99,$E$11)),0))))</f>
        <v/>
      </c>
      <c r="K137" s="20">
        <f>IF(G137="","",IF(OR($D$12="",$H$12="X",G137&lt;N($C$12)),0,IF(B137="G마켓",ROUNDDOWN(MIN(G137*$D$12,IF($E$12="",9E+99,$E$12)),0),ROUNDUP(MIN(G137*$D$12,IF($E$12="",9E+99,$E$12)),0))))</f>
        <v/>
      </c>
      <c r="L137" s="19">
        <f>IF(G137="","",G137-MAX(I137:K137))</f>
        <v/>
      </c>
      <c r="M137" s="20">
        <f>IF(L137="","",IF(OR($D$16="",$H$16="X",L137&lt;N($C$16)),0,IF(B137="G마켓",ROUNDDOWN(MIN(L137*$D$16,IF($E$16="",9E+99,$E$16)),0),ROUNDUP(MIN(L137*$D$16,IF($E$16="",9E+99,$E$16)),0))))</f>
        <v/>
      </c>
      <c r="N137" s="20">
        <f>IF(L137="","",IF(OR($D$17="",$H$17="X",L137&lt;N($C$17)),0,IF(B137="G마켓",ROUNDDOWN(MIN(L137*$D$17,IF($E$17="",9E+99,$E$17)),0),ROUNDUP(MIN(L137*$D$17,IF($E$17="",9E+99,$E$17)),0))))</f>
        <v/>
      </c>
      <c r="O137" s="20">
        <f>IF(L137="","",IF(OR($D$18="",$H$18="X",L137&lt;N($C$18)),0,IF(B137="G마켓",ROUNDDOWN(MIN(L137*$D$18,IF($E$18="",9E+99,$E$18)),0),ROUNDUP(MIN(L137*$D$18,IF($E$18="",9E+99,$E$18)),0))))</f>
        <v/>
      </c>
      <c r="P137" s="20">
        <f>IF(L137="","",IF(OR($D$19="",$H$19="X",L137&lt;N($C$19)),0,IF(B137="G마켓",ROUNDDOWN(MIN(L137*$D$19,IF($E$19="",9E+99,$E$19)),0),ROUNDUP(MIN(L137*$D$19,IF($E$19="",9E+99,$E$19)),0))))</f>
        <v/>
      </c>
      <c r="Q137" s="19">
        <f>IF(G137="","",L137-MAX(M137:P137))</f>
        <v/>
      </c>
      <c r="R137" s="20">
        <f>IF(Q137="","",IF(OR($D$23="",Q137&lt;N($C$23)),0,IF(B137="G마켓",ROUNDDOWN(MIN(Q137*$D$23,IF($E$23="",9E+99,$E$23)),0),ROUNDUP(MIN(Q137*$D$23,IF($E$23="",9E+99,$E$23)),0))))</f>
        <v/>
      </c>
      <c r="S137" s="20">
        <f>IF(Q137="","",IF(OR($D$24="",Q137&lt;N($C$24)),0,IF(B137="G마켓",ROUNDDOWN(MIN(Q137*$D$24,IF($E$24="",9E+99,$E$24)),0),ROUNDUP(MIN(Q137*$D$24,IF($E$24="",9E+99,$E$24)),0))))</f>
        <v/>
      </c>
      <c r="T137" s="20">
        <f>IF(Q137="","",IF(OR($D$25="",Q137&lt;N($C$25)),0,IF(B137="G마켓",ROUNDDOWN(MIN(Q137*$D$25,IF($E$25="",9E+99,$E$25)),0),ROUNDUP(MIN(Q137*$D$25,IF($E$25="",9E+99,$E$25)),0))))</f>
        <v/>
      </c>
      <c r="U137" s="19">
        <f>IF(G137="","",MAX(R137:T137))</f>
        <v/>
      </c>
      <c r="V137" s="21">
        <f>IF(G137="","",Q137-U137)</f>
        <v/>
      </c>
      <c r="W137" s="19">
        <f>IF(G137="","",IF(B137="G마켓",ROUNDDOWN(MAX(I137*N($G$10),J137*N($G$11),K137*N($G$12))+MAX(M137*N($G$16),N137*N($G$17),O137*N($G$18),P137*N($G$19))+MAX(R137*N($G$23),S137*N($G$24),T137*N($G$25)),0),ROUNDUP(MAX(I137*N($G$10),J137*N($G$11),K137*N($G$12))+MAX(M137*N($G$16),N137*N($G$17),O137*N($G$18),P137*N($G$19))+MAX(R137*N($G$23),S137*N($G$24),T137*N($G$25)),0)))</f>
        <v/>
      </c>
      <c r="X137" s="21">
        <f>IF(G137="","",IF(B137="G마켓",ROUNDDOWN(G137-G137*$Q$6-W137,0),ROUNDUP(G137-G137*$Q$6-W137,0)))</f>
        <v/>
      </c>
    </row>
    <row r="138">
      <c r="B138" s="7" t="n"/>
      <c r="C138" s="7" t="n"/>
      <c r="D138" s="22" t="n"/>
      <c r="E138" s="23" t="n"/>
      <c r="F138" s="23" t="n"/>
      <c r="G138" s="19">
        <f>IF(E138="","",E138-N(F138))</f>
        <v/>
      </c>
      <c r="I138" s="20">
        <f>IF(G138="","",IF(OR($D$10="",$H$10="X",G138&lt;N($C$10)),0,IF(B138="G마켓",ROUNDDOWN(MIN(G138*$D$10,IF($E$10="",9E+99,$E$10)),0),ROUNDUP(MIN(G138*$D$10,IF($E$10="",9E+99,$E$10)),0))))</f>
        <v/>
      </c>
      <c r="J138" s="20">
        <f>IF(G138="","",IF(OR($D$11="",$H$11="X",G138&lt;N($C$11)),0,IF(B138="G마켓",ROUNDDOWN(MIN(G138*$D$11,IF($E$11="",9E+99,$E$11)),0),ROUNDUP(MIN(G138*$D$11,IF($E$11="",9E+99,$E$11)),0))))</f>
        <v/>
      </c>
      <c r="K138" s="20">
        <f>IF(G138="","",IF(OR($D$12="",$H$12="X",G138&lt;N($C$12)),0,IF(B138="G마켓",ROUNDDOWN(MIN(G138*$D$12,IF($E$12="",9E+99,$E$12)),0),ROUNDUP(MIN(G138*$D$12,IF($E$12="",9E+99,$E$12)),0))))</f>
        <v/>
      </c>
      <c r="L138" s="19">
        <f>IF(G138="","",G138-MAX(I138:K138))</f>
        <v/>
      </c>
      <c r="M138" s="20">
        <f>IF(L138="","",IF(OR($D$16="",$H$16="X",L138&lt;N($C$16)),0,IF(B138="G마켓",ROUNDDOWN(MIN(L138*$D$16,IF($E$16="",9E+99,$E$16)),0),ROUNDUP(MIN(L138*$D$16,IF($E$16="",9E+99,$E$16)),0))))</f>
        <v/>
      </c>
      <c r="N138" s="20">
        <f>IF(L138="","",IF(OR($D$17="",$H$17="X",L138&lt;N($C$17)),0,IF(B138="G마켓",ROUNDDOWN(MIN(L138*$D$17,IF($E$17="",9E+99,$E$17)),0),ROUNDUP(MIN(L138*$D$17,IF($E$17="",9E+99,$E$17)),0))))</f>
        <v/>
      </c>
      <c r="O138" s="20">
        <f>IF(L138="","",IF(OR($D$18="",$H$18="X",L138&lt;N($C$18)),0,IF(B138="G마켓",ROUNDDOWN(MIN(L138*$D$18,IF($E$18="",9E+99,$E$18)),0),ROUNDUP(MIN(L138*$D$18,IF($E$18="",9E+99,$E$18)),0))))</f>
        <v/>
      </c>
      <c r="P138" s="20">
        <f>IF(L138="","",IF(OR($D$19="",$H$19="X",L138&lt;N($C$19)),0,IF(B138="G마켓",ROUNDDOWN(MIN(L138*$D$19,IF($E$19="",9E+99,$E$19)),0),ROUNDUP(MIN(L138*$D$19,IF($E$19="",9E+99,$E$19)),0))))</f>
        <v/>
      </c>
      <c r="Q138" s="19">
        <f>IF(G138="","",L138-MAX(M138:P138))</f>
        <v/>
      </c>
      <c r="R138" s="20">
        <f>IF(Q138="","",IF(OR($D$23="",Q138&lt;N($C$23)),0,IF(B138="G마켓",ROUNDDOWN(MIN(Q138*$D$23,IF($E$23="",9E+99,$E$23)),0),ROUNDUP(MIN(Q138*$D$23,IF($E$23="",9E+99,$E$23)),0))))</f>
        <v/>
      </c>
      <c r="S138" s="20">
        <f>IF(Q138="","",IF(OR($D$24="",Q138&lt;N($C$24)),0,IF(B138="G마켓",ROUNDDOWN(MIN(Q138*$D$24,IF($E$24="",9E+99,$E$24)),0),ROUNDUP(MIN(Q138*$D$24,IF($E$24="",9E+99,$E$24)),0))))</f>
        <v/>
      </c>
      <c r="T138" s="20">
        <f>IF(Q138="","",IF(OR($D$25="",Q138&lt;N($C$25)),0,IF(B138="G마켓",ROUNDDOWN(MIN(Q138*$D$25,IF($E$25="",9E+99,$E$25)),0),ROUNDUP(MIN(Q138*$D$25,IF($E$25="",9E+99,$E$25)),0))))</f>
        <v/>
      </c>
      <c r="U138" s="19">
        <f>IF(G138="","",MAX(R138:T138))</f>
        <v/>
      </c>
      <c r="V138" s="21">
        <f>IF(G138="","",Q138-U138)</f>
        <v/>
      </c>
      <c r="W138" s="19">
        <f>IF(G138="","",IF(B138="G마켓",ROUNDDOWN(MAX(I138*N($G$10),J138*N($G$11),K138*N($G$12))+MAX(M138*N($G$16),N138*N($G$17),O138*N($G$18),P138*N($G$19))+MAX(R138*N($G$23),S138*N($G$24),T138*N($G$25)),0),ROUNDUP(MAX(I138*N($G$10),J138*N($G$11),K138*N($G$12))+MAX(M138*N($G$16),N138*N($G$17),O138*N($G$18),P138*N($G$19))+MAX(R138*N($G$23),S138*N($G$24),T138*N($G$25)),0)))</f>
        <v/>
      </c>
      <c r="X138" s="21">
        <f>IF(G138="","",IF(B138="G마켓",ROUNDDOWN(G138-G138*$Q$6-W138,0),ROUNDUP(G138-G138*$Q$6-W138,0)))</f>
        <v/>
      </c>
    </row>
    <row r="139">
      <c r="B139" s="7" t="n"/>
      <c r="C139" s="7" t="n"/>
      <c r="D139" s="22" t="n"/>
      <c r="E139" s="23" t="n"/>
      <c r="F139" s="23" t="n"/>
      <c r="G139" s="19">
        <f>IF(E139="","",E139-N(F139))</f>
        <v/>
      </c>
      <c r="I139" s="20">
        <f>IF(G139="","",IF(OR($D$10="",$H$10="X",G139&lt;N($C$10)),0,IF(B139="G마켓",ROUNDDOWN(MIN(G139*$D$10,IF($E$10="",9E+99,$E$10)),0),ROUNDUP(MIN(G139*$D$10,IF($E$10="",9E+99,$E$10)),0))))</f>
        <v/>
      </c>
      <c r="J139" s="20">
        <f>IF(G139="","",IF(OR($D$11="",$H$11="X",G139&lt;N($C$11)),0,IF(B139="G마켓",ROUNDDOWN(MIN(G139*$D$11,IF($E$11="",9E+99,$E$11)),0),ROUNDUP(MIN(G139*$D$11,IF($E$11="",9E+99,$E$11)),0))))</f>
        <v/>
      </c>
      <c r="K139" s="20">
        <f>IF(G139="","",IF(OR($D$12="",$H$12="X",G139&lt;N($C$12)),0,IF(B139="G마켓",ROUNDDOWN(MIN(G139*$D$12,IF($E$12="",9E+99,$E$12)),0),ROUNDUP(MIN(G139*$D$12,IF($E$12="",9E+99,$E$12)),0))))</f>
        <v/>
      </c>
      <c r="L139" s="19">
        <f>IF(G139="","",G139-MAX(I139:K139))</f>
        <v/>
      </c>
      <c r="M139" s="20">
        <f>IF(L139="","",IF(OR($D$16="",$H$16="X",L139&lt;N($C$16)),0,IF(B139="G마켓",ROUNDDOWN(MIN(L139*$D$16,IF($E$16="",9E+99,$E$16)),0),ROUNDUP(MIN(L139*$D$16,IF($E$16="",9E+99,$E$16)),0))))</f>
        <v/>
      </c>
      <c r="N139" s="20">
        <f>IF(L139="","",IF(OR($D$17="",$H$17="X",L139&lt;N($C$17)),0,IF(B139="G마켓",ROUNDDOWN(MIN(L139*$D$17,IF($E$17="",9E+99,$E$17)),0),ROUNDUP(MIN(L139*$D$17,IF($E$17="",9E+99,$E$17)),0))))</f>
        <v/>
      </c>
      <c r="O139" s="20">
        <f>IF(L139="","",IF(OR($D$18="",$H$18="X",L139&lt;N($C$18)),0,IF(B139="G마켓",ROUNDDOWN(MIN(L139*$D$18,IF($E$18="",9E+99,$E$18)),0),ROUNDUP(MIN(L139*$D$18,IF($E$18="",9E+99,$E$18)),0))))</f>
        <v/>
      </c>
      <c r="P139" s="20">
        <f>IF(L139="","",IF(OR($D$19="",$H$19="X",L139&lt;N($C$19)),0,IF(B139="G마켓",ROUNDDOWN(MIN(L139*$D$19,IF($E$19="",9E+99,$E$19)),0),ROUNDUP(MIN(L139*$D$19,IF($E$19="",9E+99,$E$19)),0))))</f>
        <v/>
      </c>
      <c r="Q139" s="19">
        <f>IF(G139="","",L139-MAX(M139:P139))</f>
        <v/>
      </c>
      <c r="R139" s="20">
        <f>IF(Q139="","",IF(OR($D$23="",Q139&lt;N($C$23)),0,IF(B139="G마켓",ROUNDDOWN(MIN(Q139*$D$23,IF($E$23="",9E+99,$E$23)),0),ROUNDUP(MIN(Q139*$D$23,IF($E$23="",9E+99,$E$23)),0))))</f>
        <v/>
      </c>
      <c r="S139" s="20">
        <f>IF(Q139="","",IF(OR($D$24="",Q139&lt;N($C$24)),0,IF(B139="G마켓",ROUNDDOWN(MIN(Q139*$D$24,IF($E$24="",9E+99,$E$24)),0),ROUNDUP(MIN(Q139*$D$24,IF($E$24="",9E+99,$E$24)),0))))</f>
        <v/>
      </c>
      <c r="T139" s="20">
        <f>IF(Q139="","",IF(OR($D$25="",Q139&lt;N($C$25)),0,IF(B139="G마켓",ROUNDDOWN(MIN(Q139*$D$25,IF($E$25="",9E+99,$E$25)),0),ROUNDUP(MIN(Q139*$D$25,IF($E$25="",9E+99,$E$25)),0))))</f>
        <v/>
      </c>
      <c r="U139" s="19">
        <f>IF(G139="","",MAX(R139:T139))</f>
        <v/>
      </c>
      <c r="V139" s="21">
        <f>IF(G139="","",Q139-U139)</f>
        <v/>
      </c>
      <c r="W139" s="19">
        <f>IF(G139="","",IF(B139="G마켓",ROUNDDOWN(MAX(I139*N($G$10),J139*N($G$11),K139*N($G$12))+MAX(M139*N($G$16),N139*N($G$17),O139*N($G$18),P139*N($G$19))+MAX(R139*N($G$23),S139*N($G$24),T139*N($G$25)),0),ROUNDUP(MAX(I139*N($G$10),J139*N($G$11),K139*N($G$12))+MAX(M139*N($G$16),N139*N($G$17),O139*N($G$18),P139*N($G$19))+MAX(R139*N($G$23),S139*N($G$24),T139*N($G$25)),0)))</f>
        <v/>
      </c>
      <c r="X139" s="21">
        <f>IF(G139="","",IF(B139="G마켓",ROUNDDOWN(G139-G139*$Q$6-W139,0),ROUNDUP(G139-G139*$Q$6-W139,0)))</f>
        <v/>
      </c>
    </row>
    <row r="140">
      <c r="B140" s="7" t="n"/>
      <c r="C140" s="7" t="n"/>
      <c r="D140" s="22" t="n"/>
      <c r="E140" s="23" t="n"/>
      <c r="F140" s="23" t="n"/>
      <c r="G140" s="19">
        <f>IF(E140="","",E140-N(F140))</f>
        <v/>
      </c>
      <c r="I140" s="20">
        <f>IF(G140="","",IF(OR($D$10="",$H$10="X",G140&lt;N($C$10)),0,IF(B140="G마켓",ROUNDDOWN(MIN(G140*$D$10,IF($E$10="",9E+99,$E$10)),0),ROUNDUP(MIN(G140*$D$10,IF($E$10="",9E+99,$E$10)),0))))</f>
        <v/>
      </c>
      <c r="J140" s="20">
        <f>IF(G140="","",IF(OR($D$11="",$H$11="X",G140&lt;N($C$11)),0,IF(B140="G마켓",ROUNDDOWN(MIN(G140*$D$11,IF($E$11="",9E+99,$E$11)),0),ROUNDUP(MIN(G140*$D$11,IF($E$11="",9E+99,$E$11)),0))))</f>
        <v/>
      </c>
      <c r="K140" s="20">
        <f>IF(G140="","",IF(OR($D$12="",$H$12="X",G140&lt;N($C$12)),0,IF(B140="G마켓",ROUNDDOWN(MIN(G140*$D$12,IF($E$12="",9E+99,$E$12)),0),ROUNDUP(MIN(G140*$D$12,IF($E$12="",9E+99,$E$12)),0))))</f>
        <v/>
      </c>
      <c r="L140" s="19">
        <f>IF(G140="","",G140-MAX(I140:K140))</f>
        <v/>
      </c>
      <c r="M140" s="20">
        <f>IF(L140="","",IF(OR($D$16="",$H$16="X",L140&lt;N($C$16)),0,IF(B140="G마켓",ROUNDDOWN(MIN(L140*$D$16,IF($E$16="",9E+99,$E$16)),0),ROUNDUP(MIN(L140*$D$16,IF($E$16="",9E+99,$E$16)),0))))</f>
        <v/>
      </c>
      <c r="N140" s="20">
        <f>IF(L140="","",IF(OR($D$17="",$H$17="X",L140&lt;N($C$17)),0,IF(B140="G마켓",ROUNDDOWN(MIN(L140*$D$17,IF($E$17="",9E+99,$E$17)),0),ROUNDUP(MIN(L140*$D$17,IF($E$17="",9E+99,$E$17)),0))))</f>
        <v/>
      </c>
      <c r="O140" s="20">
        <f>IF(L140="","",IF(OR($D$18="",$H$18="X",L140&lt;N($C$18)),0,IF(B140="G마켓",ROUNDDOWN(MIN(L140*$D$18,IF($E$18="",9E+99,$E$18)),0),ROUNDUP(MIN(L140*$D$18,IF($E$18="",9E+99,$E$18)),0))))</f>
        <v/>
      </c>
      <c r="P140" s="20">
        <f>IF(L140="","",IF(OR($D$19="",$H$19="X",L140&lt;N($C$19)),0,IF(B140="G마켓",ROUNDDOWN(MIN(L140*$D$19,IF($E$19="",9E+99,$E$19)),0),ROUNDUP(MIN(L140*$D$19,IF($E$19="",9E+99,$E$19)),0))))</f>
        <v/>
      </c>
      <c r="Q140" s="19">
        <f>IF(G140="","",L140-MAX(M140:P140))</f>
        <v/>
      </c>
      <c r="R140" s="20">
        <f>IF(Q140="","",IF(OR($D$23="",Q140&lt;N($C$23)),0,IF(B140="G마켓",ROUNDDOWN(MIN(Q140*$D$23,IF($E$23="",9E+99,$E$23)),0),ROUNDUP(MIN(Q140*$D$23,IF($E$23="",9E+99,$E$23)),0))))</f>
        <v/>
      </c>
      <c r="S140" s="20">
        <f>IF(Q140="","",IF(OR($D$24="",Q140&lt;N($C$24)),0,IF(B140="G마켓",ROUNDDOWN(MIN(Q140*$D$24,IF($E$24="",9E+99,$E$24)),0),ROUNDUP(MIN(Q140*$D$24,IF($E$24="",9E+99,$E$24)),0))))</f>
        <v/>
      </c>
      <c r="T140" s="20">
        <f>IF(Q140="","",IF(OR($D$25="",Q140&lt;N($C$25)),0,IF(B140="G마켓",ROUNDDOWN(MIN(Q140*$D$25,IF($E$25="",9E+99,$E$25)),0),ROUNDUP(MIN(Q140*$D$25,IF($E$25="",9E+99,$E$25)),0))))</f>
        <v/>
      </c>
      <c r="U140" s="19">
        <f>IF(G140="","",MAX(R140:T140))</f>
        <v/>
      </c>
      <c r="V140" s="21">
        <f>IF(G140="","",Q140-U140)</f>
        <v/>
      </c>
      <c r="W140" s="19">
        <f>IF(G140="","",IF(B140="G마켓",ROUNDDOWN(MAX(I140*N($G$10),J140*N($G$11),K140*N($G$12))+MAX(M140*N($G$16),N140*N($G$17),O140*N($G$18),P140*N($G$19))+MAX(R140*N($G$23),S140*N($G$24),T140*N($G$25)),0),ROUNDUP(MAX(I140*N($G$10),J140*N($G$11),K140*N($G$12))+MAX(M140*N($G$16),N140*N($G$17),O140*N($G$18),P140*N($G$19))+MAX(R140*N($G$23),S140*N($G$24),T140*N($G$25)),0)))</f>
        <v/>
      </c>
      <c r="X140" s="21">
        <f>IF(G140="","",IF(B140="G마켓",ROUNDDOWN(G140-G140*$Q$6-W140,0),ROUNDUP(G140-G140*$Q$6-W140,0)))</f>
        <v/>
      </c>
    </row>
    <row r="141">
      <c r="B141" s="7" t="n"/>
      <c r="C141" s="7" t="n"/>
      <c r="D141" s="22" t="n"/>
      <c r="E141" s="23" t="n"/>
      <c r="F141" s="23" t="n"/>
      <c r="G141" s="19">
        <f>IF(E141="","",E141-N(F141))</f>
        <v/>
      </c>
      <c r="I141" s="20">
        <f>IF(G141="","",IF(OR($D$10="",$H$10="X",G141&lt;N($C$10)),0,IF(B141="G마켓",ROUNDDOWN(MIN(G141*$D$10,IF($E$10="",9E+99,$E$10)),0),ROUNDUP(MIN(G141*$D$10,IF($E$10="",9E+99,$E$10)),0))))</f>
        <v/>
      </c>
      <c r="J141" s="20">
        <f>IF(G141="","",IF(OR($D$11="",$H$11="X",G141&lt;N($C$11)),0,IF(B141="G마켓",ROUNDDOWN(MIN(G141*$D$11,IF($E$11="",9E+99,$E$11)),0),ROUNDUP(MIN(G141*$D$11,IF($E$11="",9E+99,$E$11)),0))))</f>
        <v/>
      </c>
      <c r="K141" s="20">
        <f>IF(G141="","",IF(OR($D$12="",$H$12="X",G141&lt;N($C$12)),0,IF(B141="G마켓",ROUNDDOWN(MIN(G141*$D$12,IF($E$12="",9E+99,$E$12)),0),ROUNDUP(MIN(G141*$D$12,IF($E$12="",9E+99,$E$12)),0))))</f>
        <v/>
      </c>
      <c r="L141" s="19">
        <f>IF(G141="","",G141-MAX(I141:K141))</f>
        <v/>
      </c>
      <c r="M141" s="20">
        <f>IF(L141="","",IF(OR($D$16="",$H$16="X",L141&lt;N($C$16)),0,IF(B141="G마켓",ROUNDDOWN(MIN(L141*$D$16,IF($E$16="",9E+99,$E$16)),0),ROUNDUP(MIN(L141*$D$16,IF($E$16="",9E+99,$E$16)),0))))</f>
        <v/>
      </c>
      <c r="N141" s="20">
        <f>IF(L141="","",IF(OR($D$17="",$H$17="X",L141&lt;N($C$17)),0,IF(B141="G마켓",ROUNDDOWN(MIN(L141*$D$17,IF($E$17="",9E+99,$E$17)),0),ROUNDUP(MIN(L141*$D$17,IF($E$17="",9E+99,$E$17)),0))))</f>
        <v/>
      </c>
      <c r="O141" s="20">
        <f>IF(L141="","",IF(OR($D$18="",$H$18="X",L141&lt;N($C$18)),0,IF(B141="G마켓",ROUNDDOWN(MIN(L141*$D$18,IF($E$18="",9E+99,$E$18)),0),ROUNDUP(MIN(L141*$D$18,IF($E$18="",9E+99,$E$18)),0))))</f>
        <v/>
      </c>
      <c r="P141" s="20">
        <f>IF(L141="","",IF(OR($D$19="",$H$19="X",L141&lt;N($C$19)),0,IF(B141="G마켓",ROUNDDOWN(MIN(L141*$D$19,IF($E$19="",9E+99,$E$19)),0),ROUNDUP(MIN(L141*$D$19,IF($E$19="",9E+99,$E$19)),0))))</f>
        <v/>
      </c>
      <c r="Q141" s="19">
        <f>IF(G141="","",L141-MAX(M141:P141))</f>
        <v/>
      </c>
      <c r="R141" s="20">
        <f>IF(Q141="","",IF(OR($D$23="",Q141&lt;N($C$23)),0,IF(B141="G마켓",ROUNDDOWN(MIN(Q141*$D$23,IF($E$23="",9E+99,$E$23)),0),ROUNDUP(MIN(Q141*$D$23,IF($E$23="",9E+99,$E$23)),0))))</f>
        <v/>
      </c>
      <c r="S141" s="20">
        <f>IF(Q141="","",IF(OR($D$24="",Q141&lt;N($C$24)),0,IF(B141="G마켓",ROUNDDOWN(MIN(Q141*$D$24,IF($E$24="",9E+99,$E$24)),0),ROUNDUP(MIN(Q141*$D$24,IF($E$24="",9E+99,$E$24)),0))))</f>
        <v/>
      </c>
      <c r="T141" s="20">
        <f>IF(Q141="","",IF(OR($D$25="",Q141&lt;N($C$25)),0,IF(B141="G마켓",ROUNDDOWN(MIN(Q141*$D$25,IF($E$25="",9E+99,$E$25)),0),ROUNDUP(MIN(Q141*$D$25,IF($E$25="",9E+99,$E$25)),0))))</f>
        <v/>
      </c>
      <c r="U141" s="19">
        <f>IF(G141="","",MAX(R141:T141))</f>
        <v/>
      </c>
      <c r="V141" s="21">
        <f>IF(G141="","",Q141-U141)</f>
        <v/>
      </c>
      <c r="W141" s="19">
        <f>IF(G141="","",IF(B141="G마켓",ROUNDDOWN(MAX(I141*N($G$10),J141*N($G$11),K141*N($G$12))+MAX(M141*N($G$16),N141*N($G$17),O141*N($G$18),P141*N($G$19))+MAX(R141*N($G$23),S141*N($G$24),T141*N($G$25)),0),ROUNDUP(MAX(I141*N($G$10),J141*N($G$11),K141*N($G$12))+MAX(M141*N($G$16),N141*N($G$17),O141*N($G$18),P141*N($G$19))+MAX(R141*N($G$23),S141*N($G$24),T141*N($G$25)),0)))</f>
        <v/>
      </c>
      <c r="X141" s="21">
        <f>IF(G141="","",IF(B141="G마켓",ROUNDDOWN(G141-G141*$Q$6-W141,0),ROUNDUP(G141-G141*$Q$6-W141,0)))</f>
        <v/>
      </c>
    </row>
    <row r="142">
      <c r="B142" s="7" t="n"/>
      <c r="C142" s="7" t="n"/>
      <c r="D142" s="22" t="n"/>
      <c r="E142" s="23" t="n"/>
      <c r="F142" s="23" t="n"/>
      <c r="G142" s="19">
        <f>IF(E142="","",E142-N(F142))</f>
        <v/>
      </c>
      <c r="I142" s="20">
        <f>IF(G142="","",IF(OR($D$10="",$H$10="X",G142&lt;N($C$10)),0,IF(B142="G마켓",ROUNDDOWN(MIN(G142*$D$10,IF($E$10="",9E+99,$E$10)),0),ROUNDUP(MIN(G142*$D$10,IF($E$10="",9E+99,$E$10)),0))))</f>
        <v/>
      </c>
      <c r="J142" s="20">
        <f>IF(G142="","",IF(OR($D$11="",$H$11="X",G142&lt;N($C$11)),0,IF(B142="G마켓",ROUNDDOWN(MIN(G142*$D$11,IF($E$11="",9E+99,$E$11)),0),ROUNDUP(MIN(G142*$D$11,IF($E$11="",9E+99,$E$11)),0))))</f>
        <v/>
      </c>
      <c r="K142" s="20">
        <f>IF(G142="","",IF(OR($D$12="",$H$12="X",G142&lt;N($C$12)),0,IF(B142="G마켓",ROUNDDOWN(MIN(G142*$D$12,IF($E$12="",9E+99,$E$12)),0),ROUNDUP(MIN(G142*$D$12,IF($E$12="",9E+99,$E$12)),0))))</f>
        <v/>
      </c>
      <c r="L142" s="19">
        <f>IF(G142="","",G142-MAX(I142:K142))</f>
        <v/>
      </c>
      <c r="M142" s="20">
        <f>IF(L142="","",IF(OR($D$16="",$H$16="X",L142&lt;N($C$16)),0,IF(B142="G마켓",ROUNDDOWN(MIN(L142*$D$16,IF($E$16="",9E+99,$E$16)),0),ROUNDUP(MIN(L142*$D$16,IF($E$16="",9E+99,$E$16)),0))))</f>
        <v/>
      </c>
      <c r="N142" s="20">
        <f>IF(L142="","",IF(OR($D$17="",$H$17="X",L142&lt;N($C$17)),0,IF(B142="G마켓",ROUNDDOWN(MIN(L142*$D$17,IF($E$17="",9E+99,$E$17)),0),ROUNDUP(MIN(L142*$D$17,IF($E$17="",9E+99,$E$17)),0))))</f>
        <v/>
      </c>
      <c r="O142" s="20">
        <f>IF(L142="","",IF(OR($D$18="",$H$18="X",L142&lt;N($C$18)),0,IF(B142="G마켓",ROUNDDOWN(MIN(L142*$D$18,IF($E$18="",9E+99,$E$18)),0),ROUNDUP(MIN(L142*$D$18,IF($E$18="",9E+99,$E$18)),0))))</f>
        <v/>
      </c>
      <c r="P142" s="20">
        <f>IF(L142="","",IF(OR($D$19="",$H$19="X",L142&lt;N($C$19)),0,IF(B142="G마켓",ROUNDDOWN(MIN(L142*$D$19,IF($E$19="",9E+99,$E$19)),0),ROUNDUP(MIN(L142*$D$19,IF($E$19="",9E+99,$E$19)),0))))</f>
        <v/>
      </c>
      <c r="Q142" s="19">
        <f>IF(G142="","",L142-MAX(M142:P142))</f>
        <v/>
      </c>
      <c r="R142" s="20">
        <f>IF(Q142="","",IF(OR($D$23="",Q142&lt;N($C$23)),0,IF(B142="G마켓",ROUNDDOWN(MIN(Q142*$D$23,IF($E$23="",9E+99,$E$23)),0),ROUNDUP(MIN(Q142*$D$23,IF($E$23="",9E+99,$E$23)),0))))</f>
        <v/>
      </c>
      <c r="S142" s="20">
        <f>IF(Q142="","",IF(OR($D$24="",Q142&lt;N($C$24)),0,IF(B142="G마켓",ROUNDDOWN(MIN(Q142*$D$24,IF($E$24="",9E+99,$E$24)),0),ROUNDUP(MIN(Q142*$D$24,IF($E$24="",9E+99,$E$24)),0))))</f>
        <v/>
      </c>
      <c r="T142" s="20">
        <f>IF(Q142="","",IF(OR($D$25="",Q142&lt;N($C$25)),0,IF(B142="G마켓",ROUNDDOWN(MIN(Q142*$D$25,IF($E$25="",9E+99,$E$25)),0),ROUNDUP(MIN(Q142*$D$25,IF($E$25="",9E+99,$E$25)),0))))</f>
        <v/>
      </c>
      <c r="U142" s="19">
        <f>IF(G142="","",MAX(R142:T142))</f>
        <v/>
      </c>
      <c r="V142" s="21">
        <f>IF(G142="","",Q142-U142)</f>
        <v/>
      </c>
      <c r="W142" s="19">
        <f>IF(G142="","",IF(B142="G마켓",ROUNDDOWN(MAX(I142*N($G$10),J142*N($G$11),K142*N($G$12))+MAX(M142*N($G$16),N142*N($G$17),O142*N($G$18),P142*N($G$19))+MAX(R142*N($G$23),S142*N($G$24),T142*N($G$25)),0),ROUNDUP(MAX(I142*N($G$10),J142*N($G$11),K142*N($G$12))+MAX(M142*N($G$16),N142*N($G$17),O142*N($G$18),P142*N($G$19))+MAX(R142*N($G$23),S142*N($G$24),T142*N($G$25)),0)))</f>
        <v/>
      </c>
      <c r="X142" s="21">
        <f>IF(G142="","",IF(B142="G마켓",ROUNDDOWN(G142-G142*$Q$6-W142,0),ROUNDUP(G142-G142*$Q$6-W142,0)))</f>
        <v/>
      </c>
    </row>
    <row r="143">
      <c r="B143" s="7" t="n"/>
      <c r="C143" s="7" t="n"/>
      <c r="D143" s="22" t="n"/>
      <c r="E143" s="23" t="n"/>
      <c r="F143" s="23" t="n"/>
      <c r="G143" s="19">
        <f>IF(E143="","",E143-N(F143))</f>
        <v/>
      </c>
      <c r="I143" s="20">
        <f>IF(G143="","",IF(OR($D$10="",$H$10="X",G143&lt;N($C$10)),0,IF(B143="G마켓",ROUNDDOWN(MIN(G143*$D$10,IF($E$10="",9E+99,$E$10)),0),ROUNDUP(MIN(G143*$D$10,IF($E$10="",9E+99,$E$10)),0))))</f>
        <v/>
      </c>
      <c r="J143" s="20">
        <f>IF(G143="","",IF(OR($D$11="",$H$11="X",G143&lt;N($C$11)),0,IF(B143="G마켓",ROUNDDOWN(MIN(G143*$D$11,IF($E$11="",9E+99,$E$11)),0),ROUNDUP(MIN(G143*$D$11,IF($E$11="",9E+99,$E$11)),0))))</f>
        <v/>
      </c>
      <c r="K143" s="20">
        <f>IF(G143="","",IF(OR($D$12="",$H$12="X",G143&lt;N($C$12)),0,IF(B143="G마켓",ROUNDDOWN(MIN(G143*$D$12,IF($E$12="",9E+99,$E$12)),0),ROUNDUP(MIN(G143*$D$12,IF($E$12="",9E+99,$E$12)),0))))</f>
        <v/>
      </c>
      <c r="L143" s="19">
        <f>IF(G143="","",G143-MAX(I143:K143))</f>
        <v/>
      </c>
      <c r="M143" s="20">
        <f>IF(L143="","",IF(OR($D$16="",$H$16="X",L143&lt;N($C$16)),0,IF(B143="G마켓",ROUNDDOWN(MIN(L143*$D$16,IF($E$16="",9E+99,$E$16)),0),ROUNDUP(MIN(L143*$D$16,IF($E$16="",9E+99,$E$16)),0))))</f>
        <v/>
      </c>
      <c r="N143" s="20">
        <f>IF(L143="","",IF(OR($D$17="",$H$17="X",L143&lt;N($C$17)),0,IF(B143="G마켓",ROUNDDOWN(MIN(L143*$D$17,IF($E$17="",9E+99,$E$17)),0),ROUNDUP(MIN(L143*$D$17,IF($E$17="",9E+99,$E$17)),0))))</f>
        <v/>
      </c>
      <c r="O143" s="20">
        <f>IF(L143="","",IF(OR($D$18="",$H$18="X",L143&lt;N($C$18)),0,IF(B143="G마켓",ROUNDDOWN(MIN(L143*$D$18,IF($E$18="",9E+99,$E$18)),0),ROUNDUP(MIN(L143*$D$18,IF($E$18="",9E+99,$E$18)),0))))</f>
        <v/>
      </c>
      <c r="P143" s="20">
        <f>IF(L143="","",IF(OR($D$19="",$H$19="X",L143&lt;N($C$19)),0,IF(B143="G마켓",ROUNDDOWN(MIN(L143*$D$19,IF($E$19="",9E+99,$E$19)),0),ROUNDUP(MIN(L143*$D$19,IF($E$19="",9E+99,$E$19)),0))))</f>
        <v/>
      </c>
      <c r="Q143" s="19">
        <f>IF(G143="","",L143-MAX(M143:P143))</f>
        <v/>
      </c>
      <c r="R143" s="20">
        <f>IF(Q143="","",IF(OR($D$23="",Q143&lt;N($C$23)),0,IF(B143="G마켓",ROUNDDOWN(MIN(Q143*$D$23,IF($E$23="",9E+99,$E$23)),0),ROUNDUP(MIN(Q143*$D$23,IF($E$23="",9E+99,$E$23)),0))))</f>
        <v/>
      </c>
      <c r="S143" s="20">
        <f>IF(Q143="","",IF(OR($D$24="",Q143&lt;N($C$24)),0,IF(B143="G마켓",ROUNDDOWN(MIN(Q143*$D$24,IF($E$24="",9E+99,$E$24)),0),ROUNDUP(MIN(Q143*$D$24,IF($E$24="",9E+99,$E$24)),0))))</f>
        <v/>
      </c>
      <c r="T143" s="20">
        <f>IF(Q143="","",IF(OR($D$25="",Q143&lt;N($C$25)),0,IF(B143="G마켓",ROUNDDOWN(MIN(Q143*$D$25,IF($E$25="",9E+99,$E$25)),0),ROUNDUP(MIN(Q143*$D$25,IF($E$25="",9E+99,$E$25)),0))))</f>
        <v/>
      </c>
      <c r="U143" s="19">
        <f>IF(G143="","",MAX(R143:T143))</f>
        <v/>
      </c>
      <c r="V143" s="21">
        <f>IF(G143="","",Q143-U143)</f>
        <v/>
      </c>
      <c r="W143" s="19">
        <f>IF(G143="","",IF(B143="G마켓",ROUNDDOWN(MAX(I143*N($G$10),J143*N($G$11),K143*N($G$12))+MAX(M143*N($G$16),N143*N($G$17),O143*N($G$18),P143*N($G$19))+MAX(R143*N($G$23),S143*N($G$24),T143*N($G$25)),0),ROUNDUP(MAX(I143*N($G$10),J143*N($G$11),K143*N($G$12))+MAX(M143*N($G$16),N143*N($G$17),O143*N($G$18),P143*N($G$19))+MAX(R143*N($G$23),S143*N($G$24),T143*N($G$25)),0)))</f>
        <v/>
      </c>
      <c r="X143" s="21">
        <f>IF(G143="","",IF(B143="G마켓",ROUNDDOWN(G143-G143*$Q$6-W143,0),ROUNDUP(G143-G143*$Q$6-W143,0)))</f>
        <v/>
      </c>
    </row>
    <row r="144">
      <c r="B144" s="7" t="n"/>
      <c r="C144" s="7" t="n"/>
      <c r="D144" s="22" t="n"/>
      <c r="E144" s="23" t="n"/>
      <c r="F144" s="23" t="n"/>
      <c r="G144" s="19">
        <f>IF(E144="","",E144-N(F144))</f>
        <v/>
      </c>
      <c r="I144" s="20">
        <f>IF(G144="","",IF(OR($D$10="",$H$10="X",G144&lt;N($C$10)),0,IF(B144="G마켓",ROUNDDOWN(MIN(G144*$D$10,IF($E$10="",9E+99,$E$10)),0),ROUNDUP(MIN(G144*$D$10,IF($E$10="",9E+99,$E$10)),0))))</f>
        <v/>
      </c>
      <c r="J144" s="20">
        <f>IF(G144="","",IF(OR($D$11="",$H$11="X",G144&lt;N($C$11)),0,IF(B144="G마켓",ROUNDDOWN(MIN(G144*$D$11,IF($E$11="",9E+99,$E$11)),0),ROUNDUP(MIN(G144*$D$11,IF($E$11="",9E+99,$E$11)),0))))</f>
        <v/>
      </c>
      <c r="K144" s="20">
        <f>IF(G144="","",IF(OR($D$12="",$H$12="X",G144&lt;N($C$12)),0,IF(B144="G마켓",ROUNDDOWN(MIN(G144*$D$12,IF($E$12="",9E+99,$E$12)),0),ROUNDUP(MIN(G144*$D$12,IF($E$12="",9E+99,$E$12)),0))))</f>
        <v/>
      </c>
      <c r="L144" s="19">
        <f>IF(G144="","",G144-MAX(I144:K144))</f>
        <v/>
      </c>
      <c r="M144" s="20">
        <f>IF(L144="","",IF(OR($D$16="",$H$16="X",L144&lt;N($C$16)),0,IF(B144="G마켓",ROUNDDOWN(MIN(L144*$D$16,IF($E$16="",9E+99,$E$16)),0),ROUNDUP(MIN(L144*$D$16,IF($E$16="",9E+99,$E$16)),0))))</f>
        <v/>
      </c>
      <c r="N144" s="20">
        <f>IF(L144="","",IF(OR($D$17="",$H$17="X",L144&lt;N($C$17)),0,IF(B144="G마켓",ROUNDDOWN(MIN(L144*$D$17,IF($E$17="",9E+99,$E$17)),0),ROUNDUP(MIN(L144*$D$17,IF($E$17="",9E+99,$E$17)),0))))</f>
        <v/>
      </c>
      <c r="O144" s="20">
        <f>IF(L144="","",IF(OR($D$18="",$H$18="X",L144&lt;N($C$18)),0,IF(B144="G마켓",ROUNDDOWN(MIN(L144*$D$18,IF($E$18="",9E+99,$E$18)),0),ROUNDUP(MIN(L144*$D$18,IF($E$18="",9E+99,$E$18)),0))))</f>
        <v/>
      </c>
      <c r="P144" s="20">
        <f>IF(L144="","",IF(OR($D$19="",$H$19="X",L144&lt;N($C$19)),0,IF(B144="G마켓",ROUNDDOWN(MIN(L144*$D$19,IF($E$19="",9E+99,$E$19)),0),ROUNDUP(MIN(L144*$D$19,IF($E$19="",9E+99,$E$19)),0))))</f>
        <v/>
      </c>
      <c r="Q144" s="19">
        <f>IF(G144="","",L144-MAX(M144:P144))</f>
        <v/>
      </c>
      <c r="R144" s="20">
        <f>IF(Q144="","",IF(OR($D$23="",Q144&lt;N($C$23)),0,IF(B144="G마켓",ROUNDDOWN(MIN(Q144*$D$23,IF($E$23="",9E+99,$E$23)),0),ROUNDUP(MIN(Q144*$D$23,IF($E$23="",9E+99,$E$23)),0))))</f>
        <v/>
      </c>
      <c r="S144" s="20">
        <f>IF(Q144="","",IF(OR($D$24="",Q144&lt;N($C$24)),0,IF(B144="G마켓",ROUNDDOWN(MIN(Q144*$D$24,IF($E$24="",9E+99,$E$24)),0),ROUNDUP(MIN(Q144*$D$24,IF($E$24="",9E+99,$E$24)),0))))</f>
        <v/>
      </c>
      <c r="T144" s="20">
        <f>IF(Q144="","",IF(OR($D$25="",Q144&lt;N($C$25)),0,IF(B144="G마켓",ROUNDDOWN(MIN(Q144*$D$25,IF($E$25="",9E+99,$E$25)),0),ROUNDUP(MIN(Q144*$D$25,IF($E$25="",9E+99,$E$25)),0))))</f>
        <v/>
      </c>
      <c r="U144" s="19">
        <f>IF(G144="","",MAX(R144:T144))</f>
        <v/>
      </c>
      <c r="V144" s="21">
        <f>IF(G144="","",Q144-U144)</f>
        <v/>
      </c>
      <c r="W144" s="19">
        <f>IF(G144="","",IF(B144="G마켓",ROUNDDOWN(MAX(I144*N($G$10),J144*N($G$11),K144*N($G$12))+MAX(M144*N($G$16),N144*N($G$17),O144*N($G$18),P144*N($G$19))+MAX(R144*N($G$23),S144*N($G$24),T144*N($G$25)),0),ROUNDUP(MAX(I144*N($G$10),J144*N($G$11),K144*N($G$12))+MAX(M144*N($G$16),N144*N($G$17),O144*N($G$18),P144*N($G$19))+MAX(R144*N($G$23),S144*N($G$24),T144*N($G$25)),0)))</f>
        <v/>
      </c>
      <c r="X144" s="21">
        <f>IF(G144="","",IF(B144="G마켓",ROUNDDOWN(G144-G144*$Q$6-W144,0),ROUNDUP(G144-G144*$Q$6-W144,0)))</f>
        <v/>
      </c>
    </row>
    <row r="145">
      <c r="B145" s="7" t="n"/>
      <c r="C145" s="7" t="n"/>
      <c r="D145" s="22" t="n"/>
      <c r="E145" s="23" t="n"/>
      <c r="F145" s="23" t="n"/>
      <c r="G145" s="19">
        <f>IF(E145="","",E145-N(F145))</f>
        <v/>
      </c>
      <c r="I145" s="20">
        <f>IF(G145="","",IF(OR($D$10="",$H$10="X",G145&lt;N($C$10)),0,IF(B145="G마켓",ROUNDDOWN(MIN(G145*$D$10,IF($E$10="",9E+99,$E$10)),0),ROUNDUP(MIN(G145*$D$10,IF($E$10="",9E+99,$E$10)),0))))</f>
        <v/>
      </c>
      <c r="J145" s="20">
        <f>IF(G145="","",IF(OR($D$11="",$H$11="X",G145&lt;N($C$11)),0,IF(B145="G마켓",ROUNDDOWN(MIN(G145*$D$11,IF($E$11="",9E+99,$E$11)),0),ROUNDUP(MIN(G145*$D$11,IF($E$11="",9E+99,$E$11)),0))))</f>
        <v/>
      </c>
      <c r="K145" s="20">
        <f>IF(G145="","",IF(OR($D$12="",$H$12="X",G145&lt;N($C$12)),0,IF(B145="G마켓",ROUNDDOWN(MIN(G145*$D$12,IF($E$12="",9E+99,$E$12)),0),ROUNDUP(MIN(G145*$D$12,IF($E$12="",9E+99,$E$12)),0))))</f>
        <v/>
      </c>
      <c r="L145" s="19">
        <f>IF(G145="","",G145-MAX(I145:K145))</f>
        <v/>
      </c>
      <c r="M145" s="20">
        <f>IF(L145="","",IF(OR($D$16="",$H$16="X",L145&lt;N($C$16)),0,IF(B145="G마켓",ROUNDDOWN(MIN(L145*$D$16,IF($E$16="",9E+99,$E$16)),0),ROUNDUP(MIN(L145*$D$16,IF($E$16="",9E+99,$E$16)),0))))</f>
        <v/>
      </c>
      <c r="N145" s="20">
        <f>IF(L145="","",IF(OR($D$17="",$H$17="X",L145&lt;N($C$17)),0,IF(B145="G마켓",ROUNDDOWN(MIN(L145*$D$17,IF($E$17="",9E+99,$E$17)),0),ROUNDUP(MIN(L145*$D$17,IF($E$17="",9E+99,$E$17)),0))))</f>
        <v/>
      </c>
      <c r="O145" s="20">
        <f>IF(L145="","",IF(OR($D$18="",$H$18="X",L145&lt;N($C$18)),0,IF(B145="G마켓",ROUNDDOWN(MIN(L145*$D$18,IF($E$18="",9E+99,$E$18)),0),ROUNDUP(MIN(L145*$D$18,IF($E$18="",9E+99,$E$18)),0))))</f>
        <v/>
      </c>
      <c r="P145" s="20">
        <f>IF(L145="","",IF(OR($D$19="",$H$19="X",L145&lt;N($C$19)),0,IF(B145="G마켓",ROUNDDOWN(MIN(L145*$D$19,IF($E$19="",9E+99,$E$19)),0),ROUNDUP(MIN(L145*$D$19,IF($E$19="",9E+99,$E$19)),0))))</f>
        <v/>
      </c>
      <c r="Q145" s="19">
        <f>IF(G145="","",L145-MAX(M145:P145))</f>
        <v/>
      </c>
      <c r="R145" s="20">
        <f>IF(Q145="","",IF(OR($D$23="",Q145&lt;N($C$23)),0,IF(B145="G마켓",ROUNDDOWN(MIN(Q145*$D$23,IF($E$23="",9E+99,$E$23)),0),ROUNDUP(MIN(Q145*$D$23,IF($E$23="",9E+99,$E$23)),0))))</f>
        <v/>
      </c>
      <c r="S145" s="20">
        <f>IF(Q145="","",IF(OR($D$24="",Q145&lt;N($C$24)),0,IF(B145="G마켓",ROUNDDOWN(MIN(Q145*$D$24,IF($E$24="",9E+99,$E$24)),0),ROUNDUP(MIN(Q145*$D$24,IF($E$24="",9E+99,$E$24)),0))))</f>
        <v/>
      </c>
      <c r="T145" s="20">
        <f>IF(Q145="","",IF(OR($D$25="",Q145&lt;N($C$25)),0,IF(B145="G마켓",ROUNDDOWN(MIN(Q145*$D$25,IF($E$25="",9E+99,$E$25)),0),ROUNDUP(MIN(Q145*$D$25,IF($E$25="",9E+99,$E$25)),0))))</f>
        <v/>
      </c>
      <c r="U145" s="19">
        <f>IF(G145="","",MAX(R145:T145))</f>
        <v/>
      </c>
      <c r="V145" s="21">
        <f>IF(G145="","",Q145-U145)</f>
        <v/>
      </c>
      <c r="W145" s="19">
        <f>IF(G145="","",IF(B145="G마켓",ROUNDDOWN(MAX(I145*N($G$10),J145*N($G$11),K145*N($G$12))+MAX(M145*N($G$16),N145*N($G$17),O145*N($G$18),P145*N($G$19))+MAX(R145*N($G$23),S145*N($G$24),T145*N($G$25)),0),ROUNDUP(MAX(I145*N($G$10),J145*N($G$11),K145*N($G$12))+MAX(M145*N($G$16),N145*N($G$17),O145*N($G$18),P145*N($G$19))+MAX(R145*N($G$23),S145*N($G$24),T145*N($G$25)),0)))</f>
        <v/>
      </c>
      <c r="X145" s="21">
        <f>IF(G145="","",IF(B145="G마켓",ROUNDDOWN(G145-G145*$Q$6-W145,0),ROUNDUP(G145-G145*$Q$6-W145,0)))</f>
        <v/>
      </c>
    </row>
    <row r="146">
      <c r="B146" s="7" t="n"/>
      <c r="C146" s="7" t="n"/>
      <c r="D146" s="22" t="n"/>
      <c r="E146" s="23" t="n"/>
      <c r="F146" s="23" t="n"/>
      <c r="G146" s="19">
        <f>IF(E146="","",E146-N(F146))</f>
        <v/>
      </c>
      <c r="I146" s="20">
        <f>IF(G146="","",IF(OR($D$10="",$H$10="X",G146&lt;N($C$10)),0,IF(B146="G마켓",ROUNDDOWN(MIN(G146*$D$10,IF($E$10="",9E+99,$E$10)),0),ROUNDUP(MIN(G146*$D$10,IF($E$10="",9E+99,$E$10)),0))))</f>
        <v/>
      </c>
      <c r="J146" s="20">
        <f>IF(G146="","",IF(OR($D$11="",$H$11="X",G146&lt;N($C$11)),0,IF(B146="G마켓",ROUNDDOWN(MIN(G146*$D$11,IF($E$11="",9E+99,$E$11)),0),ROUNDUP(MIN(G146*$D$11,IF($E$11="",9E+99,$E$11)),0))))</f>
        <v/>
      </c>
      <c r="K146" s="20">
        <f>IF(G146="","",IF(OR($D$12="",$H$12="X",G146&lt;N($C$12)),0,IF(B146="G마켓",ROUNDDOWN(MIN(G146*$D$12,IF($E$12="",9E+99,$E$12)),0),ROUNDUP(MIN(G146*$D$12,IF($E$12="",9E+99,$E$12)),0))))</f>
        <v/>
      </c>
      <c r="L146" s="19">
        <f>IF(G146="","",G146-MAX(I146:K146))</f>
        <v/>
      </c>
      <c r="M146" s="20">
        <f>IF(L146="","",IF(OR($D$16="",$H$16="X",L146&lt;N($C$16)),0,IF(B146="G마켓",ROUNDDOWN(MIN(L146*$D$16,IF($E$16="",9E+99,$E$16)),0),ROUNDUP(MIN(L146*$D$16,IF($E$16="",9E+99,$E$16)),0))))</f>
        <v/>
      </c>
      <c r="N146" s="20">
        <f>IF(L146="","",IF(OR($D$17="",$H$17="X",L146&lt;N($C$17)),0,IF(B146="G마켓",ROUNDDOWN(MIN(L146*$D$17,IF($E$17="",9E+99,$E$17)),0),ROUNDUP(MIN(L146*$D$17,IF($E$17="",9E+99,$E$17)),0))))</f>
        <v/>
      </c>
      <c r="O146" s="20">
        <f>IF(L146="","",IF(OR($D$18="",$H$18="X",L146&lt;N($C$18)),0,IF(B146="G마켓",ROUNDDOWN(MIN(L146*$D$18,IF($E$18="",9E+99,$E$18)),0),ROUNDUP(MIN(L146*$D$18,IF($E$18="",9E+99,$E$18)),0))))</f>
        <v/>
      </c>
      <c r="P146" s="20">
        <f>IF(L146="","",IF(OR($D$19="",$H$19="X",L146&lt;N($C$19)),0,IF(B146="G마켓",ROUNDDOWN(MIN(L146*$D$19,IF($E$19="",9E+99,$E$19)),0),ROUNDUP(MIN(L146*$D$19,IF($E$19="",9E+99,$E$19)),0))))</f>
        <v/>
      </c>
      <c r="Q146" s="19">
        <f>IF(G146="","",L146-MAX(M146:P146))</f>
        <v/>
      </c>
      <c r="R146" s="20">
        <f>IF(Q146="","",IF(OR($D$23="",Q146&lt;N($C$23)),0,IF(B146="G마켓",ROUNDDOWN(MIN(Q146*$D$23,IF($E$23="",9E+99,$E$23)),0),ROUNDUP(MIN(Q146*$D$23,IF($E$23="",9E+99,$E$23)),0))))</f>
        <v/>
      </c>
      <c r="S146" s="20">
        <f>IF(Q146="","",IF(OR($D$24="",Q146&lt;N($C$24)),0,IF(B146="G마켓",ROUNDDOWN(MIN(Q146*$D$24,IF($E$24="",9E+99,$E$24)),0),ROUNDUP(MIN(Q146*$D$24,IF($E$24="",9E+99,$E$24)),0))))</f>
        <v/>
      </c>
      <c r="T146" s="20">
        <f>IF(Q146="","",IF(OR($D$25="",Q146&lt;N($C$25)),0,IF(B146="G마켓",ROUNDDOWN(MIN(Q146*$D$25,IF($E$25="",9E+99,$E$25)),0),ROUNDUP(MIN(Q146*$D$25,IF($E$25="",9E+99,$E$25)),0))))</f>
        <v/>
      </c>
      <c r="U146" s="19">
        <f>IF(G146="","",MAX(R146:T146))</f>
        <v/>
      </c>
      <c r="V146" s="21">
        <f>IF(G146="","",Q146-U146)</f>
        <v/>
      </c>
      <c r="W146" s="19">
        <f>IF(G146="","",IF(B146="G마켓",ROUNDDOWN(MAX(I146*N($G$10),J146*N($G$11),K146*N($G$12))+MAX(M146*N($G$16),N146*N($G$17),O146*N($G$18),P146*N($G$19))+MAX(R146*N($G$23),S146*N($G$24),T146*N($G$25)),0),ROUNDUP(MAX(I146*N($G$10),J146*N($G$11),K146*N($G$12))+MAX(M146*N($G$16),N146*N($G$17),O146*N($G$18),P146*N($G$19))+MAX(R146*N($G$23),S146*N($G$24),T146*N($G$25)),0)))</f>
        <v/>
      </c>
      <c r="X146" s="21">
        <f>IF(G146="","",IF(B146="G마켓",ROUNDDOWN(G146-G146*$Q$6-W146,0),ROUNDUP(G146-G146*$Q$6-W146,0)))</f>
        <v/>
      </c>
    </row>
    <row r="147">
      <c r="B147" s="7" t="n"/>
      <c r="C147" s="7" t="n"/>
      <c r="D147" s="22" t="n"/>
      <c r="E147" s="23" t="n"/>
      <c r="F147" s="23" t="n"/>
      <c r="G147" s="19">
        <f>IF(E147="","",E147-N(F147))</f>
        <v/>
      </c>
      <c r="I147" s="20">
        <f>IF(G147="","",IF(OR($D$10="",$H$10="X",G147&lt;N($C$10)),0,IF(B147="G마켓",ROUNDDOWN(MIN(G147*$D$10,IF($E$10="",9E+99,$E$10)),0),ROUNDUP(MIN(G147*$D$10,IF($E$10="",9E+99,$E$10)),0))))</f>
        <v/>
      </c>
      <c r="J147" s="20">
        <f>IF(G147="","",IF(OR($D$11="",$H$11="X",G147&lt;N($C$11)),0,IF(B147="G마켓",ROUNDDOWN(MIN(G147*$D$11,IF($E$11="",9E+99,$E$11)),0),ROUNDUP(MIN(G147*$D$11,IF($E$11="",9E+99,$E$11)),0))))</f>
        <v/>
      </c>
      <c r="K147" s="20">
        <f>IF(G147="","",IF(OR($D$12="",$H$12="X",G147&lt;N($C$12)),0,IF(B147="G마켓",ROUNDDOWN(MIN(G147*$D$12,IF($E$12="",9E+99,$E$12)),0),ROUNDUP(MIN(G147*$D$12,IF($E$12="",9E+99,$E$12)),0))))</f>
        <v/>
      </c>
      <c r="L147" s="19">
        <f>IF(G147="","",G147-MAX(I147:K147))</f>
        <v/>
      </c>
      <c r="M147" s="20">
        <f>IF(L147="","",IF(OR($D$16="",$H$16="X",L147&lt;N($C$16)),0,IF(B147="G마켓",ROUNDDOWN(MIN(L147*$D$16,IF($E$16="",9E+99,$E$16)),0),ROUNDUP(MIN(L147*$D$16,IF($E$16="",9E+99,$E$16)),0))))</f>
        <v/>
      </c>
      <c r="N147" s="20">
        <f>IF(L147="","",IF(OR($D$17="",$H$17="X",L147&lt;N($C$17)),0,IF(B147="G마켓",ROUNDDOWN(MIN(L147*$D$17,IF($E$17="",9E+99,$E$17)),0),ROUNDUP(MIN(L147*$D$17,IF($E$17="",9E+99,$E$17)),0))))</f>
        <v/>
      </c>
      <c r="O147" s="20">
        <f>IF(L147="","",IF(OR($D$18="",$H$18="X",L147&lt;N($C$18)),0,IF(B147="G마켓",ROUNDDOWN(MIN(L147*$D$18,IF($E$18="",9E+99,$E$18)),0),ROUNDUP(MIN(L147*$D$18,IF($E$18="",9E+99,$E$18)),0))))</f>
        <v/>
      </c>
      <c r="P147" s="20">
        <f>IF(L147="","",IF(OR($D$19="",$H$19="X",L147&lt;N($C$19)),0,IF(B147="G마켓",ROUNDDOWN(MIN(L147*$D$19,IF($E$19="",9E+99,$E$19)),0),ROUNDUP(MIN(L147*$D$19,IF($E$19="",9E+99,$E$19)),0))))</f>
        <v/>
      </c>
      <c r="Q147" s="19">
        <f>IF(G147="","",L147-MAX(M147:P147))</f>
        <v/>
      </c>
      <c r="R147" s="20">
        <f>IF(Q147="","",IF(OR($D$23="",Q147&lt;N($C$23)),0,IF(B147="G마켓",ROUNDDOWN(MIN(Q147*$D$23,IF($E$23="",9E+99,$E$23)),0),ROUNDUP(MIN(Q147*$D$23,IF($E$23="",9E+99,$E$23)),0))))</f>
        <v/>
      </c>
      <c r="S147" s="20">
        <f>IF(Q147="","",IF(OR($D$24="",Q147&lt;N($C$24)),0,IF(B147="G마켓",ROUNDDOWN(MIN(Q147*$D$24,IF($E$24="",9E+99,$E$24)),0),ROUNDUP(MIN(Q147*$D$24,IF($E$24="",9E+99,$E$24)),0))))</f>
        <v/>
      </c>
      <c r="T147" s="20">
        <f>IF(Q147="","",IF(OR($D$25="",Q147&lt;N($C$25)),0,IF(B147="G마켓",ROUNDDOWN(MIN(Q147*$D$25,IF($E$25="",9E+99,$E$25)),0),ROUNDUP(MIN(Q147*$D$25,IF($E$25="",9E+99,$E$25)),0))))</f>
        <v/>
      </c>
      <c r="U147" s="19">
        <f>IF(G147="","",MAX(R147:T147))</f>
        <v/>
      </c>
      <c r="V147" s="21">
        <f>IF(G147="","",Q147-U147)</f>
        <v/>
      </c>
      <c r="W147" s="19">
        <f>IF(G147="","",IF(B147="G마켓",ROUNDDOWN(MAX(I147*N($G$10),J147*N($G$11),K147*N($G$12))+MAX(M147*N($G$16),N147*N($G$17),O147*N($G$18),P147*N($G$19))+MAX(R147*N($G$23),S147*N($G$24),T147*N($G$25)),0),ROUNDUP(MAX(I147*N($G$10),J147*N($G$11),K147*N($G$12))+MAX(M147*N($G$16),N147*N($G$17),O147*N($G$18),P147*N($G$19))+MAX(R147*N($G$23),S147*N($G$24),T147*N($G$25)),0)))</f>
        <v/>
      </c>
      <c r="X147" s="21">
        <f>IF(G147="","",IF(B147="G마켓",ROUNDDOWN(G147-G147*$Q$6-W147,0),ROUNDUP(G147-G147*$Q$6-W147,0)))</f>
        <v/>
      </c>
    </row>
    <row r="148">
      <c r="B148" s="7" t="n"/>
      <c r="C148" s="7" t="n"/>
      <c r="D148" s="22" t="n"/>
      <c r="E148" s="23" t="n"/>
      <c r="F148" s="23" t="n"/>
      <c r="G148" s="19">
        <f>IF(E148="","",E148-N(F148))</f>
        <v/>
      </c>
      <c r="I148" s="20">
        <f>IF(G148="","",IF(OR($D$10="",$H$10="X",G148&lt;N($C$10)),0,IF(B148="G마켓",ROUNDDOWN(MIN(G148*$D$10,IF($E$10="",9E+99,$E$10)),0),ROUNDUP(MIN(G148*$D$10,IF($E$10="",9E+99,$E$10)),0))))</f>
        <v/>
      </c>
      <c r="J148" s="20">
        <f>IF(G148="","",IF(OR($D$11="",$H$11="X",G148&lt;N($C$11)),0,IF(B148="G마켓",ROUNDDOWN(MIN(G148*$D$11,IF($E$11="",9E+99,$E$11)),0),ROUNDUP(MIN(G148*$D$11,IF($E$11="",9E+99,$E$11)),0))))</f>
        <v/>
      </c>
      <c r="K148" s="20">
        <f>IF(G148="","",IF(OR($D$12="",$H$12="X",G148&lt;N($C$12)),0,IF(B148="G마켓",ROUNDDOWN(MIN(G148*$D$12,IF($E$12="",9E+99,$E$12)),0),ROUNDUP(MIN(G148*$D$12,IF($E$12="",9E+99,$E$12)),0))))</f>
        <v/>
      </c>
      <c r="L148" s="19">
        <f>IF(G148="","",G148-MAX(I148:K148))</f>
        <v/>
      </c>
      <c r="M148" s="20">
        <f>IF(L148="","",IF(OR($D$16="",$H$16="X",L148&lt;N($C$16)),0,IF(B148="G마켓",ROUNDDOWN(MIN(L148*$D$16,IF($E$16="",9E+99,$E$16)),0),ROUNDUP(MIN(L148*$D$16,IF($E$16="",9E+99,$E$16)),0))))</f>
        <v/>
      </c>
      <c r="N148" s="20">
        <f>IF(L148="","",IF(OR($D$17="",$H$17="X",L148&lt;N($C$17)),0,IF(B148="G마켓",ROUNDDOWN(MIN(L148*$D$17,IF($E$17="",9E+99,$E$17)),0),ROUNDUP(MIN(L148*$D$17,IF($E$17="",9E+99,$E$17)),0))))</f>
        <v/>
      </c>
      <c r="O148" s="20">
        <f>IF(L148="","",IF(OR($D$18="",$H$18="X",L148&lt;N($C$18)),0,IF(B148="G마켓",ROUNDDOWN(MIN(L148*$D$18,IF($E$18="",9E+99,$E$18)),0),ROUNDUP(MIN(L148*$D$18,IF($E$18="",9E+99,$E$18)),0))))</f>
        <v/>
      </c>
      <c r="P148" s="20">
        <f>IF(L148="","",IF(OR($D$19="",$H$19="X",L148&lt;N($C$19)),0,IF(B148="G마켓",ROUNDDOWN(MIN(L148*$D$19,IF($E$19="",9E+99,$E$19)),0),ROUNDUP(MIN(L148*$D$19,IF($E$19="",9E+99,$E$19)),0))))</f>
        <v/>
      </c>
      <c r="Q148" s="19">
        <f>IF(G148="","",L148-MAX(M148:P148))</f>
        <v/>
      </c>
      <c r="R148" s="20">
        <f>IF(Q148="","",IF(OR($D$23="",Q148&lt;N($C$23)),0,IF(B148="G마켓",ROUNDDOWN(MIN(Q148*$D$23,IF($E$23="",9E+99,$E$23)),0),ROUNDUP(MIN(Q148*$D$23,IF($E$23="",9E+99,$E$23)),0))))</f>
        <v/>
      </c>
      <c r="S148" s="20">
        <f>IF(Q148="","",IF(OR($D$24="",Q148&lt;N($C$24)),0,IF(B148="G마켓",ROUNDDOWN(MIN(Q148*$D$24,IF($E$24="",9E+99,$E$24)),0),ROUNDUP(MIN(Q148*$D$24,IF($E$24="",9E+99,$E$24)),0))))</f>
        <v/>
      </c>
      <c r="T148" s="20">
        <f>IF(Q148="","",IF(OR($D$25="",Q148&lt;N($C$25)),0,IF(B148="G마켓",ROUNDDOWN(MIN(Q148*$D$25,IF($E$25="",9E+99,$E$25)),0),ROUNDUP(MIN(Q148*$D$25,IF($E$25="",9E+99,$E$25)),0))))</f>
        <v/>
      </c>
      <c r="U148" s="19">
        <f>IF(G148="","",MAX(R148:T148))</f>
        <v/>
      </c>
      <c r="V148" s="21">
        <f>IF(G148="","",Q148-U148)</f>
        <v/>
      </c>
      <c r="W148" s="19">
        <f>IF(G148="","",IF(B148="G마켓",ROUNDDOWN(MAX(I148*N($G$10),J148*N($G$11),K148*N($G$12))+MAX(M148*N($G$16),N148*N($G$17),O148*N($G$18),P148*N($G$19))+MAX(R148*N($G$23),S148*N($G$24),T148*N($G$25)),0),ROUNDUP(MAX(I148*N($G$10),J148*N($G$11),K148*N($G$12))+MAX(M148*N($G$16),N148*N($G$17),O148*N($G$18),P148*N($G$19))+MAX(R148*N($G$23),S148*N($G$24),T148*N($G$25)),0)))</f>
        <v/>
      </c>
      <c r="X148" s="21">
        <f>IF(G148="","",IF(B148="G마켓",ROUNDDOWN(G148-G148*$Q$6-W148,0),ROUNDUP(G148-G148*$Q$6-W148,0)))</f>
        <v/>
      </c>
    </row>
    <row r="149">
      <c r="B149" s="7" t="n"/>
      <c r="C149" s="7" t="n"/>
      <c r="D149" s="22" t="n"/>
      <c r="E149" s="23" t="n"/>
      <c r="F149" s="23" t="n"/>
      <c r="G149" s="19">
        <f>IF(E149="","",E149-N(F149))</f>
        <v/>
      </c>
      <c r="I149" s="20">
        <f>IF(G149="","",IF(OR($D$10="",$H$10="X",G149&lt;N($C$10)),0,IF(B149="G마켓",ROUNDDOWN(MIN(G149*$D$10,IF($E$10="",9E+99,$E$10)),0),ROUNDUP(MIN(G149*$D$10,IF($E$10="",9E+99,$E$10)),0))))</f>
        <v/>
      </c>
      <c r="J149" s="20">
        <f>IF(G149="","",IF(OR($D$11="",$H$11="X",G149&lt;N($C$11)),0,IF(B149="G마켓",ROUNDDOWN(MIN(G149*$D$11,IF($E$11="",9E+99,$E$11)),0),ROUNDUP(MIN(G149*$D$11,IF($E$11="",9E+99,$E$11)),0))))</f>
        <v/>
      </c>
      <c r="K149" s="20">
        <f>IF(G149="","",IF(OR($D$12="",$H$12="X",G149&lt;N($C$12)),0,IF(B149="G마켓",ROUNDDOWN(MIN(G149*$D$12,IF($E$12="",9E+99,$E$12)),0),ROUNDUP(MIN(G149*$D$12,IF($E$12="",9E+99,$E$12)),0))))</f>
        <v/>
      </c>
      <c r="L149" s="19">
        <f>IF(G149="","",G149-MAX(I149:K149))</f>
        <v/>
      </c>
      <c r="M149" s="20">
        <f>IF(L149="","",IF(OR($D$16="",$H$16="X",L149&lt;N($C$16)),0,IF(B149="G마켓",ROUNDDOWN(MIN(L149*$D$16,IF($E$16="",9E+99,$E$16)),0),ROUNDUP(MIN(L149*$D$16,IF($E$16="",9E+99,$E$16)),0))))</f>
        <v/>
      </c>
      <c r="N149" s="20">
        <f>IF(L149="","",IF(OR($D$17="",$H$17="X",L149&lt;N($C$17)),0,IF(B149="G마켓",ROUNDDOWN(MIN(L149*$D$17,IF($E$17="",9E+99,$E$17)),0),ROUNDUP(MIN(L149*$D$17,IF($E$17="",9E+99,$E$17)),0))))</f>
        <v/>
      </c>
      <c r="O149" s="20">
        <f>IF(L149="","",IF(OR($D$18="",$H$18="X",L149&lt;N($C$18)),0,IF(B149="G마켓",ROUNDDOWN(MIN(L149*$D$18,IF($E$18="",9E+99,$E$18)),0),ROUNDUP(MIN(L149*$D$18,IF($E$18="",9E+99,$E$18)),0))))</f>
        <v/>
      </c>
      <c r="P149" s="20">
        <f>IF(L149="","",IF(OR($D$19="",$H$19="X",L149&lt;N($C$19)),0,IF(B149="G마켓",ROUNDDOWN(MIN(L149*$D$19,IF($E$19="",9E+99,$E$19)),0),ROUNDUP(MIN(L149*$D$19,IF($E$19="",9E+99,$E$19)),0))))</f>
        <v/>
      </c>
      <c r="Q149" s="19">
        <f>IF(G149="","",L149-MAX(M149:P149))</f>
        <v/>
      </c>
      <c r="R149" s="20">
        <f>IF(Q149="","",IF(OR($D$23="",Q149&lt;N($C$23)),0,IF(B149="G마켓",ROUNDDOWN(MIN(Q149*$D$23,IF($E$23="",9E+99,$E$23)),0),ROUNDUP(MIN(Q149*$D$23,IF($E$23="",9E+99,$E$23)),0))))</f>
        <v/>
      </c>
      <c r="S149" s="20">
        <f>IF(Q149="","",IF(OR($D$24="",Q149&lt;N($C$24)),0,IF(B149="G마켓",ROUNDDOWN(MIN(Q149*$D$24,IF($E$24="",9E+99,$E$24)),0),ROUNDUP(MIN(Q149*$D$24,IF($E$24="",9E+99,$E$24)),0))))</f>
        <v/>
      </c>
      <c r="T149" s="20">
        <f>IF(Q149="","",IF(OR($D$25="",Q149&lt;N($C$25)),0,IF(B149="G마켓",ROUNDDOWN(MIN(Q149*$D$25,IF($E$25="",9E+99,$E$25)),0),ROUNDUP(MIN(Q149*$D$25,IF($E$25="",9E+99,$E$25)),0))))</f>
        <v/>
      </c>
      <c r="U149" s="19">
        <f>IF(G149="","",MAX(R149:T149))</f>
        <v/>
      </c>
      <c r="V149" s="21">
        <f>IF(G149="","",Q149-U149)</f>
        <v/>
      </c>
      <c r="W149" s="19">
        <f>IF(G149="","",IF(B149="G마켓",ROUNDDOWN(MAX(I149*N($G$10),J149*N($G$11),K149*N($G$12))+MAX(M149*N($G$16),N149*N($G$17),O149*N($G$18),P149*N($G$19))+MAX(R149*N($G$23),S149*N($G$24),T149*N($G$25)),0),ROUNDUP(MAX(I149*N($G$10),J149*N($G$11),K149*N($G$12))+MAX(M149*N($G$16),N149*N($G$17),O149*N($G$18),P149*N($G$19))+MAX(R149*N($G$23),S149*N($G$24),T149*N($G$25)),0)))</f>
        <v/>
      </c>
      <c r="X149" s="21">
        <f>IF(G149="","",IF(B149="G마켓",ROUNDDOWN(G149-G149*$Q$6-W149,0),ROUNDUP(G149-G149*$Q$6-W149,0)))</f>
        <v/>
      </c>
    </row>
    <row r="150">
      <c r="B150" s="7" t="n"/>
      <c r="C150" s="7" t="n"/>
      <c r="D150" s="22" t="n"/>
      <c r="E150" s="23" t="n"/>
      <c r="F150" s="23" t="n"/>
      <c r="G150" s="19">
        <f>IF(E150="","",E150-N(F150))</f>
        <v/>
      </c>
      <c r="I150" s="20">
        <f>IF(G150="","",IF(OR($D$10="",$H$10="X",G150&lt;N($C$10)),0,IF(B150="G마켓",ROUNDDOWN(MIN(G150*$D$10,IF($E$10="",9E+99,$E$10)),0),ROUNDUP(MIN(G150*$D$10,IF($E$10="",9E+99,$E$10)),0))))</f>
        <v/>
      </c>
      <c r="J150" s="20">
        <f>IF(G150="","",IF(OR($D$11="",$H$11="X",G150&lt;N($C$11)),0,IF(B150="G마켓",ROUNDDOWN(MIN(G150*$D$11,IF($E$11="",9E+99,$E$11)),0),ROUNDUP(MIN(G150*$D$11,IF($E$11="",9E+99,$E$11)),0))))</f>
        <v/>
      </c>
      <c r="K150" s="20">
        <f>IF(G150="","",IF(OR($D$12="",$H$12="X",G150&lt;N($C$12)),0,IF(B150="G마켓",ROUNDDOWN(MIN(G150*$D$12,IF($E$12="",9E+99,$E$12)),0),ROUNDUP(MIN(G150*$D$12,IF($E$12="",9E+99,$E$12)),0))))</f>
        <v/>
      </c>
      <c r="L150" s="19">
        <f>IF(G150="","",G150-MAX(I150:K150))</f>
        <v/>
      </c>
      <c r="M150" s="20">
        <f>IF(L150="","",IF(OR($D$16="",$H$16="X",L150&lt;N($C$16)),0,IF(B150="G마켓",ROUNDDOWN(MIN(L150*$D$16,IF($E$16="",9E+99,$E$16)),0),ROUNDUP(MIN(L150*$D$16,IF($E$16="",9E+99,$E$16)),0))))</f>
        <v/>
      </c>
      <c r="N150" s="20">
        <f>IF(L150="","",IF(OR($D$17="",$H$17="X",L150&lt;N($C$17)),0,IF(B150="G마켓",ROUNDDOWN(MIN(L150*$D$17,IF($E$17="",9E+99,$E$17)),0),ROUNDUP(MIN(L150*$D$17,IF($E$17="",9E+99,$E$17)),0))))</f>
        <v/>
      </c>
      <c r="O150" s="20">
        <f>IF(L150="","",IF(OR($D$18="",$H$18="X",L150&lt;N($C$18)),0,IF(B150="G마켓",ROUNDDOWN(MIN(L150*$D$18,IF($E$18="",9E+99,$E$18)),0),ROUNDUP(MIN(L150*$D$18,IF($E$18="",9E+99,$E$18)),0))))</f>
        <v/>
      </c>
      <c r="P150" s="20">
        <f>IF(L150="","",IF(OR($D$19="",$H$19="X",L150&lt;N($C$19)),0,IF(B150="G마켓",ROUNDDOWN(MIN(L150*$D$19,IF($E$19="",9E+99,$E$19)),0),ROUNDUP(MIN(L150*$D$19,IF($E$19="",9E+99,$E$19)),0))))</f>
        <v/>
      </c>
      <c r="Q150" s="19">
        <f>IF(G150="","",L150-MAX(M150:P150))</f>
        <v/>
      </c>
      <c r="R150" s="20">
        <f>IF(Q150="","",IF(OR($D$23="",Q150&lt;N($C$23)),0,IF(B150="G마켓",ROUNDDOWN(MIN(Q150*$D$23,IF($E$23="",9E+99,$E$23)),0),ROUNDUP(MIN(Q150*$D$23,IF($E$23="",9E+99,$E$23)),0))))</f>
        <v/>
      </c>
      <c r="S150" s="20">
        <f>IF(Q150="","",IF(OR($D$24="",Q150&lt;N($C$24)),0,IF(B150="G마켓",ROUNDDOWN(MIN(Q150*$D$24,IF($E$24="",9E+99,$E$24)),0),ROUNDUP(MIN(Q150*$D$24,IF($E$24="",9E+99,$E$24)),0))))</f>
        <v/>
      </c>
      <c r="T150" s="20">
        <f>IF(Q150="","",IF(OR($D$25="",Q150&lt;N($C$25)),0,IF(B150="G마켓",ROUNDDOWN(MIN(Q150*$D$25,IF($E$25="",9E+99,$E$25)),0),ROUNDUP(MIN(Q150*$D$25,IF($E$25="",9E+99,$E$25)),0))))</f>
        <v/>
      </c>
      <c r="U150" s="19">
        <f>IF(G150="","",MAX(R150:T150))</f>
        <v/>
      </c>
      <c r="V150" s="21">
        <f>IF(G150="","",Q150-U150)</f>
        <v/>
      </c>
      <c r="W150" s="19">
        <f>IF(G150="","",IF(B150="G마켓",ROUNDDOWN(MAX(I150*N($G$10),J150*N($G$11),K150*N($G$12))+MAX(M150*N($G$16),N150*N($G$17),O150*N($G$18),P150*N($G$19))+MAX(R150*N($G$23),S150*N($G$24),T150*N($G$25)),0),ROUNDUP(MAX(I150*N($G$10),J150*N($G$11),K150*N($G$12))+MAX(M150*N($G$16),N150*N($G$17),O150*N($G$18),P150*N($G$19))+MAX(R150*N($G$23),S150*N($G$24),T150*N($G$25)),0)))</f>
        <v/>
      </c>
      <c r="X150" s="21">
        <f>IF(G150="","",IF(B150="G마켓",ROUNDDOWN(G150-G150*$Q$6-W150,0),ROUNDUP(G150-G150*$Q$6-W150,0)))</f>
        <v/>
      </c>
    </row>
    <row r="151">
      <c r="B151" s="7" t="n"/>
      <c r="C151" s="7" t="n"/>
      <c r="D151" s="22" t="n"/>
      <c r="E151" s="23" t="n"/>
      <c r="F151" s="23" t="n"/>
      <c r="G151" s="19">
        <f>IF(E151="","",E151-N(F151))</f>
        <v/>
      </c>
      <c r="I151" s="20">
        <f>IF(G151="","",IF(OR($D$10="",$H$10="X",G151&lt;N($C$10)),0,IF(B151="G마켓",ROUNDDOWN(MIN(G151*$D$10,IF($E$10="",9E+99,$E$10)),0),ROUNDUP(MIN(G151*$D$10,IF($E$10="",9E+99,$E$10)),0))))</f>
        <v/>
      </c>
      <c r="J151" s="20">
        <f>IF(G151="","",IF(OR($D$11="",$H$11="X",G151&lt;N($C$11)),0,IF(B151="G마켓",ROUNDDOWN(MIN(G151*$D$11,IF($E$11="",9E+99,$E$11)),0),ROUNDUP(MIN(G151*$D$11,IF($E$11="",9E+99,$E$11)),0))))</f>
        <v/>
      </c>
      <c r="K151" s="20">
        <f>IF(G151="","",IF(OR($D$12="",$H$12="X",G151&lt;N($C$12)),0,IF(B151="G마켓",ROUNDDOWN(MIN(G151*$D$12,IF($E$12="",9E+99,$E$12)),0),ROUNDUP(MIN(G151*$D$12,IF($E$12="",9E+99,$E$12)),0))))</f>
        <v/>
      </c>
      <c r="L151" s="19">
        <f>IF(G151="","",G151-MAX(I151:K151))</f>
        <v/>
      </c>
      <c r="M151" s="20">
        <f>IF(L151="","",IF(OR($D$16="",$H$16="X",L151&lt;N($C$16)),0,IF(B151="G마켓",ROUNDDOWN(MIN(L151*$D$16,IF($E$16="",9E+99,$E$16)),0),ROUNDUP(MIN(L151*$D$16,IF($E$16="",9E+99,$E$16)),0))))</f>
        <v/>
      </c>
      <c r="N151" s="20">
        <f>IF(L151="","",IF(OR($D$17="",$H$17="X",L151&lt;N($C$17)),0,IF(B151="G마켓",ROUNDDOWN(MIN(L151*$D$17,IF($E$17="",9E+99,$E$17)),0),ROUNDUP(MIN(L151*$D$17,IF($E$17="",9E+99,$E$17)),0))))</f>
        <v/>
      </c>
      <c r="O151" s="20">
        <f>IF(L151="","",IF(OR($D$18="",$H$18="X",L151&lt;N($C$18)),0,IF(B151="G마켓",ROUNDDOWN(MIN(L151*$D$18,IF($E$18="",9E+99,$E$18)),0),ROUNDUP(MIN(L151*$D$18,IF($E$18="",9E+99,$E$18)),0))))</f>
        <v/>
      </c>
      <c r="P151" s="20">
        <f>IF(L151="","",IF(OR($D$19="",$H$19="X",L151&lt;N($C$19)),0,IF(B151="G마켓",ROUNDDOWN(MIN(L151*$D$19,IF($E$19="",9E+99,$E$19)),0),ROUNDUP(MIN(L151*$D$19,IF($E$19="",9E+99,$E$19)),0))))</f>
        <v/>
      </c>
      <c r="Q151" s="19">
        <f>IF(G151="","",L151-MAX(M151:P151))</f>
        <v/>
      </c>
      <c r="R151" s="20">
        <f>IF(Q151="","",IF(OR($D$23="",Q151&lt;N($C$23)),0,IF(B151="G마켓",ROUNDDOWN(MIN(Q151*$D$23,IF($E$23="",9E+99,$E$23)),0),ROUNDUP(MIN(Q151*$D$23,IF($E$23="",9E+99,$E$23)),0))))</f>
        <v/>
      </c>
      <c r="S151" s="20">
        <f>IF(Q151="","",IF(OR($D$24="",Q151&lt;N($C$24)),0,IF(B151="G마켓",ROUNDDOWN(MIN(Q151*$D$24,IF($E$24="",9E+99,$E$24)),0),ROUNDUP(MIN(Q151*$D$24,IF($E$24="",9E+99,$E$24)),0))))</f>
        <v/>
      </c>
      <c r="T151" s="20">
        <f>IF(Q151="","",IF(OR($D$25="",Q151&lt;N($C$25)),0,IF(B151="G마켓",ROUNDDOWN(MIN(Q151*$D$25,IF($E$25="",9E+99,$E$25)),0),ROUNDUP(MIN(Q151*$D$25,IF($E$25="",9E+99,$E$25)),0))))</f>
        <v/>
      </c>
      <c r="U151" s="19">
        <f>IF(G151="","",MAX(R151:T151))</f>
        <v/>
      </c>
      <c r="V151" s="21">
        <f>IF(G151="","",Q151-U151)</f>
        <v/>
      </c>
      <c r="W151" s="19">
        <f>IF(G151="","",IF(B151="G마켓",ROUNDDOWN(MAX(I151*N($G$10),J151*N($G$11),K151*N($G$12))+MAX(M151*N($G$16),N151*N($G$17),O151*N($G$18),P151*N($G$19))+MAX(R151*N($G$23),S151*N($G$24),T151*N($G$25)),0),ROUNDUP(MAX(I151*N($G$10),J151*N($G$11),K151*N($G$12))+MAX(M151*N($G$16),N151*N($G$17),O151*N($G$18),P151*N($G$19))+MAX(R151*N($G$23),S151*N($G$24),T151*N($G$25)),0)))</f>
        <v/>
      </c>
      <c r="X151" s="21">
        <f>IF(G151="","",IF(B151="G마켓",ROUNDDOWN(G151-G151*$Q$6-W151,0),ROUNDUP(G151-G151*$Q$6-W151,0)))</f>
        <v/>
      </c>
    </row>
    <row r="152">
      <c r="B152" s="7" t="n"/>
      <c r="C152" s="7" t="n"/>
      <c r="D152" s="22" t="n"/>
      <c r="E152" s="23" t="n"/>
      <c r="F152" s="23" t="n"/>
      <c r="G152" s="19">
        <f>IF(E152="","",E152-N(F152))</f>
        <v/>
      </c>
      <c r="I152" s="20">
        <f>IF(G152="","",IF(OR($D$10="",$H$10="X",G152&lt;N($C$10)),0,IF(B152="G마켓",ROUNDDOWN(MIN(G152*$D$10,IF($E$10="",9E+99,$E$10)),0),ROUNDUP(MIN(G152*$D$10,IF($E$10="",9E+99,$E$10)),0))))</f>
        <v/>
      </c>
      <c r="J152" s="20">
        <f>IF(G152="","",IF(OR($D$11="",$H$11="X",G152&lt;N($C$11)),0,IF(B152="G마켓",ROUNDDOWN(MIN(G152*$D$11,IF($E$11="",9E+99,$E$11)),0),ROUNDUP(MIN(G152*$D$11,IF($E$11="",9E+99,$E$11)),0))))</f>
        <v/>
      </c>
      <c r="K152" s="20">
        <f>IF(G152="","",IF(OR($D$12="",$H$12="X",G152&lt;N($C$12)),0,IF(B152="G마켓",ROUNDDOWN(MIN(G152*$D$12,IF($E$12="",9E+99,$E$12)),0),ROUNDUP(MIN(G152*$D$12,IF($E$12="",9E+99,$E$12)),0))))</f>
        <v/>
      </c>
      <c r="L152" s="19">
        <f>IF(G152="","",G152-MAX(I152:K152))</f>
        <v/>
      </c>
      <c r="M152" s="20">
        <f>IF(L152="","",IF(OR($D$16="",$H$16="X",L152&lt;N($C$16)),0,IF(B152="G마켓",ROUNDDOWN(MIN(L152*$D$16,IF($E$16="",9E+99,$E$16)),0),ROUNDUP(MIN(L152*$D$16,IF($E$16="",9E+99,$E$16)),0))))</f>
        <v/>
      </c>
      <c r="N152" s="20">
        <f>IF(L152="","",IF(OR($D$17="",$H$17="X",L152&lt;N($C$17)),0,IF(B152="G마켓",ROUNDDOWN(MIN(L152*$D$17,IF($E$17="",9E+99,$E$17)),0),ROUNDUP(MIN(L152*$D$17,IF($E$17="",9E+99,$E$17)),0))))</f>
        <v/>
      </c>
      <c r="O152" s="20">
        <f>IF(L152="","",IF(OR($D$18="",$H$18="X",L152&lt;N($C$18)),0,IF(B152="G마켓",ROUNDDOWN(MIN(L152*$D$18,IF($E$18="",9E+99,$E$18)),0),ROUNDUP(MIN(L152*$D$18,IF($E$18="",9E+99,$E$18)),0))))</f>
        <v/>
      </c>
      <c r="P152" s="20">
        <f>IF(L152="","",IF(OR($D$19="",$H$19="X",L152&lt;N($C$19)),0,IF(B152="G마켓",ROUNDDOWN(MIN(L152*$D$19,IF($E$19="",9E+99,$E$19)),0),ROUNDUP(MIN(L152*$D$19,IF($E$19="",9E+99,$E$19)),0))))</f>
        <v/>
      </c>
      <c r="Q152" s="19">
        <f>IF(G152="","",L152-MAX(M152:P152))</f>
        <v/>
      </c>
      <c r="R152" s="20">
        <f>IF(Q152="","",IF(OR($D$23="",Q152&lt;N($C$23)),0,IF(B152="G마켓",ROUNDDOWN(MIN(Q152*$D$23,IF($E$23="",9E+99,$E$23)),0),ROUNDUP(MIN(Q152*$D$23,IF($E$23="",9E+99,$E$23)),0))))</f>
        <v/>
      </c>
      <c r="S152" s="20">
        <f>IF(Q152="","",IF(OR($D$24="",Q152&lt;N($C$24)),0,IF(B152="G마켓",ROUNDDOWN(MIN(Q152*$D$24,IF($E$24="",9E+99,$E$24)),0),ROUNDUP(MIN(Q152*$D$24,IF($E$24="",9E+99,$E$24)),0))))</f>
        <v/>
      </c>
      <c r="T152" s="20">
        <f>IF(Q152="","",IF(OR($D$25="",Q152&lt;N($C$25)),0,IF(B152="G마켓",ROUNDDOWN(MIN(Q152*$D$25,IF($E$25="",9E+99,$E$25)),0),ROUNDUP(MIN(Q152*$D$25,IF($E$25="",9E+99,$E$25)),0))))</f>
        <v/>
      </c>
      <c r="U152" s="19">
        <f>IF(G152="","",MAX(R152:T152))</f>
        <v/>
      </c>
      <c r="V152" s="21">
        <f>IF(G152="","",Q152-U152)</f>
        <v/>
      </c>
      <c r="W152" s="19">
        <f>IF(G152="","",IF(B152="G마켓",ROUNDDOWN(MAX(I152*N($G$10),J152*N($G$11),K152*N($G$12))+MAX(M152*N($G$16),N152*N($G$17),O152*N($G$18),P152*N($G$19))+MAX(R152*N($G$23),S152*N($G$24),T152*N($G$25)),0),ROUNDUP(MAX(I152*N($G$10),J152*N($G$11),K152*N($G$12))+MAX(M152*N($G$16),N152*N($G$17),O152*N($G$18),P152*N($G$19))+MAX(R152*N($G$23),S152*N($G$24),T152*N($G$25)),0)))</f>
        <v/>
      </c>
      <c r="X152" s="21">
        <f>IF(G152="","",IF(B152="G마켓",ROUNDDOWN(G152-G152*$Q$6-W152,0),ROUNDUP(G152-G152*$Q$6-W152,0)))</f>
        <v/>
      </c>
    </row>
    <row r="153">
      <c r="B153" s="7" t="n"/>
      <c r="C153" s="7" t="n"/>
      <c r="D153" s="22" t="n"/>
      <c r="E153" s="23" t="n"/>
      <c r="F153" s="23" t="n"/>
      <c r="G153" s="19">
        <f>IF(E153="","",E153-N(F153))</f>
        <v/>
      </c>
      <c r="I153" s="20">
        <f>IF(G153="","",IF(OR($D$10="",$H$10="X",G153&lt;N($C$10)),0,IF(B153="G마켓",ROUNDDOWN(MIN(G153*$D$10,IF($E$10="",9E+99,$E$10)),0),ROUNDUP(MIN(G153*$D$10,IF($E$10="",9E+99,$E$10)),0))))</f>
        <v/>
      </c>
      <c r="J153" s="20">
        <f>IF(G153="","",IF(OR($D$11="",$H$11="X",G153&lt;N($C$11)),0,IF(B153="G마켓",ROUNDDOWN(MIN(G153*$D$11,IF($E$11="",9E+99,$E$11)),0),ROUNDUP(MIN(G153*$D$11,IF($E$11="",9E+99,$E$11)),0))))</f>
        <v/>
      </c>
      <c r="K153" s="20">
        <f>IF(G153="","",IF(OR($D$12="",$H$12="X",G153&lt;N($C$12)),0,IF(B153="G마켓",ROUNDDOWN(MIN(G153*$D$12,IF($E$12="",9E+99,$E$12)),0),ROUNDUP(MIN(G153*$D$12,IF($E$12="",9E+99,$E$12)),0))))</f>
        <v/>
      </c>
      <c r="L153" s="19">
        <f>IF(G153="","",G153-MAX(I153:K153))</f>
        <v/>
      </c>
      <c r="M153" s="20">
        <f>IF(L153="","",IF(OR($D$16="",$H$16="X",L153&lt;N($C$16)),0,IF(B153="G마켓",ROUNDDOWN(MIN(L153*$D$16,IF($E$16="",9E+99,$E$16)),0),ROUNDUP(MIN(L153*$D$16,IF($E$16="",9E+99,$E$16)),0))))</f>
        <v/>
      </c>
      <c r="N153" s="20">
        <f>IF(L153="","",IF(OR($D$17="",$H$17="X",L153&lt;N($C$17)),0,IF(B153="G마켓",ROUNDDOWN(MIN(L153*$D$17,IF($E$17="",9E+99,$E$17)),0),ROUNDUP(MIN(L153*$D$17,IF($E$17="",9E+99,$E$17)),0))))</f>
        <v/>
      </c>
      <c r="O153" s="20">
        <f>IF(L153="","",IF(OR($D$18="",$H$18="X",L153&lt;N($C$18)),0,IF(B153="G마켓",ROUNDDOWN(MIN(L153*$D$18,IF($E$18="",9E+99,$E$18)),0),ROUNDUP(MIN(L153*$D$18,IF($E$18="",9E+99,$E$18)),0))))</f>
        <v/>
      </c>
      <c r="P153" s="20">
        <f>IF(L153="","",IF(OR($D$19="",$H$19="X",L153&lt;N($C$19)),0,IF(B153="G마켓",ROUNDDOWN(MIN(L153*$D$19,IF($E$19="",9E+99,$E$19)),0),ROUNDUP(MIN(L153*$D$19,IF($E$19="",9E+99,$E$19)),0))))</f>
        <v/>
      </c>
      <c r="Q153" s="19">
        <f>IF(G153="","",L153-MAX(M153:P153))</f>
        <v/>
      </c>
      <c r="R153" s="20">
        <f>IF(Q153="","",IF(OR($D$23="",Q153&lt;N($C$23)),0,IF(B153="G마켓",ROUNDDOWN(MIN(Q153*$D$23,IF($E$23="",9E+99,$E$23)),0),ROUNDUP(MIN(Q153*$D$23,IF($E$23="",9E+99,$E$23)),0))))</f>
        <v/>
      </c>
      <c r="S153" s="20">
        <f>IF(Q153="","",IF(OR($D$24="",Q153&lt;N($C$24)),0,IF(B153="G마켓",ROUNDDOWN(MIN(Q153*$D$24,IF($E$24="",9E+99,$E$24)),0),ROUNDUP(MIN(Q153*$D$24,IF($E$24="",9E+99,$E$24)),0))))</f>
        <v/>
      </c>
      <c r="T153" s="20">
        <f>IF(Q153="","",IF(OR($D$25="",Q153&lt;N($C$25)),0,IF(B153="G마켓",ROUNDDOWN(MIN(Q153*$D$25,IF($E$25="",9E+99,$E$25)),0),ROUNDUP(MIN(Q153*$D$25,IF($E$25="",9E+99,$E$25)),0))))</f>
        <v/>
      </c>
      <c r="U153" s="19">
        <f>IF(G153="","",MAX(R153:T153))</f>
        <v/>
      </c>
      <c r="V153" s="21">
        <f>IF(G153="","",Q153-U153)</f>
        <v/>
      </c>
      <c r="W153" s="19">
        <f>IF(G153="","",IF(B153="G마켓",ROUNDDOWN(MAX(I153*N($G$10),J153*N($G$11),K153*N($G$12))+MAX(M153*N($G$16),N153*N($G$17),O153*N($G$18),P153*N($G$19))+MAX(R153*N($G$23),S153*N($G$24),T153*N($G$25)),0),ROUNDUP(MAX(I153*N($G$10),J153*N($G$11),K153*N($G$12))+MAX(M153*N($G$16),N153*N($G$17),O153*N($G$18),P153*N($G$19))+MAX(R153*N($G$23),S153*N($G$24),T153*N($G$25)),0)))</f>
        <v/>
      </c>
      <c r="X153" s="21">
        <f>IF(G153="","",IF(B153="G마켓",ROUNDDOWN(G153-G153*$Q$6-W153,0),ROUNDUP(G153-G153*$Q$6-W153,0)))</f>
        <v/>
      </c>
    </row>
    <row r="154">
      <c r="B154" s="7" t="n"/>
      <c r="C154" s="7" t="n"/>
      <c r="D154" s="22" t="n"/>
      <c r="E154" s="23" t="n"/>
      <c r="F154" s="23" t="n"/>
      <c r="G154" s="19">
        <f>IF(E154="","",E154-N(F154))</f>
        <v/>
      </c>
      <c r="I154" s="20">
        <f>IF(G154="","",IF(OR($D$10="",$H$10="X",G154&lt;N($C$10)),0,IF(B154="G마켓",ROUNDDOWN(MIN(G154*$D$10,IF($E$10="",9E+99,$E$10)),0),ROUNDUP(MIN(G154*$D$10,IF($E$10="",9E+99,$E$10)),0))))</f>
        <v/>
      </c>
      <c r="J154" s="20">
        <f>IF(G154="","",IF(OR($D$11="",$H$11="X",G154&lt;N($C$11)),0,IF(B154="G마켓",ROUNDDOWN(MIN(G154*$D$11,IF($E$11="",9E+99,$E$11)),0),ROUNDUP(MIN(G154*$D$11,IF($E$11="",9E+99,$E$11)),0))))</f>
        <v/>
      </c>
      <c r="K154" s="20">
        <f>IF(G154="","",IF(OR($D$12="",$H$12="X",G154&lt;N($C$12)),0,IF(B154="G마켓",ROUNDDOWN(MIN(G154*$D$12,IF($E$12="",9E+99,$E$12)),0),ROUNDUP(MIN(G154*$D$12,IF($E$12="",9E+99,$E$12)),0))))</f>
        <v/>
      </c>
      <c r="L154" s="19">
        <f>IF(G154="","",G154-MAX(I154:K154))</f>
        <v/>
      </c>
      <c r="M154" s="20">
        <f>IF(L154="","",IF(OR($D$16="",$H$16="X",L154&lt;N($C$16)),0,IF(B154="G마켓",ROUNDDOWN(MIN(L154*$D$16,IF($E$16="",9E+99,$E$16)),0),ROUNDUP(MIN(L154*$D$16,IF($E$16="",9E+99,$E$16)),0))))</f>
        <v/>
      </c>
      <c r="N154" s="20">
        <f>IF(L154="","",IF(OR($D$17="",$H$17="X",L154&lt;N($C$17)),0,IF(B154="G마켓",ROUNDDOWN(MIN(L154*$D$17,IF($E$17="",9E+99,$E$17)),0),ROUNDUP(MIN(L154*$D$17,IF($E$17="",9E+99,$E$17)),0))))</f>
        <v/>
      </c>
      <c r="O154" s="20">
        <f>IF(L154="","",IF(OR($D$18="",$H$18="X",L154&lt;N($C$18)),0,IF(B154="G마켓",ROUNDDOWN(MIN(L154*$D$18,IF($E$18="",9E+99,$E$18)),0),ROUNDUP(MIN(L154*$D$18,IF($E$18="",9E+99,$E$18)),0))))</f>
        <v/>
      </c>
      <c r="P154" s="20">
        <f>IF(L154="","",IF(OR($D$19="",$H$19="X",L154&lt;N($C$19)),0,IF(B154="G마켓",ROUNDDOWN(MIN(L154*$D$19,IF($E$19="",9E+99,$E$19)),0),ROUNDUP(MIN(L154*$D$19,IF($E$19="",9E+99,$E$19)),0))))</f>
        <v/>
      </c>
      <c r="Q154" s="19">
        <f>IF(G154="","",L154-MAX(M154:P154))</f>
        <v/>
      </c>
      <c r="R154" s="20">
        <f>IF(Q154="","",IF(OR($D$23="",Q154&lt;N($C$23)),0,IF(B154="G마켓",ROUNDDOWN(MIN(Q154*$D$23,IF($E$23="",9E+99,$E$23)),0),ROUNDUP(MIN(Q154*$D$23,IF($E$23="",9E+99,$E$23)),0))))</f>
        <v/>
      </c>
      <c r="S154" s="20">
        <f>IF(Q154="","",IF(OR($D$24="",Q154&lt;N($C$24)),0,IF(B154="G마켓",ROUNDDOWN(MIN(Q154*$D$24,IF($E$24="",9E+99,$E$24)),0),ROUNDUP(MIN(Q154*$D$24,IF($E$24="",9E+99,$E$24)),0))))</f>
        <v/>
      </c>
      <c r="T154" s="20">
        <f>IF(Q154="","",IF(OR($D$25="",Q154&lt;N($C$25)),0,IF(B154="G마켓",ROUNDDOWN(MIN(Q154*$D$25,IF($E$25="",9E+99,$E$25)),0),ROUNDUP(MIN(Q154*$D$25,IF($E$25="",9E+99,$E$25)),0))))</f>
        <v/>
      </c>
      <c r="U154" s="19">
        <f>IF(G154="","",MAX(R154:T154))</f>
        <v/>
      </c>
      <c r="V154" s="21">
        <f>IF(G154="","",Q154-U154)</f>
        <v/>
      </c>
      <c r="W154" s="19">
        <f>IF(G154="","",IF(B154="G마켓",ROUNDDOWN(MAX(I154*N($G$10),J154*N($G$11),K154*N($G$12))+MAX(M154*N($G$16),N154*N($G$17),O154*N($G$18),P154*N($G$19))+MAX(R154*N($G$23),S154*N($G$24),T154*N($G$25)),0),ROUNDUP(MAX(I154*N($G$10),J154*N($G$11),K154*N($G$12))+MAX(M154*N($G$16),N154*N($G$17),O154*N($G$18),P154*N($G$19))+MAX(R154*N($G$23),S154*N($G$24),T154*N($G$25)),0)))</f>
        <v/>
      </c>
      <c r="X154" s="21">
        <f>IF(G154="","",IF(B154="G마켓",ROUNDDOWN(G154-G154*$Q$6-W154,0),ROUNDUP(G154-G154*$Q$6-W154,0)))</f>
        <v/>
      </c>
    </row>
    <row r="155">
      <c r="B155" s="7" t="n"/>
      <c r="C155" s="7" t="n"/>
      <c r="D155" s="22" t="n"/>
      <c r="E155" s="23" t="n"/>
      <c r="F155" s="23" t="n"/>
      <c r="G155" s="19">
        <f>IF(E155="","",E155-N(F155))</f>
        <v/>
      </c>
      <c r="I155" s="20">
        <f>IF(G155="","",IF(OR($D$10="",$H$10="X",G155&lt;N($C$10)),0,IF(B155="G마켓",ROUNDDOWN(MIN(G155*$D$10,IF($E$10="",9E+99,$E$10)),0),ROUNDUP(MIN(G155*$D$10,IF($E$10="",9E+99,$E$10)),0))))</f>
        <v/>
      </c>
      <c r="J155" s="20">
        <f>IF(G155="","",IF(OR($D$11="",$H$11="X",G155&lt;N($C$11)),0,IF(B155="G마켓",ROUNDDOWN(MIN(G155*$D$11,IF($E$11="",9E+99,$E$11)),0),ROUNDUP(MIN(G155*$D$11,IF($E$11="",9E+99,$E$11)),0))))</f>
        <v/>
      </c>
      <c r="K155" s="20">
        <f>IF(G155="","",IF(OR($D$12="",$H$12="X",G155&lt;N($C$12)),0,IF(B155="G마켓",ROUNDDOWN(MIN(G155*$D$12,IF($E$12="",9E+99,$E$12)),0),ROUNDUP(MIN(G155*$D$12,IF($E$12="",9E+99,$E$12)),0))))</f>
        <v/>
      </c>
      <c r="L155" s="19">
        <f>IF(G155="","",G155-MAX(I155:K155))</f>
        <v/>
      </c>
      <c r="M155" s="20">
        <f>IF(L155="","",IF(OR($D$16="",$H$16="X",L155&lt;N($C$16)),0,IF(B155="G마켓",ROUNDDOWN(MIN(L155*$D$16,IF($E$16="",9E+99,$E$16)),0),ROUNDUP(MIN(L155*$D$16,IF($E$16="",9E+99,$E$16)),0))))</f>
        <v/>
      </c>
      <c r="N155" s="20">
        <f>IF(L155="","",IF(OR($D$17="",$H$17="X",L155&lt;N($C$17)),0,IF(B155="G마켓",ROUNDDOWN(MIN(L155*$D$17,IF($E$17="",9E+99,$E$17)),0),ROUNDUP(MIN(L155*$D$17,IF($E$17="",9E+99,$E$17)),0))))</f>
        <v/>
      </c>
      <c r="O155" s="20">
        <f>IF(L155="","",IF(OR($D$18="",$H$18="X",L155&lt;N($C$18)),0,IF(B155="G마켓",ROUNDDOWN(MIN(L155*$D$18,IF($E$18="",9E+99,$E$18)),0),ROUNDUP(MIN(L155*$D$18,IF($E$18="",9E+99,$E$18)),0))))</f>
        <v/>
      </c>
      <c r="P155" s="20">
        <f>IF(L155="","",IF(OR($D$19="",$H$19="X",L155&lt;N($C$19)),0,IF(B155="G마켓",ROUNDDOWN(MIN(L155*$D$19,IF($E$19="",9E+99,$E$19)),0),ROUNDUP(MIN(L155*$D$19,IF($E$19="",9E+99,$E$19)),0))))</f>
        <v/>
      </c>
      <c r="Q155" s="19">
        <f>IF(G155="","",L155-MAX(M155:P155))</f>
        <v/>
      </c>
      <c r="R155" s="20">
        <f>IF(Q155="","",IF(OR($D$23="",Q155&lt;N($C$23)),0,IF(B155="G마켓",ROUNDDOWN(MIN(Q155*$D$23,IF($E$23="",9E+99,$E$23)),0),ROUNDUP(MIN(Q155*$D$23,IF($E$23="",9E+99,$E$23)),0))))</f>
        <v/>
      </c>
      <c r="S155" s="20">
        <f>IF(Q155="","",IF(OR($D$24="",Q155&lt;N($C$24)),0,IF(B155="G마켓",ROUNDDOWN(MIN(Q155*$D$24,IF($E$24="",9E+99,$E$24)),0),ROUNDUP(MIN(Q155*$D$24,IF($E$24="",9E+99,$E$24)),0))))</f>
        <v/>
      </c>
      <c r="T155" s="20">
        <f>IF(Q155="","",IF(OR($D$25="",Q155&lt;N($C$25)),0,IF(B155="G마켓",ROUNDDOWN(MIN(Q155*$D$25,IF($E$25="",9E+99,$E$25)),0),ROUNDUP(MIN(Q155*$D$25,IF($E$25="",9E+99,$E$25)),0))))</f>
        <v/>
      </c>
      <c r="U155" s="19">
        <f>IF(G155="","",MAX(R155:T155))</f>
        <v/>
      </c>
      <c r="V155" s="21">
        <f>IF(G155="","",Q155-U155)</f>
        <v/>
      </c>
      <c r="W155" s="19">
        <f>IF(G155="","",IF(B155="G마켓",ROUNDDOWN(MAX(I155*N($G$10),J155*N($G$11),K155*N($G$12))+MAX(M155*N($G$16),N155*N($G$17),O155*N($G$18),P155*N($G$19))+MAX(R155*N($G$23),S155*N($G$24),T155*N($G$25)),0),ROUNDUP(MAX(I155*N($G$10),J155*N($G$11),K155*N($G$12))+MAX(M155*N($G$16),N155*N($G$17),O155*N($G$18),P155*N($G$19))+MAX(R155*N($G$23),S155*N($G$24),T155*N($G$25)),0)))</f>
        <v/>
      </c>
      <c r="X155" s="21">
        <f>IF(G155="","",IF(B155="G마켓",ROUNDDOWN(G155-G155*$Q$6-W155,0),ROUNDUP(G155-G155*$Q$6-W155,0)))</f>
        <v/>
      </c>
    </row>
    <row r="156">
      <c r="B156" s="7" t="n"/>
      <c r="C156" s="7" t="n"/>
      <c r="D156" s="22" t="n"/>
      <c r="E156" s="23" t="n"/>
      <c r="F156" s="23" t="n"/>
      <c r="G156" s="19">
        <f>IF(E156="","",E156-N(F156))</f>
        <v/>
      </c>
      <c r="I156" s="20">
        <f>IF(G156="","",IF(OR($D$10="",$H$10="X",G156&lt;N($C$10)),0,IF(B156="G마켓",ROUNDDOWN(MIN(G156*$D$10,IF($E$10="",9E+99,$E$10)),0),ROUNDUP(MIN(G156*$D$10,IF($E$10="",9E+99,$E$10)),0))))</f>
        <v/>
      </c>
      <c r="J156" s="20">
        <f>IF(G156="","",IF(OR($D$11="",$H$11="X",G156&lt;N($C$11)),0,IF(B156="G마켓",ROUNDDOWN(MIN(G156*$D$11,IF($E$11="",9E+99,$E$11)),0),ROUNDUP(MIN(G156*$D$11,IF($E$11="",9E+99,$E$11)),0))))</f>
        <v/>
      </c>
      <c r="K156" s="20">
        <f>IF(G156="","",IF(OR($D$12="",$H$12="X",G156&lt;N($C$12)),0,IF(B156="G마켓",ROUNDDOWN(MIN(G156*$D$12,IF($E$12="",9E+99,$E$12)),0),ROUNDUP(MIN(G156*$D$12,IF($E$12="",9E+99,$E$12)),0))))</f>
        <v/>
      </c>
      <c r="L156" s="19">
        <f>IF(G156="","",G156-MAX(I156:K156))</f>
        <v/>
      </c>
      <c r="M156" s="20">
        <f>IF(L156="","",IF(OR($D$16="",$H$16="X",L156&lt;N($C$16)),0,IF(B156="G마켓",ROUNDDOWN(MIN(L156*$D$16,IF($E$16="",9E+99,$E$16)),0),ROUNDUP(MIN(L156*$D$16,IF($E$16="",9E+99,$E$16)),0))))</f>
        <v/>
      </c>
      <c r="N156" s="20">
        <f>IF(L156="","",IF(OR($D$17="",$H$17="X",L156&lt;N($C$17)),0,IF(B156="G마켓",ROUNDDOWN(MIN(L156*$D$17,IF($E$17="",9E+99,$E$17)),0),ROUNDUP(MIN(L156*$D$17,IF($E$17="",9E+99,$E$17)),0))))</f>
        <v/>
      </c>
      <c r="O156" s="20">
        <f>IF(L156="","",IF(OR($D$18="",$H$18="X",L156&lt;N($C$18)),0,IF(B156="G마켓",ROUNDDOWN(MIN(L156*$D$18,IF($E$18="",9E+99,$E$18)),0),ROUNDUP(MIN(L156*$D$18,IF($E$18="",9E+99,$E$18)),0))))</f>
        <v/>
      </c>
      <c r="P156" s="20">
        <f>IF(L156="","",IF(OR($D$19="",$H$19="X",L156&lt;N($C$19)),0,IF(B156="G마켓",ROUNDDOWN(MIN(L156*$D$19,IF($E$19="",9E+99,$E$19)),0),ROUNDUP(MIN(L156*$D$19,IF($E$19="",9E+99,$E$19)),0))))</f>
        <v/>
      </c>
      <c r="Q156" s="19">
        <f>IF(G156="","",L156-MAX(M156:P156))</f>
        <v/>
      </c>
      <c r="R156" s="20">
        <f>IF(Q156="","",IF(OR($D$23="",Q156&lt;N($C$23)),0,IF(B156="G마켓",ROUNDDOWN(MIN(Q156*$D$23,IF($E$23="",9E+99,$E$23)),0),ROUNDUP(MIN(Q156*$D$23,IF($E$23="",9E+99,$E$23)),0))))</f>
        <v/>
      </c>
      <c r="S156" s="20">
        <f>IF(Q156="","",IF(OR($D$24="",Q156&lt;N($C$24)),0,IF(B156="G마켓",ROUNDDOWN(MIN(Q156*$D$24,IF($E$24="",9E+99,$E$24)),0),ROUNDUP(MIN(Q156*$D$24,IF($E$24="",9E+99,$E$24)),0))))</f>
        <v/>
      </c>
      <c r="T156" s="20">
        <f>IF(Q156="","",IF(OR($D$25="",Q156&lt;N($C$25)),0,IF(B156="G마켓",ROUNDDOWN(MIN(Q156*$D$25,IF($E$25="",9E+99,$E$25)),0),ROUNDUP(MIN(Q156*$D$25,IF($E$25="",9E+99,$E$25)),0))))</f>
        <v/>
      </c>
      <c r="U156" s="19">
        <f>IF(G156="","",MAX(R156:T156))</f>
        <v/>
      </c>
      <c r="V156" s="21">
        <f>IF(G156="","",Q156-U156)</f>
        <v/>
      </c>
      <c r="W156" s="19">
        <f>IF(G156="","",IF(B156="G마켓",ROUNDDOWN(MAX(I156*N($G$10),J156*N($G$11),K156*N($G$12))+MAX(M156*N($G$16),N156*N($G$17),O156*N($G$18),P156*N($G$19))+MAX(R156*N($G$23),S156*N($G$24),T156*N($G$25)),0),ROUNDUP(MAX(I156*N($G$10),J156*N($G$11),K156*N($G$12))+MAX(M156*N($G$16),N156*N($G$17),O156*N($G$18),P156*N($G$19))+MAX(R156*N($G$23),S156*N($G$24),T156*N($G$25)),0)))</f>
        <v/>
      </c>
      <c r="X156" s="21">
        <f>IF(G156="","",IF(B156="G마켓",ROUNDDOWN(G156-G156*$Q$6-W156,0),ROUNDUP(G156-G156*$Q$6-W156,0)))</f>
        <v/>
      </c>
    </row>
    <row r="157">
      <c r="B157" s="7" t="n"/>
      <c r="C157" s="7" t="n"/>
      <c r="D157" s="22" t="n"/>
      <c r="E157" s="23" t="n"/>
      <c r="F157" s="23" t="n"/>
      <c r="G157" s="19">
        <f>IF(E157="","",E157-N(F157))</f>
        <v/>
      </c>
      <c r="I157" s="20">
        <f>IF(G157="","",IF(OR($D$10="",$H$10="X",G157&lt;N($C$10)),0,IF(B157="G마켓",ROUNDDOWN(MIN(G157*$D$10,IF($E$10="",9E+99,$E$10)),0),ROUNDUP(MIN(G157*$D$10,IF($E$10="",9E+99,$E$10)),0))))</f>
        <v/>
      </c>
      <c r="J157" s="20">
        <f>IF(G157="","",IF(OR($D$11="",$H$11="X",G157&lt;N($C$11)),0,IF(B157="G마켓",ROUNDDOWN(MIN(G157*$D$11,IF($E$11="",9E+99,$E$11)),0),ROUNDUP(MIN(G157*$D$11,IF($E$11="",9E+99,$E$11)),0))))</f>
        <v/>
      </c>
      <c r="K157" s="20">
        <f>IF(G157="","",IF(OR($D$12="",$H$12="X",G157&lt;N($C$12)),0,IF(B157="G마켓",ROUNDDOWN(MIN(G157*$D$12,IF($E$12="",9E+99,$E$12)),0),ROUNDUP(MIN(G157*$D$12,IF($E$12="",9E+99,$E$12)),0))))</f>
        <v/>
      </c>
      <c r="L157" s="19">
        <f>IF(G157="","",G157-MAX(I157:K157))</f>
        <v/>
      </c>
      <c r="M157" s="20">
        <f>IF(L157="","",IF(OR($D$16="",$H$16="X",L157&lt;N($C$16)),0,IF(B157="G마켓",ROUNDDOWN(MIN(L157*$D$16,IF($E$16="",9E+99,$E$16)),0),ROUNDUP(MIN(L157*$D$16,IF($E$16="",9E+99,$E$16)),0))))</f>
        <v/>
      </c>
      <c r="N157" s="20">
        <f>IF(L157="","",IF(OR($D$17="",$H$17="X",L157&lt;N($C$17)),0,IF(B157="G마켓",ROUNDDOWN(MIN(L157*$D$17,IF($E$17="",9E+99,$E$17)),0),ROUNDUP(MIN(L157*$D$17,IF($E$17="",9E+99,$E$17)),0))))</f>
        <v/>
      </c>
      <c r="O157" s="20">
        <f>IF(L157="","",IF(OR($D$18="",$H$18="X",L157&lt;N($C$18)),0,IF(B157="G마켓",ROUNDDOWN(MIN(L157*$D$18,IF($E$18="",9E+99,$E$18)),0),ROUNDUP(MIN(L157*$D$18,IF($E$18="",9E+99,$E$18)),0))))</f>
        <v/>
      </c>
      <c r="P157" s="20">
        <f>IF(L157="","",IF(OR($D$19="",$H$19="X",L157&lt;N($C$19)),0,IF(B157="G마켓",ROUNDDOWN(MIN(L157*$D$19,IF($E$19="",9E+99,$E$19)),0),ROUNDUP(MIN(L157*$D$19,IF($E$19="",9E+99,$E$19)),0))))</f>
        <v/>
      </c>
      <c r="Q157" s="19">
        <f>IF(G157="","",L157-MAX(M157:P157))</f>
        <v/>
      </c>
      <c r="R157" s="20">
        <f>IF(Q157="","",IF(OR($D$23="",Q157&lt;N($C$23)),0,IF(B157="G마켓",ROUNDDOWN(MIN(Q157*$D$23,IF($E$23="",9E+99,$E$23)),0),ROUNDUP(MIN(Q157*$D$23,IF($E$23="",9E+99,$E$23)),0))))</f>
        <v/>
      </c>
      <c r="S157" s="20">
        <f>IF(Q157="","",IF(OR($D$24="",Q157&lt;N($C$24)),0,IF(B157="G마켓",ROUNDDOWN(MIN(Q157*$D$24,IF($E$24="",9E+99,$E$24)),0),ROUNDUP(MIN(Q157*$D$24,IF($E$24="",9E+99,$E$24)),0))))</f>
        <v/>
      </c>
      <c r="T157" s="20">
        <f>IF(Q157="","",IF(OR($D$25="",Q157&lt;N($C$25)),0,IF(B157="G마켓",ROUNDDOWN(MIN(Q157*$D$25,IF($E$25="",9E+99,$E$25)),0),ROUNDUP(MIN(Q157*$D$25,IF($E$25="",9E+99,$E$25)),0))))</f>
        <v/>
      </c>
      <c r="U157" s="19">
        <f>IF(G157="","",MAX(R157:T157))</f>
        <v/>
      </c>
      <c r="V157" s="21">
        <f>IF(G157="","",Q157-U157)</f>
        <v/>
      </c>
      <c r="W157" s="19">
        <f>IF(G157="","",IF(B157="G마켓",ROUNDDOWN(MAX(I157*N($G$10),J157*N($G$11),K157*N($G$12))+MAX(M157*N($G$16),N157*N($G$17),O157*N($G$18),P157*N($G$19))+MAX(R157*N($G$23),S157*N($G$24),T157*N($G$25)),0),ROUNDUP(MAX(I157*N($G$10),J157*N($G$11),K157*N($G$12))+MAX(M157*N($G$16),N157*N($G$17),O157*N($G$18),P157*N($G$19))+MAX(R157*N($G$23),S157*N($G$24),T157*N($G$25)),0)))</f>
        <v/>
      </c>
      <c r="X157" s="21">
        <f>IF(G157="","",IF(B157="G마켓",ROUNDDOWN(G157-G157*$Q$6-W157,0),ROUNDUP(G157-G157*$Q$6-W157,0)))</f>
        <v/>
      </c>
    </row>
    <row r="158">
      <c r="B158" s="7" t="n"/>
      <c r="C158" s="7" t="n"/>
      <c r="D158" s="22" t="n"/>
      <c r="E158" s="23" t="n"/>
      <c r="F158" s="23" t="n"/>
      <c r="G158" s="19">
        <f>IF(E158="","",E158-N(F158))</f>
        <v/>
      </c>
      <c r="I158" s="20">
        <f>IF(G158="","",IF(OR($D$10="",$H$10="X",G158&lt;N($C$10)),0,IF(B158="G마켓",ROUNDDOWN(MIN(G158*$D$10,IF($E$10="",9E+99,$E$10)),0),ROUNDUP(MIN(G158*$D$10,IF($E$10="",9E+99,$E$10)),0))))</f>
        <v/>
      </c>
      <c r="J158" s="20">
        <f>IF(G158="","",IF(OR($D$11="",$H$11="X",G158&lt;N($C$11)),0,IF(B158="G마켓",ROUNDDOWN(MIN(G158*$D$11,IF($E$11="",9E+99,$E$11)),0),ROUNDUP(MIN(G158*$D$11,IF($E$11="",9E+99,$E$11)),0))))</f>
        <v/>
      </c>
      <c r="K158" s="20">
        <f>IF(G158="","",IF(OR($D$12="",$H$12="X",G158&lt;N($C$12)),0,IF(B158="G마켓",ROUNDDOWN(MIN(G158*$D$12,IF($E$12="",9E+99,$E$12)),0),ROUNDUP(MIN(G158*$D$12,IF($E$12="",9E+99,$E$12)),0))))</f>
        <v/>
      </c>
      <c r="L158" s="19">
        <f>IF(G158="","",G158-MAX(I158:K158))</f>
        <v/>
      </c>
      <c r="M158" s="20">
        <f>IF(L158="","",IF(OR($D$16="",$H$16="X",L158&lt;N($C$16)),0,IF(B158="G마켓",ROUNDDOWN(MIN(L158*$D$16,IF($E$16="",9E+99,$E$16)),0),ROUNDUP(MIN(L158*$D$16,IF($E$16="",9E+99,$E$16)),0))))</f>
        <v/>
      </c>
      <c r="N158" s="20">
        <f>IF(L158="","",IF(OR($D$17="",$H$17="X",L158&lt;N($C$17)),0,IF(B158="G마켓",ROUNDDOWN(MIN(L158*$D$17,IF($E$17="",9E+99,$E$17)),0),ROUNDUP(MIN(L158*$D$17,IF($E$17="",9E+99,$E$17)),0))))</f>
        <v/>
      </c>
      <c r="O158" s="20">
        <f>IF(L158="","",IF(OR($D$18="",$H$18="X",L158&lt;N($C$18)),0,IF(B158="G마켓",ROUNDDOWN(MIN(L158*$D$18,IF($E$18="",9E+99,$E$18)),0),ROUNDUP(MIN(L158*$D$18,IF($E$18="",9E+99,$E$18)),0))))</f>
        <v/>
      </c>
      <c r="P158" s="20">
        <f>IF(L158="","",IF(OR($D$19="",$H$19="X",L158&lt;N($C$19)),0,IF(B158="G마켓",ROUNDDOWN(MIN(L158*$D$19,IF($E$19="",9E+99,$E$19)),0),ROUNDUP(MIN(L158*$D$19,IF($E$19="",9E+99,$E$19)),0))))</f>
        <v/>
      </c>
      <c r="Q158" s="19">
        <f>IF(G158="","",L158-MAX(M158:P158))</f>
        <v/>
      </c>
      <c r="R158" s="20">
        <f>IF(Q158="","",IF(OR($D$23="",Q158&lt;N($C$23)),0,IF(B158="G마켓",ROUNDDOWN(MIN(Q158*$D$23,IF($E$23="",9E+99,$E$23)),0),ROUNDUP(MIN(Q158*$D$23,IF($E$23="",9E+99,$E$23)),0))))</f>
        <v/>
      </c>
      <c r="S158" s="20">
        <f>IF(Q158="","",IF(OR($D$24="",Q158&lt;N($C$24)),0,IF(B158="G마켓",ROUNDDOWN(MIN(Q158*$D$24,IF($E$24="",9E+99,$E$24)),0),ROUNDUP(MIN(Q158*$D$24,IF($E$24="",9E+99,$E$24)),0))))</f>
        <v/>
      </c>
      <c r="T158" s="20">
        <f>IF(Q158="","",IF(OR($D$25="",Q158&lt;N($C$25)),0,IF(B158="G마켓",ROUNDDOWN(MIN(Q158*$D$25,IF($E$25="",9E+99,$E$25)),0),ROUNDUP(MIN(Q158*$D$25,IF($E$25="",9E+99,$E$25)),0))))</f>
        <v/>
      </c>
      <c r="U158" s="19">
        <f>IF(G158="","",MAX(R158:T158))</f>
        <v/>
      </c>
      <c r="V158" s="21">
        <f>IF(G158="","",Q158-U158)</f>
        <v/>
      </c>
      <c r="W158" s="19">
        <f>IF(G158="","",IF(B158="G마켓",ROUNDDOWN(MAX(I158*N($G$10),J158*N($G$11),K158*N($G$12))+MAX(M158*N($G$16),N158*N($G$17),O158*N($G$18),P158*N($G$19))+MAX(R158*N($G$23),S158*N($G$24),T158*N($G$25)),0),ROUNDUP(MAX(I158*N($G$10),J158*N($G$11),K158*N($G$12))+MAX(M158*N($G$16),N158*N($G$17),O158*N($G$18),P158*N($G$19))+MAX(R158*N($G$23),S158*N($G$24),T158*N($G$25)),0)))</f>
        <v/>
      </c>
      <c r="X158" s="21">
        <f>IF(G158="","",IF(B158="G마켓",ROUNDDOWN(G158-G158*$Q$6-W158,0),ROUNDUP(G158-G158*$Q$6-W158,0)))</f>
        <v/>
      </c>
    </row>
    <row r="159">
      <c r="B159" s="7" t="n"/>
      <c r="C159" s="7" t="n"/>
      <c r="D159" s="22" t="n"/>
      <c r="E159" s="23" t="n"/>
      <c r="F159" s="23" t="n"/>
      <c r="G159" s="19">
        <f>IF(E159="","",E159-N(F159))</f>
        <v/>
      </c>
      <c r="I159" s="20">
        <f>IF(G159="","",IF(OR($D$10="",$H$10="X",G159&lt;N($C$10)),0,IF(B159="G마켓",ROUNDDOWN(MIN(G159*$D$10,IF($E$10="",9E+99,$E$10)),0),ROUNDUP(MIN(G159*$D$10,IF($E$10="",9E+99,$E$10)),0))))</f>
        <v/>
      </c>
      <c r="J159" s="20">
        <f>IF(G159="","",IF(OR($D$11="",$H$11="X",G159&lt;N($C$11)),0,IF(B159="G마켓",ROUNDDOWN(MIN(G159*$D$11,IF($E$11="",9E+99,$E$11)),0),ROUNDUP(MIN(G159*$D$11,IF($E$11="",9E+99,$E$11)),0))))</f>
        <v/>
      </c>
      <c r="K159" s="20">
        <f>IF(G159="","",IF(OR($D$12="",$H$12="X",G159&lt;N($C$12)),0,IF(B159="G마켓",ROUNDDOWN(MIN(G159*$D$12,IF($E$12="",9E+99,$E$12)),0),ROUNDUP(MIN(G159*$D$12,IF($E$12="",9E+99,$E$12)),0))))</f>
        <v/>
      </c>
      <c r="L159" s="19">
        <f>IF(G159="","",G159-MAX(I159:K159))</f>
        <v/>
      </c>
      <c r="M159" s="20">
        <f>IF(L159="","",IF(OR($D$16="",$H$16="X",L159&lt;N($C$16)),0,IF(B159="G마켓",ROUNDDOWN(MIN(L159*$D$16,IF($E$16="",9E+99,$E$16)),0),ROUNDUP(MIN(L159*$D$16,IF($E$16="",9E+99,$E$16)),0))))</f>
        <v/>
      </c>
      <c r="N159" s="20">
        <f>IF(L159="","",IF(OR($D$17="",$H$17="X",L159&lt;N($C$17)),0,IF(B159="G마켓",ROUNDDOWN(MIN(L159*$D$17,IF($E$17="",9E+99,$E$17)),0),ROUNDUP(MIN(L159*$D$17,IF($E$17="",9E+99,$E$17)),0))))</f>
        <v/>
      </c>
      <c r="O159" s="20">
        <f>IF(L159="","",IF(OR($D$18="",$H$18="X",L159&lt;N($C$18)),0,IF(B159="G마켓",ROUNDDOWN(MIN(L159*$D$18,IF($E$18="",9E+99,$E$18)),0),ROUNDUP(MIN(L159*$D$18,IF($E$18="",9E+99,$E$18)),0))))</f>
        <v/>
      </c>
      <c r="P159" s="20">
        <f>IF(L159="","",IF(OR($D$19="",$H$19="X",L159&lt;N($C$19)),0,IF(B159="G마켓",ROUNDDOWN(MIN(L159*$D$19,IF($E$19="",9E+99,$E$19)),0),ROUNDUP(MIN(L159*$D$19,IF($E$19="",9E+99,$E$19)),0))))</f>
        <v/>
      </c>
      <c r="Q159" s="19">
        <f>IF(G159="","",L159-MAX(M159:P159))</f>
        <v/>
      </c>
      <c r="R159" s="20">
        <f>IF(Q159="","",IF(OR($D$23="",Q159&lt;N($C$23)),0,IF(B159="G마켓",ROUNDDOWN(MIN(Q159*$D$23,IF($E$23="",9E+99,$E$23)),0),ROUNDUP(MIN(Q159*$D$23,IF($E$23="",9E+99,$E$23)),0))))</f>
        <v/>
      </c>
      <c r="S159" s="20">
        <f>IF(Q159="","",IF(OR($D$24="",Q159&lt;N($C$24)),0,IF(B159="G마켓",ROUNDDOWN(MIN(Q159*$D$24,IF($E$24="",9E+99,$E$24)),0),ROUNDUP(MIN(Q159*$D$24,IF($E$24="",9E+99,$E$24)),0))))</f>
        <v/>
      </c>
      <c r="T159" s="20">
        <f>IF(Q159="","",IF(OR($D$25="",Q159&lt;N($C$25)),0,IF(B159="G마켓",ROUNDDOWN(MIN(Q159*$D$25,IF($E$25="",9E+99,$E$25)),0),ROUNDUP(MIN(Q159*$D$25,IF($E$25="",9E+99,$E$25)),0))))</f>
        <v/>
      </c>
      <c r="U159" s="19">
        <f>IF(G159="","",MAX(R159:T159))</f>
        <v/>
      </c>
      <c r="V159" s="21">
        <f>IF(G159="","",Q159-U159)</f>
        <v/>
      </c>
      <c r="W159" s="19">
        <f>IF(G159="","",IF(B159="G마켓",ROUNDDOWN(MAX(I159*N($G$10),J159*N($G$11),K159*N($G$12))+MAX(M159*N($G$16),N159*N($G$17),O159*N($G$18),P159*N($G$19))+MAX(R159*N($G$23),S159*N($G$24),T159*N($G$25)),0),ROUNDUP(MAX(I159*N($G$10),J159*N($G$11),K159*N($G$12))+MAX(M159*N($G$16),N159*N($G$17),O159*N($G$18),P159*N($G$19))+MAX(R159*N($G$23),S159*N($G$24),T159*N($G$25)),0)))</f>
        <v/>
      </c>
      <c r="X159" s="21">
        <f>IF(G159="","",IF(B159="G마켓",ROUNDDOWN(G159-G159*$Q$6-W159,0),ROUNDUP(G159-G159*$Q$6-W159,0)))</f>
        <v/>
      </c>
    </row>
    <row r="160">
      <c r="B160" s="7" t="n"/>
      <c r="C160" s="7" t="n"/>
      <c r="D160" s="22" t="n"/>
      <c r="E160" s="23" t="n"/>
      <c r="F160" s="23" t="n"/>
      <c r="G160" s="19">
        <f>IF(E160="","",E160-N(F160))</f>
        <v/>
      </c>
      <c r="I160" s="20">
        <f>IF(G160="","",IF(OR($D$10="",$H$10="X",G160&lt;N($C$10)),0,IF(B160="G마켓",ROUNDDOWN(MIN(G160*$D$10,IF($E$10="",9E+99,$E$10)),0),ROUNDUP(MIN(G160*$D$10,IF($E$10="",9E+99,$E$10)),0))))</f>
        <v/>
      </c>
      <c r="J160" s="20">
        <f>IF(G160="","",IF(OR($D$11="",$H$11="X",G160&lt;N($C$11)),0,IF(B160="G마켓",ROUNDDOWN(MIN(G160*$D$11,IF($E$11="",9E+99,$E$11)),0),ROUNDUP(MIN(G160*$D$11,IF($E$11="",9E+99,$E$11)),0))))</f>
        <v/>
      </c>
      <c r="K160" s="20">
        <f>IF(G160="","",IF(OR($D$12="",$H$12="X",G160&lt;N($C$12)),0,IF(B160="G마켓",ROUNDDOWN(MIN(G160*$D$12,IF($E$12="",9E+99,$E$12)),0),ROUNDUP(MIN(G160*$D$12,IF($E$12="",9E+99,$E$12)),0))))</f>
        <v/>
      </c>
      <c r="L160" s="19">
        <f>IF(G160="","",G160-MAX(I160:K160))</f>
        <v/>
      </c>
      <c r="M160" s="20">
        <f>IF(L160="","",IF(OR($D$16="",$H$16="X",L160&lt;N($C$16)),0,IF(B160="G마켓",ROUNDDOWN(MIN(L160*$D$16,IF($E$16="",9E+99,$E$16)),0),ROUNDUP(MIN(L160*$D$16,IF($E$16="",9E+99,$E$16)),0))))</f>
        <v/>
      </c>
      <c r="N160" s="20">
        <f>IF(L160="","",IF(OR($D$17="",$H$17="X",L160&lt;N($C$17)),0,IF(B160="G마켓",ROUNDDOWN(MIN(L160*$D$17,IF($E$17="",9E+99,$E$17)),0),ROUNDUP(MIN(L160*$D$17,IF($E$17="",9E+99,$E$17)),0))))</f>
        <v/>
      </c>
      <c r="O160" s="20">
        <f>IF(L160="","",IF(OR($D$18="",$H$18="X",L160&lt;N($C$18)),0,IF(B160="G마켓",ROUNDDOWN(MIN(L160*$D$18,IF($E$18="",9E+99,$E$18)),0),ROUNDUP(MIN(L160*$D$18,IF($E$18="",9E+99,$E$18)),0))))</f>
        <v/>
      </c>
      <c r="P160" s="20">
        <f>IF(L160="","",IF(OR($D$19="",$H$19="X",L160&lt;N($C$19)),0,IF(B160="G마켓",ROUNDDOWN(MIN(L160*$D$19,IF($E$19="",9E+99,$E$19)),0),ROUNDUP(MIN(L160*$D$19,IF($E$19="",9E+99,$E$19)),0))))</f>
        <v/>
      </c>
      <c r="Q160" s="19">
        <f>IF(G160="","",L160-MAX(M160:P160))</f>
        <v/>
      </c>
      <c r="R160" s="20">
        <f>IF(Q160="","",IF(OR($D$23="",Q160&lt;N($C$23)),0,IF(B160="G마켓",ROUNDDOWN(MIN(Q160*$D$23,IF($E$23="",9E+99,$E$23)),0),ROUNDUP(MIN(Q160*$D$23,IF($E$23="",9E+99,$E$23)),0))))</f>
        <v/>
      </c>
      <c r="S160" s="20">
        <f>IF(Q160="","",IF(OR($D$24="",Q160&lt;N($C$24)),0,IF(B160="G마켓",ROUNDDOWN(MIN(Q160*$D$24,IF($E$24="",9E+99,$E$24)),0),ROUNDUP(MIN(Q160*$D$24,IF($E$24="",9E+99,$E$24)),0))))</f>
        <v/>
      </c>
      <c r="T160" s="20">
        <f>IF(Q160="","",IF(OR($D$25="",Q160&lt;N($C$25)),0,IF(B160="G마켓",ROUNDDOWN(MIN(Q160*$D$25,IF($E$25="",9E+99,$E$25)),0),ROUNDUP(MIN(Q160*$D$25,IF($E$25="",9E+99,$E$25)),0))))</f>
        <v/>
      </c>
      <c r="U160" s="19">
        <f>IF(G160="","",MAX(R160:T160))</f>
        <v/>
      </c>
      <c r="V160" s="21">
        <f>IF(G160="","",Q160-U160)</f>
        <v/>
      </c>
      <c r="W160" s="19">
        <f>IF(G160="","",IF(B160="G마켓",ROUNDDOWN(MAX(I160*N($G$10),J160*N($G$11),K160*N($G$12))+MAX(M160*N($G$16),N160*N($G$17),O160*N($G$18),P160*N($G$19))+MAX(R160*N($G$23),S160*N($G$24),T160*N($G$25)),0),ROUNDUP(MAX(I160*N($G$10),J160*N($G$11),K160*N($G$12))+MAX(M160*N($G$16),N160*N($G$17),O160*N($G$18),P160*N($G$19))+MAX(R160*N($G$23),S160*N($G$24),T160*N($G$25)),0)))</f>
        <v/>
      </c>
      <c r="X160" s="21">
        <f>IF(G160="","",IF(B160="G마켓",ROUNDDOWN(G160-G160*$Q$6-W160,0),ROUNDUP(G160-G160*$Q$6-W160,0)))</f>
        <v/>
      </c>
    </row>
    <row r="161">
      <c r="B161" s="7" t="n"/>
      <c r="C161" s="7" t="n"/>
      <c r="D161" s="22" t="n"/>
      <c r="E161" s="23" t="n"/>
      <c r="F161" s="23" t="n"/>
      <c r="G161" s="19">
        <f>IF(E161="","",E161-N(F161))</f>
        <v/>
      </c>
      <c r="I161" s="20">
        <f>IF(G161="","",IF(OR($D$10="",$H$10="X",G161&lt;N($C$10)),0,IF(B161="G마켓",ROUNDDOWN(MIN(G161*$D$10,IF($E$10="",9E+99,$E$10)),0),ROUNDUP(MIN(G161*$D$10,IF($E$10="",9E+99,$E$10)),0))))</f>
        <v/>
      </c>
      <c r="J161" s="20">
        <f>IF(G161="","",IF(OR($D$11="",$H$11="X",G161&lt;N($C$11)),0,IF(B161="G마켓",ROUNDDOWN(MIN(G161*$D$11,IF($E$11="",9E+99,$E$11)),0),ROUNDUP(MIN(G161*$D$11,IF($E$11="",9E+99,$E$11)),0))))</f>
        <v/>
      </c>
      <c r="K161" s="20">
        <f>IF(G161="","",IF(OR($D$12="",$H$12="X",G161&lt;N($C$12)),0,IF(B161="G마켓",ROUNDDOWN(MIN(G161*$D$12,IF($E$12="",9E+99,$E$12)),0),ROUNDUP(MIN(G161*$D$12,IF($E$12="",9E+99,$E$12)),0))))</f>
        <v/>
      </c>
      <c r="L161" s="19">
        <f>IF(G161="","",G161-MAX(I161:K161))</f>
        <v/>
      </c>
      <c r="M161" s="20">
        <f>IF(L161="","",IF(OR($D$16="",$H$16="X",L161&lt;N($C$16)),0,IF(B161="G마켓",ROUNDDOWN(MIN(L161*$D$16,IF($E$16="",9E+99,$E$16)),0),ROUNDUP(MIN(L161*$D$16,IF($E$16="",9E+99,$E$16)),0))))</f>
        <v/>
      </c>
      <c r="N161" s="20">
        <f>IF(L161="","",IF(OR($D$17="",$H$17="X",L161&lt;N($C$17)),0,IF(B161="G마켓",ROUNDDOWN(MIN(L161*$D$17,IF($E$17="",9E+99,$E$17)),0),ROUNDUP(MIN(L161*$D$17,IF($E$17="",9E+99,$E$17)),0))))</f>
        <v/>
      </c>
      <c r="O161" s="20">
        <f>IF(L161="","",IF(OR($D$18="",$H$18="X",L161&lt;N($C$18)),0,IF(B161="G마켓",ROUNDDOWN(MIN(L161*$D$18,IF($E$18="",9E+99,$E$18)),0),ROUNDUP(MIN(L161*$D$18,IF($E$18="",9E+99,$E$18)),0))))</f>
        <v/>
      </c>
      <c r="P161" s="20">
        <f>IF(L161="","",IF(OR($D$19="",$H$19="X",L161&lt;N($C$19)),0,IF(B161="G마켓",ROUNDDOWN(MIN(L161*$D$19,IF($E$19="",9E+99,$E$19)),0),ROUNDUP(MIN(L161*$D$19,IF($E$19="",9E+99,$E$19)),0))))</f>
        <v/>
      </c>
      <c r="Q161" s="19">
        <f>IF(G161="","",L161-MAX(M161:P161))</f>
        <v/>
      </c>
      <c r="R161" s="20">
        <f>IF(Q161="","",IF(OR($D$23="",Q161&lt;N($C$23)),0,IF(B161="G마켓",ROUNDDOWN(MIN(Q161*$D$23,IF($E$23="",9E+99,$E$23)),0),ROUNDUP(MIN(Q161*$D$23,IF($E$23="",9E+99,$E$23)),0))))</f>
        <v/>
      </c>
      <c r="S161" s="20">
        <f>IF(Q161="","",IF(OR($D$24="",Q161&lt;N($C$24)),0,IF(B161="G마켓",ROUNDDOWN(MIN(Q161*$D$24,IF($E$24="",9E+99,$E$24)),0),ROUNDUP(MIN(Q161*$D$24,IF($E$24="",9E+99,$E$24)),0))))</f>
        <v/>
      </c>
      <c r="T161" s="20">
        <f>IF(Q161="","",IF(OR($D$25="",Q161&lt;N($C$25)),0,IF(B161="G마켓",ROUNDDOWN(MIN(Q161*$D$25,IF($E$25="",9E+99,$E$25)),0),ROUNDUP(MIN(Q161*$D$25,IF($E$25="",9E+99,$E$25)),0))))</f>
        <v/>
      </c>
      <c r="U161" s="19">
        <f>IF(G161="","",MAX(R161:T161))</f>
        <v/>
      </c>
      <c r="V161" s="21">
        <f>IF(G161="","",Q161-U161)</f>
        <v/>
      </c>
      <c r="W161" s="19">
        <f>IF(G161="","",IF(B161="G마켓",ROUNDDOWN(MAX(I161*N($G$10),J161*N($G$11),K161*N($G$12))+MAX(M161*N($G$16),N161*N($G$17),O161*N($G$18),P161*N($G$19))+MAX(R161*N($G$23),S161*N($G$24),T161*N($G$25)),0),ROUNDUP(MAX(I161*N($G$10),J161*N($G$11),K161*N($G$12))+MAX(M161*N($G$16),N161*N($G$17),O161*N($G$18),P161*N($G$19))+MAX(R161*N($G$23),S161*N($G$24),T161*N($G$25)),0)))</f>
        <v/>
      </c>
      <c r="X161" s="21">
        <f>IF(G161="","",IF(B161="G마켓",ROUNDDOWN(G161-G161*$Q$6-W161,0),ROUNDUP(G161-G161*$Q$6-W161,0)))</f>
        <v/>
      </c>
    </row>
    <row r="162">
      <c r="B162" s="7" t="n"/>
      <c r="C162" s="7" t="n"/>
      <c r="D162" s="22" t="n"/>
      <c r="E162" s="23" t="n"/>
      <c r="F162" s="23" t="n"/>
      <c r="G162" s="19">
        <f>IF(E162="","",E162-N(F162))</f>
        <v/>
      </c>
      <c r="I162" s="20">
        <f>IF(G162="","",IF(OR($D$10="",$H$10="X",G162&lt;N($C$10)),0,IF(B162="G마켓",ROUNDDOWN(MIN(G162*$D$10,IF($E$10="",9E+99,$E$10)),0),ROUNDUP(MIN(G162*$D$10,IF($E$10="",9E+99,$E$10)),0))))</f>
        <v/>
      </c>
      <c r="J162" s="20">
        <f>IF(G162="","",IF(OR($D$11="",$H$11="X",G162&lt;N($C$11)),0,IF(B162="G마켓",ROUNDDOWN(MIN(G162*$D$11,IF($E$11="",9E+99,$E$11)),0),ROUNDUP(MIN(G162*$D$11,IF($E$11="",9E+99,$E$11)),0))))</f>
        <v/>
      </c>
      <c r="K162" s="20">
        <f>IF(G162="","",IF(OR($D$12="",$H$12="X",G162&lt;N($C$12)),0,IF(B162="G마켓",ROUNDDOWN(MIN(G162*$D$12,IF($E$12="",9E+99,$E$12)),0),ROUNDUP(MIN(G162*$D$12,IF($E$12="",9E+99,$E$12)),0))))</f>
        <v/>
      </c>
      <c r="L162" s="19">
        <f>IF(G162="","",G162-MAX(I162:K162))</f>
        <v/>
      </c>
      <c r="M162" s="20">
        <f>IF(L162="","",IF(OR($D$16="",$H$16="X",L162&lt;N($C$16)),0,IF(B162="G마켓",ROUNDDOWN(MIN(L162*$D$16,IF($E$16="",9E+99,$E$16)),0),ROUNDUP(MIN(L162*$D$16,IF($E$16="",9E+99,$E$16)),0))))</f>
        <v/>
      </c>
      <c r="N162" s="20">
        <f>IF(L162="","",IF(OR($D$17="",$H$17="X",L162&lt;N($C$17)),0,IF(B162="G마켓",ROUNDDOWN(MIN(L162*$D$17,IF($E$17="",9E+99,$E$17)),0),ROUNDUP(MIN(L162*$D$17,IF($E$17="",9E+99,$E$17)),0))))</f>
        <v/>
      </c>
      <c r="O162" s="20">
        <f>IF(L162="","",IF(OR($D$18="",$H$18="X",L162&lt;N($C$18)),0,IF(B162="G마켓",ROUNDDOWN(MIN(L162*$D$18,IF($E$18="",9E+99,$E$18)),0),ROUNDUP(MIN(L162*$D$18,IF($E$18="",9E+99,$E$18)),0))))</f>
        <v/>
      </c>
      <c r="P162" s="20">
        <f>IF(L162="","",IF(OR($D$19="",$H$19="X",L162&lt;N($C$19)),0,IF(B162="G마켓",ROUNDDOWN(MIN(L162*$D$19,IF($E$19="",9E+99,$E$19)),0),ROUNDUP(MIN(L162*$D$19,IF($E$19="",9E+99,$E$19)),0))))</f>
        <v/>
      </c>
      <c r="Q162" s="19">
        <f>IF(G162="","",L162-MAX(M162:P162))</f>
        <v/>
      </c>
      <c r="R162" s="20">
        <f>IF(Q162="","",IF(OR($D$23="",Q162&lt;N($C$23)),0,IF(B162="G마켓",ROUNDDOWN(MIN(Q162*$D$23,IF($E$23="",9E+99,$E$23)),0),ROUNDUP(MIN(Q162*$D$23,IF($E$23="",9E+99,$E$23)),0))))</f>
        <v/>
      </c>
      <c r="S162" s="20">
        <f>IF(Q162="","",IF(OR($D$24="",Q162&lt;N($C$24)),0,IF(B162="G마켓",ROUNDDOWN(MIN(Q162*$D$24,IF($E$24="",9E+99,$E$24)),0),ROUNDUP(MIN(Q162*$D$24,IF($E$24="",9E+99,$E$24)),0))))</f>
        <v/>
      </c>
      <c r="T162" s="20">
        <f>IF(Q162="","",IF(OR($D$25="",Q162&lt;N($C$25)),0,IF(B162="G마켓",ROUNDDOWN(MIN(Q162*$D$25,IF($E$25="",9E+99,$E$25)),0),ROUNDUP(MIN(Q162*$D$25,IF($E$25="",9E+99,$E$25)),0))))</f>
        <v/>
      </c>
      <c r="U162" s="19">
        <f>IF(G162="","",MAX(R162:T162))</f>
        <v/>
      </c>
      <c r="V162" s="21">
        <f>IF(G162="","",Q162-U162)</f>
        <v/>
      </c>
      <c r="W162" s="19">
        <f>IF(G162="","",IF(B162="G마켓",ROUNDDOWN(MAX(I162*N($G$10),J162*N($G$11),K162*N($G$12))+MAX(M162*N($G$16),N162*N($G$17),O162*N($G$18),P162*N($G$19))+MAX(R162*N($G$23),S162*N($G$24),T162*N($G$25)),0),ROUNDUP(MAX(I162*N($G$10),J162*N($G$11),K162*N($G$12))+MAX(M162*N($G$16),N162*N($G$17),O162*N($G$18),P162*N($G$19))+MAX(R162*N($G$23),S162*N($G$24),T162*N($G$25)),0)))</f>
        <v/>
      </c>
      <c r="X162" s="21">
        <f>IF(G162="","",IF(B162="G마켓",ROUNDDOWN(G162-G162*$Q$6-W162,0),ROUNDUP(G162-G162*$Q$6-W162,0)))</f>
        <v/>
      </c>
    </row>
    <row r="163">
      <c r="B163" s="7" t="n"/>
      <c r="C163" s="7" t="n"/>
      <c r="D163" s="22" t="n"/>
      <c r="E163" s="23" t="n"/>
      <c r="F163" s="23" t="n"/>
      <c r="G163" s="19">
        <f>IF(E163="","",E163-N(F163))</f>
        <v/>
      </c>
      <c r="I163" s="20">
        <f>IF(G163="","",IF(OR($D$10="",$H$10="X",G163&lt;N($C$10)),0,IF(B163="G마켓",ROUNDDOWN(MIN(G163*$D$10,IF($E$10="",9E+99,$E$10)),0),ROUNDUP(MIN(G163*$D$10,IF($E$10="",9E+99,$E$10)),0))))</f>
        <v/>
      </c>
      <c r="J163" s="20">
        <f>IF(G163="","",IF(OR($D$11="",$H$11="X",G163&lt;N($C$11)),0,IF(B163="G마켓",ROUNDDOWN(MIN(G163*$D$11,IF($E$11="",9E+99,$E$11)),0),ROUNDUP(MIN(G163*$D$11,IF($E$11="",9E+99,$E$11)),0))))</f>
        <v/>
      </c>
      <c r="K163" s="20">
        <f>IF(G163="","",IF(OR($D$12="",$H$12="X",G163&lt;N($C$12)),0,IF(B163="G마켓",ROUNDDOWN(MIN(G163*$D$12,IF($E$12="",9E+99,$E$12)),0),ROUNDUP(MIN(G163*$D$12,IF($E$12="",9E+99,$E$12)),0))))</f>
        <v/>
      </c>
      <c r="L163" s="19">
        <f>IF(G163="","",G163-MAX(I163:K163))</f>
        <v/>
      </c>
      <c r="M163" s="20">
        <f>IF(L163="","",IF(OR($D$16="",$H$16="X",L163&lt;N($C$16)),0,IF(B163="G마켓",ROUNDDOWN(MIN(L163*$D$16,IF($E$16="",9E+99,$E$16)),0),ROUNDUP(MIN(L163*$D$16,IF($E$16="",9E+99,$E$16)),0))))</f>
        <v/>
      </c>
      <c r="N163" s="20">
        <f>IF(L163="","",IF(OR($D$17="",$H$17="X",L163&lt;N($C$17)),0,IF(B163="G마켓",ROUNDDOWN(MIN(L163*$D$17,IF($E$17="",9E+99,$E$17)),0),ROUNDUP(MIN(L163*$D$17,IF($E$17="",9E+99,$E$17)),0))))</f>
        <v/>
      </c>
      <c r="O163" s="20">
        <f>IF(L163="","",IF(OR($D$18="",$H$18="X",L163&lt;N($C$18)),0,IF(B163="G마켓",ROUNDDOWN(MIN(L163*$D$18,IF($E$18="",9E+99,$E$18)),0),ROUNDUP(MIN(L163*$D$18,IF($E$18="",9E+99,$E$18)),0))))</f>
        <v/>
      </c>
      <c r="P163" s="20">
        <f>IF(L163="","",IF(OR($D$19="",$H$19="X",L163&lt;N($C$19)),0,IF(B163="G마켓",ROUNDDOWN(MIN(L163*$D$19,IF($E$19="",9E+99,$E$19)),0),ROUNDUP(MIN(L163*$D$19,IF($E$19="",9E+99,$E$19)),0))))</f>
        <v/>
      </c>
      <c r="Q163" s="19">
        <f>IF(G163="","",L163-MAX(M163:P163))</f>
        <v/>
      </c>
      <c r="R163" s="20">
        <f>IF(Q163="","",IF(OR($D$23="",Q163&lt;N($C$23)),0,IF(B163="G마켓",ROUNDDOWN(MIN(Q163*$D$23,IF($E$23="",9E+99,$E$23)),0),ROUNDUP(MIN(Q163*$D$23,IF($E$23="",9E+99,$E$23)),0))))</f>
        <v/>
      </c>
      <c r="S163" s="20">
        <f>IF(Q163="","",IF(OR($D$24="",Q163&lt;N($C$24)),0,IF(B163="G마켓",ROUNDDOWN(MIN(Q163*$D$24,IF($E$24="",9E+99,$E$24)),0),ROUNDUP(MIN(Q163*$D$24,IF($E$24="",9E+99,$E$24)),0))))</f>
        <v/>
      </c>
      <c r="T163" s="20">
        <f>IF(Q163="","",IF(OR($D$25="",Q163&lt;N($C$25)),0,IF(B163="G마켓",ROUNDDOWN(MIN(Q163*$D$25,IF($E$25="",9E+99,$E$25)),0),ROUNDUP(MIN(Q163*$D$25,IF($E$25="",9E+99,$E$25)),0))))</f>
        <v/>
      </c>
      <c r="U163" s="19">
        <f>IF(G163="","",MAX(R163:T163))</f>
        <v/>
      </c>
      <c r="V163" s="21">
        <f>IF(G163="","",Q163-U163)</f>
        <v/>
      </c>
      <c r="W163" s="19">
        <f>IF(G163="","",IF(B163="G마켓",ROUNDDOWN(MAX(I163*N($G$10),J163*N($G$11),K163*N($G$12))+MAX(M163*N($G$16),N163*N($G$17),O163*N($G$18),P163*N($G$19))+MAX(R163*N($G$23),S163*N($G$24),T163*N($G$25)),0),ROUNDUP(MAX(I163*N($G$10),J163*N($G$11),K163*N($G$12))+MAX(M163*N($G$16),N163*N($G$17),O163*N($G$18),P163*N($G$19))+MAX(R163*N($G$23),S163*N($G$24),T163*N($G$25)),0)))</f>
        <v/>
      </c>
      <c r="X163" s="21">
        <f>IF(G163="","",IF(B163="G마켓",ROUNDDOWN(G163-G163*$Q$6-W163,0),ROUNDUP(G163-G163*$Q$6-W163,0)))</f>
        <v/>
      </c>
    </row>
    <row r="164">
      <c r="B164" s="7" t="n"/>
      <c r="C164" s="7" t="n"/>
      <c r="D164" s="22" t="n"/>
      <c r="E164" s="23" t="n"/>
      <c r="F164" s="23" t="n"/>
      <c r="G164" s="19">
        <f>IF(E164="","",E164-N(F164))</f>
        <v/>
      </c>
      <c r="I164" s="20">
        <f>IF(G164="","",IF(OR($D$10="",$H$10="X",G164&lt;N($C$10)),0,IF(B164="G마켓",ROUNDDOWN(MIN(G164*$D$10,IF($E$10="",9E+99,$E$10)),0),ROUNDUP(MIN(G164*$D$10,IF($E$10="",9E+99,$E$10)),0))))</f>
        <v/>
      </c>
      <c r="J164" s="20">
        <f>IF(G164="","",IF(OR($D$11="",$H$11="X",G164&lt;N($C$11)),0,IF(B164="G마켓",ROUNDDOWN(MIN(G164*$D$11,IF($E$11="",9E+99,$E$11)),0),ROUNDUP(MIN(G164*$D$11,IF($E$11="",9E+99,$E$11)),0))))</f>
        <v/>
      </c>
      <c r="K164" s="20">
        <f>IF(G164="","",IF(OR($D$12="",$H$12="X",G164&lt;N($C$12)),0,IF(B164="G마켓",ROUNDDOWN(MIN(G164*$D$12,IF($E$12="",9E+99,$E$12)),0),ROUNDUP(MIN(G164*$D$12,IF($E$12="",9E+99,$E$12)),0))))</f>
        <v/>
      </c>
      <c r="L164" s="19">
        <f>IF(G164="","",G164-MAX(I164:K164))</f>
        <v/>
      </c>
      <c r="M164" s="20">
        <f>IF(L164="","",IF(OR($D$16="",$H$16="X",L164&lt;N($C$16)),0,IF(B164="G마켓",ROUNDDOWN(MIN(L164*$D$16,IF($E$16="",9E+99,$E$16)),0),ROUNDUP(MIN(L164*$D$16,IF($E$16="",9E+99,$E$16)),0))))</f>
        <v/>
      </c>
      <c r="N164" s="20">
        <f>IF(L164="","",IF(OR($D$17="",$H$17="X",L164&lt;N($C$17)),0,IF(B164="G마켓",ROUNDDOWN(MIN(L164*$D$17,IF($E$17="",9E+99,$E$17)),0),ROUNDUP(MIN(L164*$D$17,IF($E$17="",9E+99,$E$17)),0))))</f>
        <v/>
      </c>
      <c r="O164" s="20">
        <f>IF(L164="","",IF(OR($D$18="",$H$18="X",L164&lt;N($C$18)),0,IF(B164="G마켓",ROUNDDOWN(MIN(L164*$D$18,IF($E$18="",9E+99,$E$18)),0),ROUNDUP(MIN(L164*$D$18,IF($E$18="",9E+99,$E$18)),0))))</f>
        <v/>
      </c>
      <c r="P164" s="20">
        <f>IF(L164="","",IF(OR($D$19="",$H$19="X",L164&lt;N($C$19)),0,IF(B164="G마켓",ROUNDDOWN(MIN(L164*$D$19,IF($E$19="",9E+99,$E$19)),0),ROUNDUP(MIN(L164*$D$19,IF($E$19="",9E+99,$E$19)),0))))</f>
        <v/>
      </c>
      <c r="Q164" s="19">
        <f>IF(G164="","",L164-MAX(M164:P164))</f>
        <v/>
      </c>
      <c r="R164" s="20">
        <f>IF(Q164="","",IF(OR($D$23="",Q164&lt;N($C$23)),0,IF(B164="G마켓",ROUNDDOWN(MIN(Q164*$D$23,IF($E$23="",9E+99,$E$23)),0),ROUNDUP(MIN(Q164*$D$23,IF($E$23="",9E+99,$E$23)),0))))</f>
        <v/>
      </c>
      <c r="S164" s="20">
        <f>IF(Q164="","",IF(OR($D$24="",Q164&lt;N($C$24)),0,IF(B164="G마켓",ROUNDDOWN(MIN(Q164*$D$24,IF($E$24="",9E+99,$E$24)),0),ROUNDUP(MIN(Q164*$D$24,IF($E$24="",9E+99,$E$24)),0))))</f>
        <v/>
      </c>
      <c r="T164" s="20">
        <f>IF(Q164="","",IF(OR($D$25="",Q164&lt;N($C$25)),0,IF(B164="G마켓",ROUNDDOWN(MIN(Q164*$D$25,IF($E$25="",9E+99,$E$25)),0),ROUNDUP(MIN(Q164*$D$25,IF($E$25="",9E+99,$E$25)),0))))</f>
        <v/>
      </c>
      <c r="U164" s="19">
        <f>IF(G164="","",MAX(R164:T164))</f>
        <v/>
      </c>
      <c r="V164" s="21">
        <f>IF(G164="","",Q164-U164)</f>
        <v/>
      </c>
      <c r="W164" s="19">
        <f>IF(G164="","",IF(B164="G마켓",ROUNDDOWN(MAX(I164*N($G$10),J164*N($G$11),K164*N($G$12))+MAX(M164*N($G$16),N164*N($G$17),O164*N($G$18),P164*N($G$19))+MAX(R164*N($G$23),S164*N($G$24),T164*N($G$25)),0),ROUNDUP(MAX(I164*N($G$10),J164*N($G$11),K164*N($G$12))+MAX(M164*N($G$16),N164*N($G$17),O164*N($G$18),P164*N($G$19))+MAX(R164*N($G$23),S164*N($G$24),T164*N($G$25)),0)))</f>
        <v/>
      </c>
      <c r="X164" s="21">
        <f>IF(G164="","",IF(B164="G마켓",ROUNDDOWN(G164-G164*$Q$6-W164,0),ROUNDUP(G164-G164*$Q$6-W164,0)))</f>
        <v/>
      </c>
    </row>
    <row r="165">
      <c r="B165" s="7" t="n"/>
      <c r="C165" s="7" t="n"/>
      <c r="D165" s="22" t="n"/>
      <c r="E165" s="23" t="n"/>
      <c r="F165" s="23" t="n"/>
      <c r="G165" s="19">
        <f>IF(E165="","",E165-N(F165))</f>
        <v/>
      </c>
      <c r="I165" s="20">
        <f>IF(G165="","",IF(OR($D$10="",$H$10="X",G165&lt;N($C$10)),0,IF(B165="G마켓",ROUNDDOWN(MIN(G165*$D$10,IF($E$10="",9E+99,$E$10)),0),ROUNDUP(MIN(G165*$D$10,IF($E$10="",9E+99,$E$10)),0))))</f>
        <v/>
      </c>
      <c r="J165" s="20">
        <f>IF(G165="","",IF(OR($D$11="",$H$11="X",G165&lt;N($C$11)),0,IF(B165="G마켓",ROUNDDOWN(MIN(G165*$D$11,IF($E$11="",9E+99,$E$11)),0),ROUNDUP(MIN(G165*$D$11,IF($E$11="",9E+99,$E$11)),0))))</f>
        <v/>
      </c>
      <c r="K165" s="20">
        <f>IF(G165="","",IF(OR($D$12="",$H$12="X",G165&lt;N($C$12)),0,IF(B165="G마켓",ROUNDDOWN(MIN(G165*$D$12,IF($E$12="",9E+99,$E$12)),0),ROUNDUP(MIN(G165*$D$12,IF($E$12="",9E+99,$E$12)),0))))</f>
        <v/>
      </c>
      <c r="L165" s="19">
        <f>IF(G165="","",G165-MAX(I165:K165))</f>
        <v/>
      </c>
      <c r="M165" s="20">
        <f>IF(L165="","",IF(OR($D$16="",$H$16="X",L165&lt;N($C$16)),0,IF(B165="G마켓",ROUNDDOWN(MIN(L165*$D$16,IF($E$16="",9E+99,$E$16)),0),ROUNDUP(MIN(L165*$D$16,IF($E$16="",9E+99,$E$16)),0))))</f>
        <v/>
      </c>
      <c r="N165" s="20">
        <f>IF(L165="","",IF(OR($D$17="",$H$17="X",L165&lt;N($C$17)),0,IF(B165="G마켓",ROUNDDOWN(MIN(L165*$D$17,IF($E$17="",9E+99,$E$17)),0),ROUNDUP(MIN(L165*$D$17,IF($E$17="",9E+99,$E$17)),0))))</f>
        <v/>
      </c>
      <c r="O165" s="20">
        <f>IF(L165="","",IF(OR($D$18="",$H$18="X",L165&lt;N($C$18)),0,IF(B165="G마켓",ROUNDDOWN(MIN(L165*$D$18,IF($E$18="",9E+99,$E$18)),0),ROUNDUP(MIN(L165*$D$18,IF($E$18="",9E+99,$E$18)),0))))</f>
        <v/>
      </c>
      <c r="P165" s="20">
        <f>IF(L165="","",IF(OR($D$19="",$H$19="X",L165&lt;N($C$19)),0,IF(B165="G마켓",ROUNDDOWN(MIN(L165*$D$19,IF($E$19="",9E+99,$E$19)),0),ROUNDUP(MIN(L165*$D$19,IF($E$19="",9E+99,$E$19)),0))))</f>
        <v/>
      </c>
      <c r="Q165" s="19">
        <f>IF(G165="","",L165-MAX(M165:P165))</f>
        <v/>
      </c>
      <c r="R165" s="20">
        <f>IF(Q165="","",IF(OR($D$23="",Q165&lt;N($C$23)),0,IF(B165="G마켓",ROUNDDOWN(MIN(Q165*$D$23,IF($E$23="",9E+99,$E$23)),0),ROUNDUP(MIN(Q165*$D$23,IF($E$23="",9E+99,$E$23)),0))))</f>
        <v/>
      </c>
      <c r="S165" s="20">
        <f>IF(Q165="","",IF(OR($D$24="",Q165&lt;N($C$24)),0,IF(B165="G마켓",ROUNDDOWN(MIN(Q165*$D$24,IF($E$24="",9E+99,$E$24)),0),ROUNDUP(MIN(Q165*$D$24,IF($E$24="",9E+99,$E$24)),0))))</f>
        <v/>
      </c>
      <c r="T165" s="20">
        <f>IF(Q165="","",IF(OR($D$25="",Q165&lt;N($C$25)),0,IF(B165="G마켓",ROUNDDOWN(MIN(Q165*$D$25,IF($E$25="",9E+99,$E$25)),0),ROUNDUP(MIN(Q165*$D$25,IF($E$25="",9E+99,$E$25)),0))))</f>
        <v/>
      </c>
      <c r="U165" s="19">
        <f>IF(G165="","",MAX(R165:T165))</f>
        <v/>
      </c>
      <c r="V165" s="21">
        <f>IF(G165="","",Q165-U165)</f>
        <v/>
      </c>
      <c r="W165" s="19">
        <f>IF(G165="","",IF(B165="G마켓",ROUNDDOWN(MAX(I165*N($G$10),J165*N($G$11),K165*N($G$12))+MAX(M165*N($G$16),N165*N($G$17),O165*N($G$18),P165*N($G$19))+MAX(R165*N($G$23),S165*N($G$24),T165*N($G$25)),0),ROUNDUP(MAX(I165*N($G$10),J165*N($G$11),K165*N($G$12))+MAX(M165*N($G$16),N165*N($G$17),O165*N($G$18),P165*N($G$19))+MAX(R165*N($G$23),S165*N($G$24),T165*N($G$25)),0)))</f>
        <v/>
      </c>
      <c r="X165" s="21">
        <f>IF(G165="","",IF(B165="G마켓",ROUNDDOWN(G165-G165*$Q$6-W165,0),ROUNDUP(G165-G165*$Q$6-W165,0)))</f>
        <v/>
      </c>
    </row>
    <row r="166">
      <c r="B166" s="7" t="n"/>
      <c r="C166" s="7" t="n"/>
      <c r="D166" s="22" t="n"/>
      <c r="E166" s="23" t="n"/>
      <c r="F166" s="23" t="n"/>
      <c r="G166" s="19">
        <f>IF(E166="","",E166-N(F166))</f>
        <v/>
      </c>
      <c r="I166" s="20">
        <f>IF(G166="","",IF(OR($D$10="",$H$10="X",G166&lt;N($C$10)),0,IF(B166="G마켓",ROUNDDOWN(MIN(G166*$D$10,IF($E$10="",9E+99,$E$10)),0),ROUNDUP(MIN(G166*$D$10,IF($E$10="",9E+99,$E$10)),0))))</f>
        <v/>
      </c>
      <c r="J166" s="20">
        <f>IF(G166="","",IF(OR($D$11="",$H$11="X",G166&lt;N($C$11)),0,IF(B166="G마켓",ROUNDDOWN(MIN(G166*$D$11,IF($E$11="",9E+99,$E$11)),0),ROUNDUP(MIN(G166*$D$11,IF($E$11="",9E+99,$E$11)),0))))</f>
        <v/>
      </c>
      <c r="K166" s="20">
        <f>IF(G166="","",IF(OR($D$12="",$H$12="X",G166&lt;N($C$12)),0,IF(B166="G마켓",ROUNDDOWN(MIN(G166*$D$12,IF($E$12="",9E+99,$E$12)),0),ROUNDUP(MIN(G166*$D$12,IF($E$12="",9E+99,$E$12)),0))))</f>
        <v/>
      </c>
      <c r="L166" s="19">
        <f>IF(G166="","",G166-MAX(I166:K166))</f>
        <v/>
      </c>
      <c r="M166" s="20">
        <f>IF(L166="","",IF(OR($D$16="",$H$16="X",L166&lt;N($C$16)),0,IF(B166="G마켓",ROUNDDOWN(MIN(L166*$D$16,IF($E$16="",9E+99,$E$16)),0),ROUNDUP(MIN(L166*$D$16,IF($E$16="",9E+99,$E$16)),0))))</f>
        <v/>
      </c>
      <c r="N166" s="20">
        <f>IF(L166="","",IF(OR($D$17="",$H$17="X",L166&lt;N($C$17)),0,IF(B166="G마켓",ROUNDDOWN(MIN(L166*$D$17,IF($E$17="",9E+99,$E$17)),0),ROUNDUP(MIN(L166*$D$17,IF($E$17="",9E+99,$E$17)),0))))</f>
        <v/>
      </c>
      <c r="O166" s="20">
        <f>IF(L166="","",IF(OR($D$18="",$H$18="X",L166&lt;N($C$18)),0,IF(B166="G마켓",ROUNDDOWN(MIN(L166*$D$18,IF($E$18="",9E+99,$E$18)),0),ROUNDUP(MIN(L166*$D$18,IF($E$18="",9E+99,$E$18)),0))))</f>
        <v/>
      </c>
      <c r="P166" s="20">
        <f>IF(L166="","",IF(OR($D$19="",$H$19="X",L166&lt;N($C$19)),0,IF(B166="G마켓",ROUNDDOWN(MIN(L166*$D$19,IF($E$19="",9E+99,$E$19)),0),ROUNDUP(MIN(L166*$D$19,IF($E$19="",9E+99,$E$19)),0))))</f>
        <v/>
      </c>
      <c r="Q166" s="19">
        <f>IF(G166="","",L166-MAX(M166:P166))</f>
        <v/>
      </c>
      <c r="R166" s="20">
        <f>IF(Q166="","",IF(OR($D$23="",Q166&lt;N($C$23)),0,IF(B166="G마켓",ROUNDDOWN(MIN(Q166*$D$23,IF($E$23="",9E+99,$E$23)),0),ROUNDUP(MIN(Q166*$D$23,IF($E$23="",9E+99,$E$23)),0))))</f>
        <v/>
      </c>
      <c r="S166" s="20">
        <f>IF(Q166="","",IF(OR($D$24="",Q166&lt;N($C$24)),0,IF(B166="G마켓",ROUNDDOWN(MIN(Q166*$D$24,IF($E$24="",9E+99,$E$24)),0),ROUNDUP(MIN(Q166*$D$24,IF($E$24="",9E+99,$E$24)),0))))</f>
        <v/>
      </c>
      <c r="T166" s="20">
        <f>IF(Q166="","",IF(OR($D$25="",Q166&lt;N($C$25)),0,IF(B166="G마켓",ROUNDDOWN(MIN(Q166*$D$25,IF($E$25="",9E+99,$E$25)),0),ROUNDUP(MIN(Q166*$D$25,IF($E$25="",9E+99,$E$25)),0))))</f>
        <v/>
      </c>
      <c r="U166" s="19">
        <f>IF(G166="","",MAX(R166:T166))</f>
        <v/>
      </c>
      <c r="V166" s="21">
        <f>IF(G166="","",Q166-U166)</f>
        <v/>
      </c>
      <c r="W166" s="19">
        <f>IF(G166="","",IF(B166="G마켓",ROUNDDOWN(MAX(I166*N($G$10),J166*N($G$11),K166*N($G$12))+MAX(M166*N($G$16),N166*N($G$17),O166*N($G$18),P166*N($G$19))+MAX(R166*N($G$23),S166*N($G$24),T166*N($G$25)),0),ROUNDUP(MAX(I166*N($G$10),J166*N($G$11),K166*N($G$12))+MAX(M166*N($G$16),N166*N($G$17),O166*N($G$18),P166*N($G$19))+MAX(R166*N($G$23),S166*N($G$24),T166*N($G$25)),0)))</f>
        <v/>
      </c>
      <c r="X166" s="21">
        <f>IF(G166="","",IF(B166="G마켓",ROUNDDOWN(G166-G166*$Q$6-W166,0),ROUNDUP(G166-G166*$Q$6-W166,0)))</f>
        <v/>
      </c>
    </row>
    <row r="167">
      <c r="B167" s="7" t="n"/>
      <c r="C167" s="7" t="n"/>
      <c r="D167" s="22" t="n"/>
      <c r="E167" s="23" t="n"/>
      <c r="F167" s="23" t="n"/>
      <c r="G167" s="19">
        <f>IF(E167="","",E167-N(F167))</f>
        <v/>
      </c>
      <c r="I167" s="20">
        <f>IF(G167="","",IF(OR($D$10="",$H$10="X",G167&lt;N($C$10)),0,IF(B167="G마켓",ROUNDDOWN(MIN(G167*$D$10,IF($E$10="",9E+99,$E$10)),0),ROUNDUP(MIN(G167*$D$10,IF($E$10="",9E+99,$E$10)),0))))</f>
        <v/>
      </c>
      <c r="J167" s="20">
        <f>IF(G167="","",IF(OR($D$11="",$H$11="X",G167&lt;N($C$11)),0,IF(B167="G마켓",ROUNDDOWN(MIN(G167*$D$11,IF($E$11="",9E+99,$E$11)),0),ROUNDUP(MIN(G167*$D$11,IF($E$11="",9E+99,$E$11)),0))))</f>
        <v/>
      </c>
      <c r="K167" s="20">
        <f>IF(G167="","",IF(OR($D$12="",$H$12="X",G167&lt;N($C$12)),0,IF(B167="G마켓",ROUNDDOWN(MIN(G167*$D$12,IF($E$12="",9E+99,$E$12)),0),ROUNDUP(MIN(G167*$D$12,IF($E$12="",9E+99,$E$12)),0))))</f>
        <v/>
      </c>
      <c r="L167" s="19">
        <f>IF(G167="","",G167-MAX(I167:K167))</f>
        <v/>
      </c>
      <c r="M167" s="20">
        <f>IF(L167="","",IF(OR($D$16="",$H$16="X",L167&lt;N($C$16)),0,IF(B167="G마켓",ROUNDDOWN(MIN(L167*$D$16,IF($E$16="",9E+99,$E$16)),0),ROUNDUP(MIN(L167*$D$16,IF($E$16="",9E+99,$E$16)),0))))</f>
        <v/>
      </c>
      <c r="N167" s="20">
        <f>IF(L167="","",IF(OR($D$17="",$H$17="X",L167&lt;N($C$17)),0,IF(B167="G마켓",ROUNDDOWN(MIN(L167*$D$17,IF($E$17="",9E+99,$E$17)),0),ROUNDUP(MIN(L167*$D$17,IF($E$17="",9E+99,$E$17)),0))))</f>
        <v/>
      </c>
      <c r="O167" s="20">
        <f>IF(L167="","",IF(OR($D$18="",$H$18="X",L167&lt;N($C$18)),0,IF(B167="G마켓",ROUNDDOWN(MIN(L167*$D$18,IF($E$18="",9E+99,$E$18)),0),ROUNDUP(MIN(L167*$D$18,IF($E$18="",9E+99,$E$18)),0))))</f>
        <v/>
      </c>
      <c r="P167" s="20">
        <f>IF(L167="","",IF(OR($D$19="",$H$19="X",L167&lt;N($C$19)),0,IF(B167="G마켓",ROUNDDOWN(MIN(L167*$D$19,IF($E$19="",9E+99,$E$19)),0),ROUNDUP(MIN(L167*$D$19,IF($E$19="",9E+99,$E$19)),0))))</f>
        <v/>
      </c>
      <c r="Q167" s="19">
        <f>IF(G167="","",L167-MAX(M167:P167))</f>
        <v/>
      </c>
      <c r="R167" s="20">
        <f>IF(Q167="","",IF(OR($D$23="",Q167&lt;N($C$23)),0,IF(B167="G마켓",ROUNDDOWN(MIN(Q167*$D$23,IF($E$23="",9E+99,$E$23)),0),ROUNDUP(MIN(Q167*$D$23,IF($E$23="",9E+99,$E$23)),0))))</f>
        <v/>
      </c>
      <c r="S167" s="20">
        <f>IF(Q167="","",IF(OR($D$24="",Q167&lt;N($C$24)),0,IF(B167="G마켓",ROUNDDOWN(MIN(Q167*$D$24,IF($E$24="",9E+99,$E$24)),0),ROUNDUP(MIN(Q167*$D$24,IF($E$24="",9E+99,$E$24)),0))))</f>
        <v/>
      </c>
      <c r="T167" s="20">
        <f>IF(Q167="","",IF(OR($D$25="",Q167&lt;N($C$25)),0,IF(B167="G마켓",ROUNDDOWN(MIN(Q167*$D$25,IF($E$25="",9E+99,$E$25)),0),ROUNDUP(MIN(Q167*$D$25,IF($E$25="",9E+99,$E$25)),0))))</f>
        <v/>
      </c>
      <c r="U167" s="19">
        <f>IF(G167="","",MAX(R167:T167))</f>
        <v/>
      </c>
      <c r="V167" s="21">
        <f>IF(G167="","",Q167-U167)</f>
        <v/>
      </c>
      <c r="W167" s="19">
        <f>IF(G167="","",IF(B167="G마켓",ROUNDDOWN(MAX(I167*N($G$10),J167*N($G$11),K167*N($G$12))+MAX(M167*N($G$16),N167*N($G$17),O167*N($G$18),P167*N($G$19))+MAX(R167*N($G$23),S167*N($G$24),T167*N($G$25)),0),ROUNDUP(MAX(I167*N($G$10),J167*N($G$11),K167*N($G$12))+MAX(M167*N($G$16),N167*N($G$17),O167*N($G$18),P167*N($G$19))+MAX(R167*N($G$23),S167*N($G$24),T167*N($G$25)),0)))</f>
        <v/>
      </c>
      <c r="X167" s="21">
        <f>IF(G167="","",IF(B167="G마켓",ROUNDDOWN(G167-G167*$Q$6-W167,0),ROUNDUP(G167-G167*$Q$6-W167,0)))</f>
        <v/>
      </c>
    </row>
    <row r="168">
      <c r="B168" s="7" t="n"/>
      <c r="C168" s="7" t="n"/>
      <c r="D168" s="22" t="n"/>
      <c r="E168" s="23" t="n"/>
      <c r="F168" s="23" t="n"/>
      <c r="G168" s="19">
        <f>IF(E168="","",E168-N(F168))</f>
        <v/>
      </c>
      <c r="I168" s="20">
        <f>IF(G168="","",IF(OR($D$10="",$H$10="X",G168&lt;N($C$10)),0,IF(B168="G마켓",ROUNDDOWN(MIN(G168*$D$10,IF($E$10="",9E+99,$E$10)),0),ROUNDUP(MIN(G168*$D$10,IF($E$10="",9E+99,$E$10)),0))))</f>
        <v/>
      </c>
      <c r="J168" s="20">
        <f>IF(G168="","",IF(OR($D$11="",$H$11="X",G168&lt;N($C$11)),0,IF(B168="G마켓",ROUNDDOWN(MIN(G168*$D$11,IF($E$11="",9E+99,$E$11)),0),ROUNDUP(MIN(G168*$D$11,IF($E$11="",9E+99,$E$11)),0))))</f>
        <v/>
      </c>
      <c r="K168" s="20">
        <f>IF(G168="","",IF(OR($D$12="",$H$12="X",G168&lt;N($C$12)),0,IF(B168="G마켓",ROUNDDOWN(MIN(G168*$D$12,IF($E$12="",9E+99,$E$12)),0),ROUNDUP(MIN(G168*$D$12,IF($E$12="",9E+99,$E$12)),0))))</f>
        <v/>
      </c>
      <c r="L168" s="19">
        <f>IF(G168="","",G168-MAX(I168:K168))</f>
        <v/>
      </c>
      <c r="M168" s="20">
        <f>IF(L168="","",IF(OR($D$16="",$H$16="X",L168&lt;N($C$16)),0,IF(B168="G마켓",ROUNDDOWN(MIN(L168*$D$16,IF($E$16="",9E+99,$E$16)),0),ROUNDUP(MIN(L168*$D$16,IF($E$16="",9E+99,$E$16)),0))))</f>
        <v/>
      </c>
      <c r="N168" s="20">
        <f>IF(L168="","",IF(OR($D$17="",$H$17="X",L168&lt;N($C$17)),0,IF(B168="G마켓",ROUNDDOWN(MIN(L168*$D$17,IF($E$17="",9E+99,$E$17)),0),ROUNDUP(MIN(L168*$D$17,IF($E$17="",9E+99,$E$17)),0))))</f>
        <v/>
      </c>
      <c r="O168" s="20">
        <f>IF(L168="","",IF(OR($D$18="",$H$18="X",L168&lt;N($C$18)),0,IF(B168="G마켓",ROUNDDOWN(MIN(L168*$D$18,IF($E$18="",9E+99,$E$18)),0),ROUNDUP(MIN(L168*$D$18,IF($E$18="",9E+99,$E$18)),0))))</f>
        <v/>
      </c>
      <c r="P168" s="20">
        <f>IF(L168="","",IF(OR($D$19="",$H$19="X",L168&lt;N($C$19)),0,IF(B168="G마켓",ROUNDDOWN(MIN(L168*$D$19,IF($E$19="",9E+99,$E$19)),0),ROUNDUP(MIN(L168*$D$19,IF($E$19="",9E+99,$E$19)),0))))</f>
        <v/>
      </c>
      <c r="Q168" s="19">
        <f>IF(G168="","",L168-MAX(M168:P168))</f>
        <v/>
      </c>
      <c r="R168" s="20">
        <f>IF(Q168="","",IF(OR($D$23="",Q168&lt;N($C$23)),0,IF(B168="G마켓",ROUNDDOWN(MIN(Q168*$D$23,IF($E$23="",9E+99,$E$23)),0),ROUNDUP(MIN(Q168*$D$23,IF($E$23="",9E+99,$E$23)),0))))</f>
        <v/>
      </c>
      <c r="S168" s="20">
        <f>IF(Q168="","",IF(OR($D$24="",Q168&lt;N($C$24)),0,IF(B168="G마켓",ROUNDDOWN(MIN(Q168*$D$24,IF($E$24="",9E+99,$E$24)),0),ROUNDUP(MIN(Q168*$D$24,IF($E$24="",9E+99,$E$24)),0))))</f>
        <v/>
      </c>
      <c r="T168" s="20">
        <f>IF(Q168="","",IF(OR($D$25="",Q168&lt;N($C$25)),0,IF(B168="G마켓",ROUNDDOWN(MIN(Q168*$D$25,IF($E$25="",9E+99,$E$25)),0),ROUNDUP(MIN(Q168*$D$25,IF($E$25="",9E+99,$E$25)),0))))</f>
        <v/>
      </c>
      <c r="U168" s="19">
        <f>IF(G168="","",MAX(R168:T168))</f>
        <v/>
      </c>
      <c r="V168" s="21">
        <f>IF(G168="","",Q168-U168)</f>
        <v/>
      </c>
      <c r="W168" s="19">
        <f>IF(G168="","",IF(B168="G마켓",ROUNDDOWN(MAX(I168*N($G$10),J168*N($G$11),K168*N($G$12))+MAX(M168*N($G$16),N168*N($G$17),O168*N($G$18),P168*N($G$19))+MAX(R168*N($G$23),S168*N($G$24),T168*N($G$25)),0),ROUNDUP(MAX(I168*N($G$10),J168*N($G$11),K168*N($G$12))+MAX(M168*N($G$16),N168*N($G$17),O168*N($G$18),P168*N($G$19))+MAX(R168*N($G$23),S168*N($G$24),T168*N($G$25)),0)))</f>
        <v/>
      </c>
      <c r="X168" s="21">
        <f>IF(G168="","",IF(B168="G마켓",ROUNDDOWN(G168-G168*$Q$6-W168,0),ROUNDUP(G168-G168*$Q$6-W168,0)))</f>
        <v/>
      </c>
    </row>
    <row r="169">
      <c r="B169" s="7" t="n"/>
      <c r="C169" s="7" t="n"/>
      <c r="D169" s="22" t="n"/>
      <c r="E169" s="23" t="n"/>
      <c r="F169" s="23" t="n"/>
      <c r="G169" s="19">
        <f>IF(E169="","",E169-N(F169))</f>
        <v/>
      </c>
      <c r="I169" s="20">
        <f>IF(G169="","",IF(OR($D$10="",$H$10="X",G169&lt;N($C$10)),0,IF(B169="G마켓",ROUNDDOWN(MIN(G169*$D$10,IF($E$10="",9E+99,$E$10)),0),ROUNDUP(MIN(G169*$D$10,IF($E$10="",9E+99,$E$10)),0))))</f>
        <v/>
      </c>
      <c r="J169" s="20">
        <f>IF(G169="","",IF(OR($D$11="",$H$11="X",G169&lt;N($C$11)),0,IF(B169="G마켓",ROUNDDOWN(MIN(G169*$D$11,IF($E$11="",9E+99,$E$11)),0),ROUNDUP(MIN(G169*$D$11,IF($E$11="",9E+99,$E$11)),0))))</f>
        <v/>
      </c>
      <c r="K169" s="20">
        <f>IF(G169="","",IF(OR($D$12="",$H$12="X",G169&lt;N($C$12)),0,IF(B169="G마켓",ROUNDDOWN(MIN(G169*$D$12,IF($E$12="",9E+99,$E$12)),0),ROUNDUP(MIN(G169*$D$12,IF($E$12="",9E+99,$E$12)),0))))</f>
        <v/>
      </c>
      <c r="L169" s="19">
        <f>IF(G169="","",G169-MAX(I169:K169))</f>
        <v/>
      </c>
      <c r="M169" s="20">
        <f>IF(L169="","",IF(OR($D$16="",$H$16="X",L169&lt;N($C$16)),0,IF(B169="G마켓",ROUNDDOWN(MIN(L169*$D$16,IF($E$16="",9E+99,$E$16)),0),ROUNDUP(MIN(L169*$D$16,IF($E$16="",9E+99,$E$16)),0))))</f>
        <v/>
      </c>
      <c r="N169" s="20">
        <f>IF(L169="","",IF(OR($D$17="",$H$17="X",L169&lt;N($C$17)),0,IF(B169="G마켓",ROUNDDOWN(MIN(L169*$D$17,IF($E$17="",9E+99,$E$17)),0),ROUNDUP(MIN(L169*$D$17,IF($E$17="",9E+99,$E$17)),0))))</f>
        <v/>
      </c>
      <c r="O169" s="20">
        <f>IF(L169="","",IF(OR($D$18="",$H$18="X",L169&lt;N($C$18)),0,IF(B169="G마켓",ROUNDDOWN(MIN(L169*$D$18,IF($E$18="",9E+99,$E$18)),0),ROUNDUP(MIN(L169*$D$18,IF($E$18="",9E+99,$E$18)),0))))</f>
        <v/>
      </c>
      <c r="P169" s="20">
        <f>IF(L169="","",IF(OR($D$19="",$H$19="X",L169&lt;N($C$19)),0,IF(B169="G마켓",ROUNDDOWN(MIN(L169*$D$19,IF($E$19="",9E+99,$E$19)),0),ROUNDUP(MIN(L169*$D$19,IF($E$19="",9E+99,$E$19)),0))))</f>
        <v/>
      </c>
      <c r="Q169" s="19">
        <f>IF(G169="","",L169-MAX(M169:P169))</f>
        <v/>
      </c>
      <c r="R169" s="20">
        <f>IF(Q169="","",IF(OR($D$23="",Q169&lt;N($C$23)),0,IF(B169="G마켓",ROUNDDOWN(MIN(Q169*$D$23,IF($E$23="",9E+99,$E$23)),0),ROUNDUP(MIN(Q169*$D$23,IF($E$23="",9E+99,$E$23)),0))))</f>
        <v/>
      </c>
      <c r="S169" s="20">
        <f>IF(Q169="","",IF(OR($D$24="",Q169&lt;N($C$24)),0,IF(B169="G마켓",ROUNDDOWN(MIN(Q169*$D$24,IF($E$24="",9E+99,$E$24)),0),ROUNDUP(MIN(Q169*$D$24,IF($E$24="",9E+99,$E$24)),0))))</f>
        <v/>
      </c>
      <c r="T169" s="20">
        <f>IF(Q169="","",IF(OR($D$25="",Q169&lt;N($C$25)),0,IF(B169="G마켓",ROUNDDOWN(MIN(Q169*$D$25,IF($E$25="",9E+99,$E$25)),0),ROUNDUP(MIN(Q169*$D$25,IF($E$25="",9E+99,$E$25)),0))))</f>
        <v/>
      </c>
      <c r="U169" s="19">
        <f>IF(G169="","",MAX(R169:T169))</f>
        <v/>
      </c>
      <c r="V169" s="21">
        <f>IF(G169="","",Q169-U169)</f>
        <v/>
      </c>
      <c r="W169" s="19">
        <f>IF(G169="","",IF(B169="G마켓",ROUNDDOWN(MAX(I169*N($G$10),J169*N($G$11),K169*N($G$12))+MAX(M169*N($G$16),N169*N($G$17),O169*N($G$18),P169*N($G$19))+MAX(R169*N($G$23),S169*N($G$24),T169*N($G$25)),0),ROUNDUP(MAX(I169*N($G$10),J169*N($G$11),K169*N($G$12))+MAX(M169*N($G$16),N169*N($G$17),O169*N($G$18),P169*N($G$19))+MAX(R169*N($G$23),S169*N($G$24),T169*N($G$25)),0)))</f>
        <v/>
      </c>
      <c r="X169" s="21">
        <f>IF(G169="","",IF(B169="G마켓",ROUNDDOWN(G169-G169*$Q$6-W169,0),ROUNDUP(G169-G169*$Q$6-W169,0)))</f>
        <v/>
      </c>
    </row>
    <row r="170">
      <c r="B170" s="7" t="n"/>
      <c r="C170" s="7" t="n"/>
      <c r="D170" s="22" t="n"/>
      <c r="E170" s="23" t="n"/>
      <c r="F170" s="23" t="n"/>
      <c r="G170" s="19">
        <f>IF(E170="","",E170-N(F170))</f>
        <v/>
      </c>
      <c r="I170" s="20">
        <f>IF(G170="","",IF(OR($D$10="",$H$10="X",G170&lt;N($C$10)),0,IF(B170="G마켓",ROUNDDOWN(MIN(G170*$D$10,IF($E$10="",9E+99,$E$10)),0),ROUNDUP(MIN(G170*$D$10,IF($E$10="",9E+99,$E$10)),0))))</f>
        <v/>
      </c>
      <c r="J170" s="20">
        <f>IF(G170="","",IF(OR($D$11="",$H$11="X",G170&lt;N($C$11)),0,IF(B170="G마켓",ROUNDDOWN(MIN(G170*$D$11,IF($E$11="",9E+99,$E$11)),0),ROUNDUP(MIN(G170*$D$11,IF($E$11="",9E+99,$E$11)),0))))</f>
        <v/>
      </c>
      <c r="K170" s="20">
        <f>IF(G170="","",IF(OR($D$12="",$H$12="X",G170&lt;N($C$12)),0,IF(B170="G마켓",ROUNDDOWN(MIN(G170*$D$12,IF($E$12="",9E+99,$E$12)),0),ROUNDUP(MIN(G170*$D$12,IF($E$12="",9E+99,$E$12)),0))))</f>
        <v/>
      </c>
      <c r="L170" s="19">
        <f>IF(G170="","",G170-MAX(I170:K170))</f>
        <v/>
      </c>
      <c r="M170" s="20">
        <f>IF(L170="","",IF(OR($D$16="",$H$16="X",L170&lt;N($C$16)),0,IF(B170="G마켓",ROUNDDOWN(MIN(L170*$D$16,IF($E$16="",9E+99,$E$16)),0),ROUNDUP(MIN(L170*$D$16,IF($E$16="",9E+99,$E$16)),0))))</f>
        <v/>
      </c>
      <c r="N170" s="20">
        <f>IF(L170="","",IF(OR($D$17="",$H$17="X",L170&lt;N($C$17)),0,IF(B170="G마켓",ROUNDDOWN(MIN(L170*$D$17,IF($E$17="",9E+99,$E$17)),0),ROUNDUP(MIN(L170*$D$17,IF($E$17="",9E+99,$E$17)),0))))</f>
        <v/>
      </c>
      <c r="O170" s="20">
        <f>IF(L170="","",IF(OR($D$18="",$H$18="X",L170&lt;N($C$18)),0,IF(B170="G마켓",ROUNDDOWN(MIN(L170*$D$18,IF($E$18="",9E+99,$E$18)),0),ROUNDUP(MIN(L170*$D$18,IF($E$18="",9E+99,$E$18)),0))))</f>
        <v/>
      </c>
      <c r="P170" s="20">
        <f>IF(L170="","",IF(OR($D$19="",$H$19="X",L170&lt;N($C$19)),0,IF(B170="G마켓",ROUNDDOWN(MIN(L170*$D$19,IF($E$19="",9E+99,$E$19)),0),ROUNDUP(MIN(L170*$D$19,IF($E$19="",9E+99,$E$19)),0))))</f>
        <v/>
      </c>
      <c r="Q170" s="19">
        <f>IF(G170="","",L170-MAX(M170:P170))</f>
        <v/>
      </c>
      <c r="R170" s="20">
        <f>IF(Q170="","",IF(OR($D$23="",Q170&lt;N($C$23)),0,IF(B170="G마켓",ROUNDDOWN(MIN(Q170*$D$23,IF($E$23="",9E+99,$E$23)),0),ROUNDUP(MIN(Q170*$D$23,IF($E$23="",9E+99,$E$23)),0))))</f>
        <v/>
      </c>
      <c r="S170" s="20">
        <f>IF(Q170="","",IF(OR($D$24="",Q170&lt;N($C$24)),0,IF(B170="G마켓",ROUNDDOWN(MIN(Q170*$D$24,IF($E$24="",9E+99,$E$24)),0),ROUNDUP(MIN(Q170*$D$24,IF($E$24="",9E+99,$E$24)),0))))</f>
        <v/>
      </c>
      <c r="T170" s="20">
        <f>IF(Q170="","",IF(OR($D$25="",Q170&lt;N($C$25)),0,IF(B170="G마켓",ROUNDDOWN(MIN(Q170*$D$25,IF($E$25="",9E+99,$E$25)),0),ROUNDUP(MIN(Q170*$D$25,IF($E$25="",9E+99,$E$25)),0))))</f>
        <v/>
      </c>
      <c r="U170" s="19">
        <f>IF(G170="","",MAX(R170:T170))</f>
        <v/>
      </c>
      <c r="V170" s="21">
        <f>IF(G170="","",Q170-U170)</f>
        <v/>
      </c>
      <c r="W170" s="19">
        <f>IF(G170="","",IF(B170="G마켓",ROUNDDOWN(MAX(I170*N($G$10),J170*N($G$11),K170*N($G$12))+MAX(M170*N($G$16),N170*N($G$17),O170*N($G$18),P170*N($G$19))+MAX(R170*N($G$23),S170*N($G$24),T170*N($G$25)),0),ROUNDUP(MAX(I170*N($G$10),J170*N($G$11),K170*N($G$12))+MAX(M170*N($G$16),N170*N($G$17),O170*N($G$18),P170*N($G$19))+MAX(R170*N($G$23),S170*N($G$24),T170*N($G$25)),0)))</f>
        <v/>
      </c>
      <c r="X170" s="21">
        <f>IF(G170="","",IF(B170="G마켓",ROUNDDOWN(G170-G170*$Q$6-W170,0),ROUNDUP(G170-G170*$Q$6-W170,0)))</f>
        <v/>
      </c>
    </row>
    <row r="171">
      <c r="B171" s="7" t="n"/>
      <c r="C171" s="7" t="n"/>
      <c r="D171" s="22" t="n"/>
      <c r="E171" s="23" t="n"/>
      <c r="F171" s="23" t="n"/>
      <c r="G171" s="19">
        <f>IF(E171="","",E171-N(F171))</f>
        <v/>
      </c>
      <c r="I171" s="20">
        <f>IF(G171="","",IF(OR($D$10="",$H$10="X",G171&lt;N($C$10)),0,IF(B171="G마켓",ROUNDDOWN(MIN(G171*$D$10,IF($E$10="",9E+99,$E$10)),0),ROUNDUP(MIN(G171*$D$10,IF($E$10="",9E+99,$E$10)),0))))</f>
        <v/>
      </c>
      <c r="J171" s="20">
        <f>IF(G171="","",IF(OR($D$11="",$H$11="X",G171&lt;N($C$11)),0,IF(B171="G마켓",ROUNDDOWN(MIN(G171*$D$11,IF($E$11="",9E+99,$E$11)),0),ROUNDUP(MIN(G171*$D$11,IF($E$11="",9E+99,$E$11)),0))))</f>
        <v/>
      </c>
      <c r="K171" s="20">
        <f>IF(G171="","",IF(OR($D$12="",$H$12="X",G171&lt;N($C$12)),0,IF(B171="G마켓",ROUNDDOWN(MIN(G171*$D$12,IF($E$12="",9E+99,$E$12)),0),ROUNDUP(MIN(G171*$D$12,IF($E$12="",9E+99,$E$12)),0))))</f>
        <v/>
      </c>
      <c r="L171" s="19">
        <f>IF(G171="","",G171-MAX(I171:K171))</f>
        <v/>
      </c>
      <c r="M171" s="20">
        <f>IF(L171="","",IF(OR($D$16="",$H$16="X",L171&lt;N($C$16)),0,IF(B171="G마켓",ROUNDDOWN(MIN(L171*$D$16,IF($E$16="",9E+99,$E$16)),0),ROUNDUP(MIN(L171*$D$16,IF($E$16="",9E+99,$E$16)),0))))</f>
        <v/>
      </c>
      <c r="N171" s="20">
        <f>IF(L171="","",IF(OR($D$17="",$H$17="X",L171&lt;N($C$17)),0,IF(B171="G마켓",ROUNDDOWN(MIN(L171*$D$17,IF($E$17="",9E+99,$E$17)),0),ROUNDUP(MIN(L171*$D$17,IF($E$17="",9E+99,$E$17)),0))))</f>
        <v/>
      </c>
      <c r="O171" s="20">
        <f>IF(L171="","",IF(OR($D$18="",$H$18="X",L171&lt;N($C$18)),0,IF(B171="G마켓",ROUNDDOWN(MIN(L171*$D$18,IF($E$18="",9E+99,$E$18)),0),ROUNDUP(MIN(L171*$D$18,IF($E$18="",9E+99,$E$18)),0))))</f>
        <v/>
      </c>
      <c r="P171" s="20">
        <f>IF(L171="","",IF(OR($D$19="",$H$19="X",L171&lt;N($C$19)),0,IF(B171="G마켓",ROUNDDOWN(MIN(L171*$D$19,IF($E$19="",9E+99,$E$19)),0),ROUNDUP(MIN(L171*$D$19,IF($E$19="",9E+99,$E$19)),0))))</f>
        <v/>
      </c>
      <c r="Q171" s="19">
        <f>IF(G171="","",L171-MAX(M171:P171))</f>
        <v/>
      </c>
      <c r="R171" s="20">
        <f>IF(Q171="","",IF(OR($D$23="",Q171&lt;N($C$23)),0,IF(B171="G마켓",ROUNDDOWN(MIN(Q171*$D$23,IF($E$23="",9E+99,$E$23)),0),ROUNDUP(MIN(Q171*$D$23,IF($E$23="",9E+99,$E$23)),0))))</f>
        <v/>
      </c>
      <c r="S171" s="20">
        <f>IF(Q171="","",IF(OR($D$24="",Q171&lt;N($C$24)),0,IF(B171="G마켓",ROUNDDOWN(MIN(Q171*$D$24,IF($E$24="",9E+99,$E$24)),0),ROUNDUP(MIN(Q171*$D$24,IF($E$24="",9E+99,$E$24)),0))))</f>
        <v/>
      </c>
      <c r="T171" s="20">
        <f>IF(Q171="","",IF(OR($D$25="",Q171&lt;N($C$25)),0,IF(B171="G마켓",ROUNDDOWN(MIN(Q171*$D$25,IF($E$25="",9E+99,$E$25)),0),ROUNDUP(MIN(Q171*$D$25,IF($E$25="",9E+99,$E$25)),0))))</f>
        <v/>
      </c>
      <c r="U171" s="19">
        <f>IF(G171="","",MAX(R171:T171))</f>
        <v/>
      </c>
      <c r="V171" s="21">
        <f>IF(G171="","",Q171-U171)</f>
        <v/>
      </c>
      <c r="W171" s="19">
        <f>IF(G171="","",IF(B171="G마켓",ROUNDDOWN(MAX(I171*N($G$10),J171*N($G$11),K171*N($G$12))+MAX(M171*N($G$16),N171*N($G$17),O171*N($G$18),P171*N($G$19))+MAX(R171*N($G$23),S171*N($G$24),T171*N($G$25)),0),ROUNDUP(MAX(I171*N($G$10),J171*N($G$11),K171*N($G$12))+MAX(M171*N($G$16),N171*N($G$17),O171*N($G$18),P171*N($G$19))+MAX(R171*N($G$23),S171*N($G$24),T171*N($G$25)),0)))</f>
        <v/>
      </c>
      <c r="X171" s="21">
        <f>IF(G171="","",IF(B171="G마켓",ROUNDDOWN(G171-G171*$Q$6-W171,0),ROUNDUP(G171-G171*$Q$6-W171,0)))</f>
        <v/>
      </c>
    </row>
    <row r="172">
      <c r="B172" s="7" t="n"/>
      <c r="C172" s="7" t="n"/>
      <c r="D172" s="22" t="n"/>
      <c r="E172" s="23" t="n"/>
      <c r="F172" s="23" t="n"/>
      <c r="G172" s="19">
        <f>IF(E172="","",E172-N(F172))</f>
        <v/>
      </c>
      <c r="I172" s="20">
        <f>IF(G172="","",IF(OR($D$10="",$H$10="X",G172&lt;N($C$10)),0,IF(B172="G마켓",ROUNDDOWN(MIN(G172*$D$10,IF($E$10="",9E+99,$E$10)),0),ROUNDUP(MIN(G172*$D$10,IF($E$10="",9E+99,$E$10)),0))))</f>
        <v/>
      </c>
      <c r="J172" s="20">
        <f>IF(G172="","",IF(OR($D$11="",$H$11="X",G172&lt;N($C$11)),0,IF(B172="G마켓",ROUNDDOWN(MIN(G172*$D$11,IF($E$11="",9E+99,$E$11)),0),ROUNDUP(MIN(G172*$D$11,IF($E$11="",9E+99,$E$11)),0))))</f>
        <v/>
      </c>
      <c r="K172" s="20">
        <f>IF(G172="","",IF(OR($D$12="",$H$12="X",G172&lt;N($C$12)),0,IF(B172="G마켓",ROUNDDOWN(MIN(G172*$D$12,IF($E$12="",9E+99,$E$12)),0),ROUNDUP(MIN(G172*$D$12,IF($E$12="",9E+99,$E$12)),0))))</f>
        <v/>
      </c>
      <c r="L172" s="19">
        <f>IF(G172="","",G172-MAX(I172:K172))</f>
        <v/>
      </c>
      <c r="M172" s="20">
        <f>IF(L172="","",IF(OR($D$16="",$H$16="X",L172&lt;N($C$16)),0,IF(B172="G마켓",ROUNDDOWN(MIN(L172*$D$16,IF($E$16="",9E+99,$E$16)),0),ROUNDUP(MIN(L172*$D$16,IF($E$16="",9E+99,$E$16)),0))))</f>
        <v/>
      </c>
      <c r="N172" s="20">
        <f>IF(L172="","",IF(OR($D$17="",$H$17="X",L172&lt;N($C$17)),0,IF(B172="G마켓",ROUNDDOWN(MIN(L172*$D$17,IF($E$17="",9E+99,$E$17)),0),ROUNDUP(MIN(L172*$D$17,IF($E$17="",9E+99,$E$17)),0))))</f>
        <v/>
      </c>
      <c r="O172" s="20">
        <f>IF(L172="","",IF(OR($D$18="",$H$18="X",L172&lt;N($C$18)),0,IF(B172="G마켓",ROUNDDOWN(MIN(L172*$D$18,IF($E$18="",9E+99,$E$18)),0),ROUNDUP(MIN(L172*$D$18,IF($E$18="",9E+99,$E$18)),0))))</f>
        <v/>
      </c>
      <c r="P172" s="20">
        <f>IF(L172="","",IF(OR($D$19="",$H$19="X",L172&lt;N($C$19)),0,IF(B172="G마켓",ROUNDDOWN(MIN(L172*$D$19,IF($E$19="",9E+99,$E$19)),0),ROUNDUP(MIN(L172*$D$19,IF($E$19="",9E+99,$E$19)),0))))</f>
        <v/>
      </c>
      <c r="Q172" s="19">
        <f>IF(G172="","",L172-MAX(M172:P172))</f>
        <v/>
      </c>
      <c r="R172" s="20">
        <f>IF(Q172="","",IF(OR($D$23="",Q172&lt;N($C$23)),0,IF(B172="G마켓",ROUNDDOWN(MIN(Q172*$D$23,IF($E$23="",9E+99,$E$23)),0),ROUNDUP(MIN(Q172*$D$23,IF($E$23="",9E+99,$E$23)),0))))</f>
        <v/>
      </c>
      <c r="S172" s="20">
        <f>IF(Q172="","",IF(OR($D$24="",Q172&lt;N($C$24)),0,IF(B172="G마켓",ROUNDDOWN(MIN(Q172*$D$24,IF($E$24="",9E+99,$E$24)),0),ROUNDUP(MIN(Q172*$D$24,IF($E$24="",9E+99,$E$24)),0))))</f>
        <v/>
      </c>
      <c r="T172" s="20">
        <f>IF(Q172="","",IF(OR($D$25="",Q172&lt;N($C$25)),0,IF(B172="G마켓",ROUNDDOWN(MIN(Q172*$D$25,IF($E$25="",9E+99,$E$25)),0),ROUNDUP(MIN(Q172*$D$25,IF($E$25="",9E+99,$E$25)),0))))</f>
        <v/>
      </c>
      <c r="U172" s="19">
        <f>IF(G172="","",MAX(R172:T172))</f>
        <v/>
      </c>
      <c r="V172" s="21">
        <f>IF(G172="","",Q172-U172)</f>
        <v/>
      </c>
      <c r="W172" s="19">
        <f>IF(G172="","",IF(B172="G마켓",ROUNDDOWN(MAX(I172*N($G$10),J172*N($G$11),K172*N($G$12))+MAX(M172*N($G$16),N172*N($G$17),O172*N($G$18),P172*N($G$19))+MAX(R172*N($G$23),S172*N($G$24),T172*N($G$25)),0),ROUNDUP(MAX(I172*N($G$10),J172*N($G$11),K172*N($G$12))+MAX(M172*N($G$16),N172*N($G$17),O172*N($G$18),P172*N($G$19))+MAX(R172*N($G$23),S172*N($G$24),T172*N($G$25)),0)))</f>
        <v/>
      </c>
      <c r="X172" s="21">
        <f>IF(G172="","",IF(B172="G마켓",ROUNDDOWN(G172-G172*$Q$6-W172,0),ROUNDUP(G172-G172*$Q$6-W172,0)))</f>
        <v/>
      </c>
    </row>
    <row r="173">
      <c r="B173" s="7" t="n"/>
      <c r="C173" s="7" t="n"/>
      <c r="D173" s="22" t="n"/>
      <c r="E173" s="23" t="n"/>
      <c r="F173" s="23" t="n"/>
      <c r="G173" s="19">
        <f>IF(E173="","",E173-N(F173))</f>
        <v/>
      </c>
      <c r="I173" s="20">
        <f>IF(G173="","",IF(OR($D$10="",$H$10="X",G173&lt;N($C$10)),0,IF(B173="G마켓",ROUNDDOWN(MIN(G173*$D$10,IF($E$10="",9E+99,$E$10)),0),ROUNDUP(MIN(G173*$D$10,IF($E$10="",9E+99,$E$10)),0))))</f>
        <v/>
      </c>
      <c r="J173" s="20">
        <f>IF(G173="","",IF(OR($D$11="",$H$11="X",G173&lt;N($C$11)),0,IF(B173="G마켓",ROUNDDOWN(MIN(G173*$D$11,IF($E$11="",9E+99,$E$11)),0),ROUNDUP(MIN(G173*$D$11,IF($E$11="",9E+99,$E$11)),0))))</f>
        <v/>
      </c>
      <c r="K173" s="20">
        <f>IF(G173="","",IF(OR($D$12="",$H$12="X",G173&lt;N($C$12)),0,IF(B173="G마켓",ROUNDDOWN(MIN(G173*$D$12,IF($E$12="",9E+99,$E$12)),0),ROUNDUP(MIN(G173*$D$12,IF($E$12="",9E+99,$E$12)),0))))</f>
        <v/>
      </c>
      <c r="L173" s="19">
        <f>IF(G173="","",G173-MAX(I173:K173))</f>
        <v/>
      </c>
      <c r="M173" s="20">
        <f>IF(L173="","",IF(OR($D$16="",$H$16="X",L173&lt;N($C$16)),0,IF(B173="G마켓",ROUNDDOWN(MIN(L173*$D$16,IF($E$16="",9E+99,$E$16)),0),ROUNDUP(MIN(L173*$D$16,IF($E$16="",9E+99,$E$16)),0))))</f>
        <v/>
      </c>
      <c r="N173" s="20">
        <f>IF(L173="","",IF(OR($D$17="",$H$17="X",L173&lt;N($C$17)),0,IF(B173="G마켓",ROUNDDOWN(MIN(L173*$D$17,IF($E$17="",9E+99,$E$17)),0),ROUNDUP(MIN(L173*$D$17,IF($E$17="",9E+99,$E$17)),0))))</f>
        <v/>
      </c>
      <c r="O173" s="20">
        <f>IF(L173="","",IF(OR($D$18="",$H$18="X",L173&lt;N($C$18)),0,IF(B173="G마켓",ROUNDDOWN(MIN(L173*$D$18,IF($E$18="",9E+99,$E$18)),0),ROUNDUP(MIN(L173*$D$18,IF($E$18="",9E+99,$E$18)),0))))</f>
        <v/>
      </c>
      <c r="P173" s="20">
        <f>IF(L173="","",IF(OR($D$19="",$H$19="X",L173&lt;N($C$19)),0,IF(B173="G마켓",ROUNDDOWN(MIN(L173*$D$19,IF($E$19="",9E+99,$E$19)),0),ROUNDUP(MIN(L173*$D$19,IF($E$19="",9E+99,$E$19)),0))))</f>
        <v/>
      </c>
      <c r="Q173" s="19">
        <f>IF(G173="","",L173-MAX(M173:P173))</f>
        <v/>
      </c>
      <c r="R173" s="20">
        <f>IF(Q173="","",IF(OR($D$23="",Q173&lt;N($C$23)),0,IF(B173="G마켓",ROUNDDOWN(MIN(Q173*$D$23,IF($E$23="",9E+99,$E$23)),0),ROUNDUP(MIN(Q173*$D$23,IF($E$23="",9E+99,$E$23)),0))))</f>
        <v/>
      </c>
      <c r="S173" s="20">
        <f>IF(Q173="","",IF(OR($D$24="",Q173&lt;N($C$24)),0,IF(B173="G마켓",ROUNDDOWN(MIN(Q173*$D$24,IF($E$24="",9E+99,$E$24)),0),ROUNDUP(MIN(Q173*$D$24,IF($E$24="",9E+99,$E$24)),0))))</f>
        <v/>
      </c>
      <c r="T173" s="20">
        <f>IF(Q173="","",IF(OR($D$25="",Q173&lt;N($C$25)),0,IF(B173="G마켓",ROUNDDOWN(MIN(Q173*$D$25,IF($E$25="",9E+99,$E$25)),0),ROUNDUP(MIN(Q173*$D$25,IF($E$25="",9E+99,$E$25)),0))))</f>
        <v/>
      </c>
      <c r="U173" s="19">
        <f>IF(G173="","",MAX(R173:T173))</f>
        <v/>
      </c>
      <c r="V173" s="21">
        <f>IF(G173="","",Q173-U173)</f>
        <v/>
      </c>
      <c r="W173" s="19">
        <f>IF(G173="","",IF(B173="G마켓",ROUNDDOWN(MAX(I173*N($G$10),J173*N($G$11),K173*N($G$12))+MAX(M173*N($G$16),N173*N($G$17),O173*N($G$18),P173*N($G$19))+MAX(R173*N($G$23),S173*N($G$24),T173*N($G$25)),0),ROUNDUP(MAX(I173*N($G$10),J173*N($G$11),K173*N($G$12))+MAX(M173*N($G$16),N173*N($G$17),O173*N($G$18),P173*N($G$19))+MAX(R173*N($G$23),S173*N($G$24),T173*N($G$25)),0)))</f>
        <v/>
      </c>
      <c r="X173" s="21">
        <f>IF(G173="","",IF(B173="G마켓",ROUNDDOWN(G173-G173*$Q$6-W173,0),ROUNDUP(G173-G173*$Q$6-W173,0)))</f>
        <v/>
      </c>
    </row>
    <row r="174">
      <c r="B174" s="7" t="n"/>
      <c r="C174" s="7" t="n"/>
      <c r="D174" s="22" t="n"/>
      <c r="E174" s="23" t="n"/>
      <c r="F174" s="23" t="n"/>
      <c r="G174" s="19">
        <f>IF(E174="","",E174-N(F174))</f>
        <v/>
      </c>
      <c r="I174" s="20">
        <f>IF(G174="","",IF(OR($D$10="",$H$10="X",G174&lt;N($C$10)),0,IF(B174="G마켓",ROUNDDOWN(MIN(G174*$D$10,IF($E$10="",9E+99,$E$10)),0),ROUNDUP(MIN(G174*$D$10,IF($E$10="",9E+99,$E$10)),0))))</f>
        <v/>
      </c>
      <c r="J174" s="20">
        <f>IF(G174="","",IF(OR($D$11="",$H$11="X",G174&lt;N($C$11)),0,IF(B174="G마켓",ROUNDDOWN(MIN(G174*$D$11,IF($E$11="",9E+99,$E$11)),0),ROUNDUP(MIN(G174*$D$11,IF($E$11="",9E+99,$E$11)),0))))</f>
        <v/>
      </c>
      <c r="K174" s="20">
        <f>IF(G174="","",IF(OR($D$12="",$H$12="X",G174&lt;N($C$12)),0,IF(B174="G마켓",ROUNDDOWN(MIN(G174*$D$12,IF($E$12="",9E+99,$E$12)),0),ROUNDUP(MIN(G174*$D$12,IF($E$12="",9E+99,$E$12)),0))))</f>
        <v/>
      </c>
      <c r="L174" s="19">
        <f>IF(G174="","",G174-MAX(I174:K174))</f>
        <v/>
      </c>
      <c r="M174" s="20">
        <f>IF(L174="","",IF(OR($D$16="",$H$16="X",L174&lt;N($C$16)),0,IF(B174="G마켓",ROUNDDOWN(MIN(L174*$D$16,IF($E$16="",9E+99,$E$16)),0),ROUNDUP(MIN(L174*$D$16,IF($E$16="",9E+99,$E$16)),0))))</f>
        <v/>
      </c>
      <c r="N174" s="20">
        <f>IF(L174="","",IF(OR($D$17="",$H$17="X",L174&lt;N($C$17)),0,IF(B174="G마켓",ROUNDDOWN(MIN(L174*$D$17,IF($E$17="",9E+99,$E$17)),0),ROUNDUP(MIN(L174*$D$17,IF($E$17="",9E+99,$E$17)),0))))</f>
        <v/>
      </c>
      <c r="O174" s="20">
        <f>IF(L174="","",IF(OR($D$18="",$H$18="X",L174&lt;N($C$18)),0,IF(B174="G마켓",ROUNDDOWN(MIN(L174*$D$18,IF($E$18="",9E+99,$E$18)),0),ROUNDUP(MIN(L174*$D$18,IF($E$18="",9E+99,$E$18)),0))))</f>
        <v/>
      </c>
      <c r="P174" s="20">
        <f>IF(L174="","",IF(OR($D$19="",$H$19="X",L174&lt;N($C$19)),0,IF(B174="G마켓",ROUNDDOWN(MIN(L174*$D$19,IF($E$19="",9E+99,$E$19)),0),ROUNDUP(MIN(L174*$D$19,IF($E$19="",9E+99,$E$19)),0))))</f>
        <v/>
      </c>
      <c r="Q174" s="19">
        <f>IF(G174="","",L174-MAX(M174:P174))</f>
        <v/>
      </c>
      <c r="R174" s="20">
        <f>IF(Q174="","",IF(OR($D$23="",Q174&lt;N($C$23)),0,IF(B174="G마켓",ROUNDDOWN(MIN(Q174*$D$23,IF($E$23="",9E+99,$E$23)),0),ROUNDUP(MIN(Q174*$D$23,IF($E$23="",9E+99,$E$23)),0))))</f>
        <v/>
      </c>
      <c r="S174" s="20">
        <f>IF(Q174="","",IF(OR($D$24="",Q174&lt;N($C$24)),0,IF(B174="G마켓",ROUNDDOWN(MIN(Q174*$D$24,IF($E$24="",9E+99,$E$24)),0),ROUNDUP(MIN(Q174*$D$24,IF($E$24="",9E+99,$E$24)),0))))</f>
        <v/>
      </c>
      <c r="T174" s="20">
        <f>IF(Q174="","",IF(OR($D$25="",Q174&lt;N($C$25)),0,IF(B174="G마켓",ROUNDDOWN(MIN(Q174*$D$25,IF($E$25="",9E+99,$E$25)),0),ROUNDUP(MIN(Q174*$D$25,IF($E$25="",9E+99,$E$25)),0))))</f>
        <v/>
      </c>
      <c r="U174" s="19">
        <f>IF(G174="","",MAX(R174:T174))</f>
        <v/>
      </c>
      <c r="V174" s="21">
        <f>IF(G174="","",Q174-U174)</f>
        <v/>
      </c>
      <c r="W174" s="19">
        <f>IF(G174="","",IF(B174="G마켓",ROUNDDOWN(MAX(I174*N($G$10),J174*N($G$11),K174*N($G$12))+MAX(M174*N($G$16),N174*N($G$17),O174*N($G$18),P174*N($G$19))+MAX(R174*N($G$23),S174*N($G$24),T174*N($G$25)),0),ROUNDUP(MAX(I174*N($G$10),J174*N($G$11),K174*N($G$12))+MAX(M174*N($G$16),N174*N($G$17),O174*N($G$18),P174*N($G$19))+MAX(R174*N($G$23),S174*N($G$24),T174*N($G$25)),0)))</f>
        <v/>
      </c>
      <c r="X174" s="21">
        <f>IF(G174="","",IF(B174="G마켓",ROUNDDOWN(G174-G174*$Q$6-W174,0),ROUNDUP(G174-G174*$Q$6-W174,0)))</f>
        <v/>
      </c>
    </row>
    <row r="175">
      <c r="B175" s="7" t="n"/>
      <c r="C175" s="7" t="n"/>
      <c r="D175" s="22" t="n"/>
      <c r="E175" s="23" t="n"/>
      <c r="F175" s="23" t="n"/>
      <c r="G175" s="19">
        <f>IF(E175="","",E175-N(F175))</f>
        <v/>
      </c>
      <c r="I175" s="20">
        <f>IF(G175="","",IF(OR($D$10="",$H$10="X",G175&lt;N($C$10)),0,IF(B175="G마켓",ROUNDDOWN(MIN(G175*$D$10,IF($E$10="",9E+99,$E$10)),0),ROUNDUP(MIN(G175*$D$10,IF($E$10="",9E+99,$E$10)),0))))</f>
        <v/>
      </c>
      <c r="J175" s="20">
        <f>IF(G175="","",IF(OR($D$11="",$H$11="X",G175&lt;N($C$11)),0,IF(B175="G마켓",ROUNDDOWN(MIN(G175*$D$11,IF($E$11="",9E+99,$E$11)),0),ROUNDUP(MIN(G175*$D$11,IF($E$11="",9E+99,$E$11)),0))))</f>
        <v/>
      </c>
      <c r="K175" s="20">
        <f>IF(G175="","",IF(OR($D$12="",$H$12="X",G175&lt;N($C$12)),0,IF(B175="G마켓",ROUNDDOWN(MIN(G175*$D$12,IF($E$12="",9E+99,$E$12)),0),ROUNDUP(MIN(G175*$D$12,IF($E$12="",9E+99,$E$12)),0))))</f>
        <v/>
      </c>
      <c r="L175" s="19">
        <f>IF(G175="","",G175-MAX(I175:K175))</f>
        <v/>
      </c>
      <c r="M175" s="20">
        <f>IF(L175="","",IF(OR($D$16="",$H$16="X",L175&lt;N($C$16)),0,IF(B175="G마켓",ROUNDDOWN(MIN(L175*$D$16,IF($E$16="",9E+99,$E$16)),0),ROUNDUP(MIN(L175*$D$16,IF($E$16="",9E+99,$E$16)),0))))</f>
        <v/>
      </c>
      <c r="N175" s="20">
        <f>IF(L175="","",IF(OR($D$17="",$H$17="X",L175&lt;N($C$17)),0,IF(B175="G마켓",ROUNDDOWN(MIN(L175*$D$17,IF($E$17="",9E+99,$E$17)),0),ROUNDUP(MIN(L175*$D$17,IF($E$17="",9E+99,$E$17)),0))))</f>
        <v/>
      </c>
      <c r="O175" s="20">
        <f>IF(L175="","",IF(OR($D$18="",$H$18="X",L175&lt;N($C$18)),0,IF(B175="G마켓",ROUNDDOWN(MIN(L175*$D$18,IF($E$18="",9E+99,$E$18)),0),ROUNDUP(MIN(L175*$D$18,IF($E$18="",9E+99,$E$18)),0))))</f>
        <v/>
      </c>
      <c r="P175" s="20">
        <f>IF(L175="","",IF(OR($D$19="",$H$19="X",L175&lt;N($C$19)),0,IF(B175="G마켓",ROUNDDOWN(MIN(L175*$D$19,IF($E$19="",9E+99,$E$19)),0),ROUNDUP(MIN(L175*$D$19,IF($E$19="",9E+99,$E$19)),0))))</f>
        <v/>
      </c>
      <c r="Q175" s="19">
        <f>IF(G175="","",L175-MAX(M175:P175))</f>
        <v/>
      </c>
      <c r="R175" s="20">
        <f>IF(Q175="","",IF(OR($D$23="",Q175&lt;N($C$23)),0,IF(B175="G마켓",ROUNDDOWN(MIN(Q175*$D$23,IF($E$23="",9E+99,$E$23)),0),ROUNDUP(MIN(Q175*$D$23,IF($E$23="",9E+99,$E$23)),0))))</f>
        <v/>
      </c>
      <c r="S175" s="20">
        <f>IF(Q175="","",IF(OR($D$24="",Q175&lt;N($C$24)),0,IF(B175="G마켓",ROUNDDOWN(MIN(Q175*$D$24,IF($E$24="",9E+99,$E$24)),0),ROUNDUP(MIN(Q175*$D$24,IF($E$24="",9E+99,$E$24)),0))))</f>
        <v/>
      </c>
      <c r="T175" s="20">
        <f>IF(Q175="","",IF(OR($D$25="",Q175&lt;N($C$25)),0,IF(B175="G마켓",ROUNDDOWN(MIN(Q175*$D$25,IF($E$25="",9E+99,$E$25)),0),ROUNDUP(MIN(Q175*$D$25,IF($E$25="",9E+99,$E$25)),0))))</f>
        <v/>
      </c>
      <c r="U175" s="19">
        <f>IF(G175="","",MAX(R175:T175))</f>
        <v/>
      </c>
      <c r="V175" s="21">
        <f>IF(G175="","",Q175-U175)</f>
        <v/>
      </c>
      <c r="W175" s="19">
        <f>IF(G175="","",IF(B175="G마켓",ROUNDDOWN(MAX(I175*N($G$10),J175*N($G$11),K175*N($G$12))+MAX(M175*N($G$16),N175*N($G$17),O175*N($G$18),P175*N($G$19))+MAX(R175*N($G$23),S175*N($G$24),T175*N($G$25)),0),ROUNDUP(MAX(I175*N($G$10),J175*N($G$11),K175*N($G$12))+MAX(M175*N($G$16),N175*N($G$17),O175*N($G$18),P175*N($G$19))+MAX(R175*N($G$23),S175*N($G$24),T175*N($G$25)),0)))</f>
        <v/>
      </c>
      <c r="X175" s="21">
        <f>IF(G175="","",IF(B175="G마켓",ROUNDDOWN(G175-G175*$Q$6-W175,0),ROUNDUP(G175-G175*$Q$6-W175,0)))</f>
        <v/>
      </c>
    </row>
    <row r="176">
      <c r="B176" s="7" t="n"/>
      <c r="C176" s="7" t="n"/>
      <c r="D176" s="22" t="n"/>
      <c r="E176" s="23" t="n"/>
      <c r="F176" s="23" t="n"/>
      <c r="G176" s="19">
        <f>IF(E176="","",E176-N(F176))</f>
        <v/>
      </c>
      <c r="I176" s="20">
        <f>IF(G176="","",IF(OR($D$10="",$H$10="X",G176&lt;N($C$10)),0,IF(B176="G마켓",ROUNDDOWN(MIN(G176*$D$10,IF($E$10="",9E+99,$E$10)),0),ROUNDUP(MIN(G176*$D$10,IF($E$10="",9E+99,$E$10)),0))))</f>
        <v/>
      </c>
      <c r="J176" s="20">
        <f>IF(G176="","",IF(OR($D$11="",$H$11="X",G176&lt;N($C$11)),0,IF(B176="G마켓",ROUNDDOWN(MIN(G176*$D$11,IF($E$11="",9E+99,$E$11)),0),ROUNDUP(MIN(G176*$D$11,IF($E$11="",9E+99,$E$11)),0))))</f>
        <v/>
      </c>
      <c r="K176" s="20">
        <f>IF(G176="","",IF(OR($D$12="",$H$12="X",G176&lt;N($C$12)),0,IF(B176="G마켓",ROUNDDOWN(MIN(G176*$D$12,IF($E$12="",9E+99,$E$12)),0),ROUNDUP(MIN(G176*$D$12,IF($E$12="",9E+99,$E$12)),0))))</f>
        <v/>
      </c>
      <c r="L176" s="19">
        <f>IF(G176="","",G176-MAX(I176:K176))</f>
        <v/>
      </c>
      <c r="M176" s="20">
        <f>IF(L176="","",IF(OR($D$16="",$H$16="X",L176&lt;N($C$16)),0,IF(B176="G마켓",ROUNDDOWN(MIN(L176*$D$16,IF($E$16="",9E+99,$E$16)),0),ROUNDUP(MIN(L176*$D$16,IF($E$16="",9E+99,$E$16)),0))))</f>
        <v/>
      </c>
      <c r="N176" s="20">
        <f>IF(L176="","",IF(OR($D$17="",$H$17="X",L176&lt;N($C$17)),0,IF(B176="G마켓",ROUNDDOWN(MIN(L176*$D$17,IF($E$17="",9E+99,$E$17)),0),ROUNDUP(MIN(L176*$D$17,IF($E$17="",9E+99,$E$17)),0))))</f>
        <v/>
      </c>
      <c r="O176" s="20">
        <f>IF(L176="","",IF(OR($D$18="",$H$18="X",L176&lt;N($C$18)),0,IF(B176="G마켓",ROUNDDOWN(MIN(L176*$D$18,IF($E$18="",9E+99,$E$18)),0),ROUNDUP(MIN(L176*$D$18,IF($E$18="",9E+99,$E$18)),0))))</f>
        <v/>
      </c>
      <c r="P176" s="20">
        <f>IF(L176="","",IF(OR($D$19="",$H$19="X",L176&lt;N($C$19)),0,IF(B176="G마켓",ROUNDDOWN(MIN(L176*$D$19,IF($E$19="",9E+99,$E$19)),0),ROUNDUP(MIN(L176*$D$19,IF($E$19="",9E+99,$E$19)),0))))</f>
        <v/>
      </c>
      <c r="Q176" s="19">
        <f>IF(G176="","",L176-MAX(M176:P176))</f>
        <v/>
      </c>
      <c r="R176" s="20">
        <f>IF(Q176="","",IF(OR($D$23="",Q176&lt;N($C$23)),0,IF(B176="G마켓",ROUNDDOWN(MIN(Q176*$D$23,IF($E$23="",9E+99,$E$23)),0),ROUNDUP(MIN(Q176*$D$23,IF($E$23="",9E+99,$E$23)),0))))</f>
        <v/>
      </c>
      <c r="S176" s="20">
        <f>IF(Q176="","",IF(OR($D$24="",Q176&lt;N($C$24)),0,IF(B176="G마켓",ROUNDDOWN(MIN(Q176*$D$24,IF($E$24="",9E+99,$E$24)),0),ROUNDUP(MIN(Q176*$D$24,IF($E$24="",9E+99,$E$24)),0))))</f>
        <v/>
      </c>
      <c r="T176" s="20">
        <f>IF(Q176="","",IF(OR($D$25="",Q176&lt;N($C$25)),0,IF(B176="G마켓",ROUNDDOWN(MIN(Q176*$D$25,IF($E$25="",9E+99,$E$25)),0),ROUNDUP(MIN(Q176*$D$25,IF($E$25="",9E+99,$E$25)),0))))</f>
        <v/>
      </c>
      <c r="U176" s="19">
        <f>IF(G176="","",MAX(R176:T176))</f>
        <v/>
      </c>
      <c r="V176" s="21">
        <f>IF(G176="","",Q176-U176)</f>
        <v/>
      </c>
      <c r="W176" s="19">
        <f>IF(G176="","",IF(B176="G마켓",ROUNDDOWN(MAX(I176*N($G$10),J176*N($G$11),K176*N($G$12))+MAX(M176*N($G$16),N176*N($G$17),O176*N($G$18),P176*N($G$19))+MAX(R176*N($G$23),S176*N($G$24),T176*N($G$25)),0),ROUNDUP(MAX(I176*N($G$10),J176*N($G$11),K176*N($G$12))+MAX(M176*N($G$16),N176*N($G$17),O176*N($G$18),P176*N($G$19))+MAX(R176*N($G$23),S176*N($G$24),T176*N($G$25)),0)))</f>
        <v/>
      </c>
      <c r="X176" s="21">
        <f>IF(G176="","",IF(B176="G마켓",ROUNDDOWN(G176-G176*$Q$6-W176,0),ROUNDUP(G176-G176*$Q$6-W176,0)))</f>
        <v/>
      </c>
    </row>
    <row r="177">
      <c r="B177" s="7" t="n"/>
      <c r="C177" s="7" t="n"/>
      <c r="D177" s="22" t="n"/>
      <c r="E177" s="23" t="n"/>
      <c r="F177" s="23" t="n"/>
      <c r="G177" s="19">
        <f>IF(E177="","",E177-N(F177))</f>
        <v/>
      </c>
      <c r="I177" s="20">
        <f>IF(G177="","",IF(OR($D$10="",$H$10="X",G177&lt;N($C$10)),0,IF(B177="G마켓",ROUNDDOWN(MIN(G177*$D$10,IF($E$10="",9E+99,$E$10)),0),ROUNDUP(MIN(G177*$D$10,IF($E$10="",9E+99,$E$10)),0))))</f>
        <v/>
      </c>
      <c r="J177" s="20">
        <f>IF(G177="","",IF(OR($D$11="",$H$11="X",G177&lt;N($C$11)),0,IF(B177="G마켓",ROUNDDOWN(MIN(G177*$D$11,IF($E$11="",9E+99,$E$11)),0),ROUNDUP(MIN(G177*$D$11,IF($E$11="",9E+99,$E$11)),0))))</f>
        <v/>
      </c>
      <c r="K177" s="20">
        <f>IF(G177="","",IF(OR($D$12="",$H$12="X",G177&lt;N($C$12)),0,IF(B177="G마켓",ROUNDDOWN(MIN(G177*$D$12,IF($E$12="",9E+99,$E$12)),0),ROUNDUP(MIN(G177*$D$12,IF($E$12="",9E+99,$E$12)),0))))</f>
        <v/>
      </c>
      <c r="L177" s="19">
        <f>IF(G177="","",G177-MAX(I177:K177))</f>
        <v/>
      </c>
      <c r="M177" s="20">
        <f>IF(L177="","",IF(OR($D$16="",$H$16="X",L177&lt;N($C$16)),0,IF(B177="G마켓",ROUNDDOWN(MIN(L177*$D$16,IF($E$16="",9E+99,$E$16)),0),ROUNDUP(MIN(L177*$D$16,IF($E$16="",9E+99,$E$16)),0))))</f>
        <v/>
      </c>
      <c r="N177" s="20">
        <f>IF(L177="","",IF(OR($D$17="",$H$17="X",L177&lt;N($C$17)),0,IF(B177="G마켓",ROUNDDOWN(MIN(L177*$D$17,IF($E$17="",9E+99,$E$17)),0),ROUNDUP(MIN(L177*$D$17,IF($E$17="",9E+99,$E$17)),0))))</f>
        <v/>
      </c>
      <c r="O177" s="20">
        <f>IF(L177="","",IF(OR($D$18="",$H$18="X",L177&lt;N($C$18)),0,IF(B177="G마켓",ROUNDDOWN(MIN(L177*$D$18,IF($E$18="",9E+99,$E$18)),0),ROUNDUP(MIN(L177*$D$18,IF($E$18="",9E+99,$E$18)),0))))</f>
        <v/>
      </c>
      <c r="P177" s="20">
        <f>IF(L177="","",IF(OR($D$19="",$H$19="X",L177&lt;N($C$19)),0,IF(B177="G마켓",ROUNDDOWN(MIN(L177*$D$19,IF($E$19="",9E+99,$E$19)),0),ROUNDUP(MIN(L177*$D$19,IF($E$19="",9E+99,$E$19)),0))))</f>
        <v/>
      </c>
      <c r="Q177" s="19">
        <f>IF(G177="","",L177-MAX(M177:P177))</f>
        <v/>
      </c>
      <c r="R177" s="20">
        <f>IF(Q177="","",IF(OR($D$23="",Q177&lt;N($C$23)),0,IF(B177="G마켓",ROUNDDOWN(MIN(Q177*$D$23,IF($E$23="",9E+99,$E$23)),0),ROUNDUP(MIN(Q177*$D$23,IF($E$23="",9E+99,$E$23)),0))))</f>
        <v/>
      </c>
      <c r="S177" s="20">
        <f>IF(Q177="","",IF(OR($D$24="",Q177&lt;N($C$24)),0,IF(B177="G마켓",ROUNDDOWN(MIN(Q177*$D$24,IF($E$24="",9E+99,$E$24)),0),ROUNDUP(MIN(Q177*$D$24,IF($E$24="",9E+99,$E$24)),0))))</f>
        <v/>
      </c>
      <c r="T177" s="20">
        <f>IF(Q177="","",IF(OR($D$25="",Q177&lt;N($C$25)),0,IF(B177="G마켓",ROUNDDOWN(MIN(Q177*$D$25,IF($E$25="",9E+99,$E$25)),0),ROUNDUP(MIN(Q177*$D$25,IF($E$25="",9E+99,$E$25)),0))))</f>
        <v/>
      </c>
      <c r="U177" s="19">
        <f>IF(G177="","",MAX(R177:T177))</f>
        <v/>
      </c>
      <c r="V177" s="21">
        <f>IF(G177="","",Q177-U177)</f>
        <v/>
      </c>
      <c r="W177" s="19">
        <f>IF(G177="","",IF(B177="G마켓",ROUNDDOWN(MAX(I177*N($G$10),J177*N($G$11),K177*N($G$12))+MAX(M177*N($G$16),N177*N($G$17),O177*N($G$18),P177*N($G$19))+MAX(R177*N($G$23),S177*N($G$24),T177*N($G$25)),0),ROUNDUP(MAX(I177*N($G$10),J177*N($G$11),K177*N($G$12))+MAX(M177*N($G$16),N177*N($G$17),O177*N($G$18),P177*N($G$19))+MAX(R177*N($G$23),S177*N($G$24),T177*N($G$25)),0)))</f>
        <v/>
      </c>
      <c r="X177" s="21">
        <f>IF(G177="","",IF(B177="G마켓",ROUNDDOWN(G177-G177*$Q$6-W177,0),ROUNDUP(G177-G177*$Q$6-W177,0)))</f>
        <v/>
      </c>
    </row>
    <row r="178">
      <c r="B178" s="7" t="n"/>
      <c r="C178" s="7" t="n"/>
      <c r="D178" s="22" t="n"/>
      <c r="E178" s="23" t="n"/>
      <c r="F178" s="23" t="n"/>
      <c r="G178" s="19">
        <f>IF(E178="","",E178-N(F178))</f>
        <v/>
      </c>
      <c r="I178" s="20">
        <f>IF(G178="","",IF(OR($D$10="",$H$10="X",G178&lt;N($C$10)),0,IF(B178="G마켓",ROUNDDOWN(MIN(G178*$D$10,IF($E$10="",9E+99,$E$10)),0),ROUNDUP(MIN(G178*$D$10,IF($E$10="",9E+99,$E$10)),0))))</f>
        <v/>
      </c>
      <c r="J178" s="20">
        <f>IF(G178="","",IF(OR($D$11="",$H$11="X",G178&lt;N($C$11)),0,IF(B178="G마켓",ROUNDDOWN(MIN(G178*$D$11,IF($E$11="",9E+99,$E$11)),0),ROUNDUP(MIN(G178*$D$11,IF($E$11="",9E+99,$E$11)),0))))</f>
        <v/>
      </c>
      <c r="K178" s="20">
        <f>IF(G178="","",IF(OR($D$12="",$H$12="X",G178&lt;N($C$12)),0,IF(B178="G마켓",ROUNDDOWN(MIN(G178*$D$12,IF($E$12="",9E+99,$E$12)),0),ROUNDUP(MIN(G178*$D$12,IF($E$12="",9E+99,$E$12)),0))))</f>
        <v/>
      </c>
      <c r="L178" s="19">
        <f>IF(G178="","",G178-MAX(I178:K178))</f>
        <v/>
      </c>
      <c r="M178" s="20">
        <f>IF(L178="","",IF(OR($D$16="",$H$16="X",L178&lt;N($C$16)),0,IF(B178="G마켓",ROUNDDOWN(MIN(L178*$D$16,IF($E$16="",9E+99,$E$16)),0),ROUNDUP(MIN(L178*$D$16,IF($E$16="",9E+99,$E$16)),0))))</f>
        <v/>
      </c>
      <c r="N178" s="20">
        <f>IF(L178="","",IF(OR($D$17="",$H$17="X",L178&lt;N($C$17)),0,IF(B178="G마켓",ROUNDDOWN(MIN(L178*$D$17,IF($E$17="",9E+99,$E$17)),0),ROUNDUP(MIN(L178*$D$17,IF($E$17="",9E+99,$E$17)),0))))</f>
        <v/>
      </c>
      <c r="O178" s="20">
        <f>IF(L178="","",IF(OR($D$18="",$H$18="X",L178&lt;N($C$18)),0,IF(B178="G마켓",ROUNDDOWN(MIN(L178*$D$18,IF($E$18="",9E+99,$E$18)),0),ROUNDUP(MIN(L178*$D$18,IF($E$18="",9E+99,$E$18)),0))))</f>
        <v/>
      </c>
      <c r="P178" s="20">
        <f>IF(L178="","",IF(OR($D$19="",$H$19="X",L178&lt;N($C$19)),0,IF(B178="G마켓",ROUNDDOWN(MIN(L178*$D$19,IF($E$19="",9E+99,$E$19)),0),ROUNDUP(MIN(L178*$D$19,IF($E$19="",9E+99,$E$19)),0))))</f>
        <v/>
      </c>
      <c r="Q178" s="19">
        <f>IF(G178="","",L178-MAX(M178:P178))</f>
        <v/>
      </c>
      <c r="R178" s="20">
        <f>IF(Q178="","",IF(OR($D$23="",Q178&lt;N($C$23)),0,IF(B178="G마켓",ROUNDDOWN(MIN(Q178*$D$23,IF($E$23="",9E+99,$E$23)),0),ROUNDUP(MIN(Q178*$D$23,IF($E$23="",9E+99,$E$23)),0))))</f>
        <v/>
      </c>
      <c r="S178" s="20">
        <f>IF(Q178="","",IF(OR($D$24="",Q178&lt;N($C$24)),0,IF(B178="G마켓",ROUNDDOWN(MIN(Q178*$D$24,IF($E$24="",9E+99,$E$24)),0),ROUNDUP(MIN(Q178*$D$24,IF($E$24="",9E+99,$E$24)),0))))</f>
        <v/>
      </c>
      <c r="T178" s="20">
        <f>IF(Q178="","",IF(OR($D$25="",Q178&lt;N($C$25)),0,IF(B178="G마켓",ROUNDDOWN(MIN(Q178*$D$25,IF($E$25="",9E+99,$E$25)),0),ROUNDUP(MIN(Q178*$D$25,IF($E$25="",9E+99,$E$25)),0))))</f>
        <v/>
      </c>
      <c r="U178" s="19">
        <f>IF(G178="","",MAX(R178:T178))</f>
        <v/>
      </c>
      <c r="V178" s="21">
        <f>IF(G178="","",Q178-U178)</f>
        <v/>
      </c>
      <c r="W178" s="19">
        <f>IF(G178="","",IF(B178="G마켓",ROUNDDOWN(MAX(I178*N($G$10),J178*N($G$11),K178*N($G$12))+MAX(M178*N($G$16),N178*N($G$17),O178*N($G$18),P178*N($G$19))+MAX(R178*N($G$23),S178*N($G$24),T178*N($G$25)),0),ROUNDUP(MAX(I178*N($G$10),J178*N($G$11),K178*N($G$12))+MAX(M178*N($G$16),N178*N($G$17),O178*N($G$18),P178*N($G$19))+MAX(R178*N($G$23),S178*N($G$24),T178*N($G$25)),0)))</f>
        <v/>
      </c>
      <c r="X178" s="21">
        <f>IF(G178="","",IF(B178="G마켓",ROUNDDOWN(G178-G178*$Q$6-W178,0),ROUNDUP(G178-G178*$Q$6-W178,0)))</f>
        <v/>
      </c>
    </row>
    <row r="179">
      <c r="B179" s="7" t="n"/>
      <c r="C179" s="7" t="n"/>
      <c r="D179" s="22" t="n"/>
      <c r="E179" s="23" t="n"/>
      <c r="F179" s="23" t="n"/>
      <c r="G179" s="19">
        <f>IF(E179="","",E179-N(F179))</f>
        <v/>
      </c>
      <c r="I179" s="20">
        <f>IF(G179="","",IF(OR($D$10="",$H$10="X",G179&lt;N($C$10)),0,IF(B179="G마켓",ROUNDDOWN(MIN(G179*$D$10,IF($E$10="",9E+99,$E$10)),0),ROUNDUP(MIN(G179*$D$10,IF($E$10="",9E+99,$E$10)),0))))</f>
        <v/>
      </c>
      <c r="J179" s="20">
        <f>IF(G179="","",IF(OR($D$11="",$H$11="X",G179&lt;N($C$11)),0,IF(B179="G마켓",ROUNDDOWN(MIN(G179*$D$11,IF($E$11="",9E+99,$E$11)),0),ROUNDUP(MIN(G179*$D$11,IF($E$11="",9E+99,$E$11)),0))))</f>
        <v/>
      </c>
      <c r="K179" s="20">
        <f>IF(G179="","",IF(OR($D$12="",$H$12="X",G179&lt;N($C$12)),0,IF(B179="G마켓",ROUNDDOWN(MIN(G179*$D$12,IF($E$12="",9E+99,$E$12)),0),ROUNDUP(MIN(G179*$D$12,IF($E$12="",9E+99,$E$12)),0))))</f>
        <v/>
      </c>
      <c r="L179" s="19">
        <f>IF(G179="","",G179-MAX(I179:K179))</f>
        <v/>
      </c>
      <c r="M179" s="20">
        <f>IF(L179="","",IF(OR($D$16="",$H$16="X",L179&lt;N($C$16)),0,IF(B179="G마켓",ROUNDDOWN(MIN(L179*$D$16,IF($E$16="",9E+99,$E$16)),0),ROUNDUP(MIN(L179*$D$16,IF($E$16="",9E+99,$E$16)),0))))</f>
        <v/>
      </c>
      <c r="N179" s="20">
        <f>IF(L179="","",IF(OR($D$17="",$H$17="X",L179&lt;N($C$17)),0,IF(B179="G마켓",ROUNDDOWN(MIN(L179*$D$17,IF($E$17="",9E+99,$E$17)),0),ROUNDUP(MIN(L179*$D$17,IF($E$17="",9E+99,$E$17)),0))))</f>
        <v/>
      </c>
      <c r="O179" s="20">
        <f>IF(L179="","",IF(OR($D$18="",$H$18="X",L179&lt;N($C$18)),0,IF(B179="G마켓",ROUNDDOWN(MIN(L179*$D$18,IF($E$18="",9E+99,$E$18)),0),ROUNDUP(MIN(L179*$D$18,IF($E$18="",9E+99,$E$18)),0))))</f>
        <v/>
      </c>
      <c r="P179" s="20">
        <f>IF(L179="","",IF(OR($D$19="",$H$19="X",L179&lt;N($C$19)),0,IF(B179="G마켓",ROUNDDOWN(MIN(L179*$D$19,IF($E$19="",9E+99,$E$19)),0),ROUNDUP(MIN(L179*$D$19,IF($E$19="",9E+99,$E$19)),0))))</f>
        <v/>
      </c>
      <c r="Q179" s="19">
        <f>IF(G179="","",L179-MAX(M179:P179))</f>
        <v/>
      </c>
      <c r="R179" s="20">
        <f>IF(Q179="","",IF(OR($D$23="",Q179&lt;N($C$23)),0,IF(B179="G마켓",ROUNDDOWN(MIN(Q179*$D$23,IF($E$23="",9E+99,$E$23)),0),ROUNDUP(MIN(Q179*$D$23,IF($E$23="",9E+99,$E$23)),0))))</f>
        <v/>
      </c>
      <c r="S179" s="20">
        <f>IF(Q179="","",IF(OR($D$24="",Q179&lt;N($C$24)),0,IF(B179="G마켓",ROUNDDOWN(MIN(Q179*$D$24,IF($E$24="",9E+99,$E$24)),0),ROUNDUP(MIN(Q179*$D$24,IF($E$24="",9E+99,$E$24)),0))))</f>
        <v/>
      </c>
      <c r="T179" s="20">
        <f>IF(Q179="","",IF(OR($D$25="",Q179&lt;N($C$25)),0,IF(B179="G마켓",ROUNDDOWN(MIN(Q179*$D$25,IF($E$25="",9E+99,$E$25)),0),ROUNDUP(MIN(Q179*$D$25,IF($E$25="",9E+99,$E$25)),0))))</f>
        <v/>
      </c>
      <c r="U179" s="19">
        <f>IF(G179="","",MAX(R179:T179))</f>
        <v/>
      </c>
      <c r="V179" s="21">
        <f>IF(G179="","",Q179-U179)</f>
        <v/>
      </c>
      <c r="W179" s="19">
        <f>IF(G179="","",IF(B179="G마켓",ROUNDDOWN(MAX(I179*N($G$10),J179*N($G$11),K179*N($G$12))+MAX(M179*N($G$16),N179*N($G$17),O179*N($G$18),P179*N($G$19))+MAX(R179*N($G$23),S179*N($G$24),T179*N($G$25)),0),ROUNDUP(MAX(I179*N($G$10),J179*N($G$11),K179*N($G$12))+MAX(M179*N($G$16),N179*N($G$17),O179*N($G$18),P179*N($G$19))+MAX(R179*N($G$23),S179*N($G$24),T179*N($G$25)),0)))</f>
        <v/>
      </c>
      <c r="X179" s="21">
        <f>IF(G179="","",IF(B179="G마켓",ROUNDDOWN(G179-G179*$Q$6-W179,0),ROUNDUP(G179-G179*$Q$6-W179,0)))</f>
        <v/>
      </c>
    </row>
    <row r="180">
      <c r="B180" s="7" t="n"/>
      <c r="C180" s="7" t="n"/>
      <c r="D180" s="22" t="n"/>
      <c r="E180" s="23" t="n"/>
      <c r="F180" s="23" t="n"/>
      <c r="G180" s="19">
        <f>IF(E180="","",E180-N(F180))</f>
        <v/>
      </c>
      <c r="I180" s="20">
        <f>IF(G180="","",IF(OR($D$10="",$H$10="X",G180&lt;N($C$10)),0,IF(B180="G마켓",ROUNDDOWN(MIN(G180*$D$10,IF($E$10="",9E+99,$E$10)),0),ROUNDUP(MIN(G180*$D$10,IF($E$10="",9E+99,$E$10)),0))))</f>
        <v/>
      </c>
      <c r="J180" s="20">
        <f>IF(G180="","",IF(OR($D$11="",$H$11="X",G180&lt;N($C$11)),0,IF(B180="G마켓",ROUNDDOWN(MIN(G180*$D$11,IF($E$11="",9E+99,$E$11)),0),ROUNDUP(MIN(G180*$D$11,IF($E$11="",9E+99,$E$11)),0))))</f>
        <v/>
      </c>
      <c r="K180" s="20">
        <f>IF(G180="","",IF(OR($D$12="",$H$12="X",G180&lt;N($C$12)),0,IF(B180="G마켓",ROUNDDOWN(MIN(G180*$D$12,IF($E$12="",9E+99,$E$12)),0),ROUNDUP(MIN(G180*$D$12,IF($E$12="",9E+99,$E$12)),0))))</f>
        <v/>
      </c>
      <c r="L180" s="19">
        <f>IF(G180="","",G180-MAX(I180:K180))</f>
        <v/>
      </c>
      <c r="M180" s="20">
        <f>IF(L180="","",IF(OR($D$16="",$H$16="X",L180&lt;N($C$16)),0,IF(B180="G마켓",ROUNDDOWN(MIN(L180*$D$16,IF($E$16="",9E+99,$E$16)),0),ROUNDUP(MIN(L180*$D$16,IF($E$16="",9E+99,$E$16)),0))))</f>
        <v/>
      </c>
      <c r="N180" s="20">
        <f>IF(L180="","",IF(OR($D$17="",$H$17="X",L180&lt;N($C$17)),0,IF(B180="G마켓",ROUNDDOWN(MIN(L180*$D$17,IF($E$17="",9E+99,$E$17)),0),ROUNDUP(MIN(L180*$D$17,IF($E$17="",9E+99,$E$17)),0))))</f>
        <v/>
      </c>
      <c r="O180" s="20">
        <f>IF(L180="","",IF(OR($D$18="",$H$18="X",L180&lt;N($C$18)),0,IF(B180="G마켓",ROUNDDOWN(MIN(L180*$D$18,IF($E$18="",9E+99,$E$18)),0),ROUNDUP(MIN(L180*$D$18,IF($E$18="",9E+99,$E$18)),0))))</f>
        <v/>
      </c>
      <c r="P180" s="20">
        <f>IF(L180="","",IF(OR($D$19="",$H$19="X",L180&lt;N($C$19)),0,IF(B180="G마켓",ROUNDDOWN(MIN(L180*$D$19,IF($E$19="",9E+99,$E$19)),0),ROUNDUP(MIN(L180*$D$19,IF($E$19="",9E+99,$E$19)),0))))</f>
        <v/>
      </c>
      <c r="Q180" s="19">
        <f>IF(G180="","",L180-MAX(M180:P180))</f>
        <v/>
      </c>
      <c r="R180" s="20">
        <f>IF(Q180="","",IF(OR($D$23="",Q180&lt;N($C$23)),0,IF(B180="G마켓",ROUNDDOWN(MIN(Q180*$D$23,IF($E$23="",9E+99,$E$23)),0),ROUNDUP(MIN(Q180*$D$23,IF($E$23="",9E+99,$E$23)),0))))</f>
        <v/>
      </c>
      <c r="S180" s="20">
        <f>IF(Q180="","",IF(OR($D$24="",Q180&lt;N($C$24)),0,IF(B180="G마켓",ROUNDDOWN(MIN(Q180*$D$24,IF($E$24="",9E+99,$E$24)),0),ROUNDUP(MIN(Q180*$D$24,IF($E$24="",9E+99,$E$24)),0))))</f>
        <v/>
      </c>
      <c r="T180" s="20">
        <f>IF(Q180="","",IF(OR($D$25="",Q180&lt;N($C$25)),0,IF(B180="G마켓",ROUNDDOWN(MIN(Q180*$D$25,IF($E$25="",9E+99,$E$25)),0),ROUNDUP(MIN(Q180*$D$25,IF($E$25="",9E+99,$E$25)),0))))</f>
        <v/>
      </c>
      <c r="U180" s="19">
        <f>IF(G180="","",MAX(R180:T180))</f>
        <v/>
      </c>
      <c r="V180" s="21">
        <f>IF(G180="","",Q180-U180)</f>
        <v/>
      </c>
      <c r="W180" s="19">
        <f>IF(G180="","",IF(B180="G마켓",ROUNDDOWN(MAX(I180*N($G$10),J180*N($G$11),K180*N($G$12))+MAX(M180*N($G$16),N180*N($G$17),O180*N($G$18),P180*N($G$19))+MAX(R180*N($G$23),S180*N($G$24),T180*N($G$25)),0),ROUNDUP(MAX(I180*N($G$10),J180*N($G$11),K180*N($G$12))+MAX(M180*N($G$16),N180*N($G$17),O180*N($G$18),P180*N($G$19))+MAX(R180*N($G$23),S180*N($G$24),T180*N($G$25)),0)))</f>
        <v/>
      </c>
      <c r="X180" s="21">
        <f>IF(G180="","",IF(B180="G마켓",ROUNDDOWN(G180-G180*$Q$6-W180,0),ROUNDUP(G180-G180*$Q$6-W180,0)))</f>
        <v/>
      </c>
    </row>
    <row r="181">
      <c r="B181" s="7" t="n"/>
      <c r="C181" s="7" t="n"/>
      <c r="D181" s="22" t="n"/>
      <c r="E181" s="23" t="n"/>
      <c r="F181" s="23" t="n"/>
      <c r="G181" s="19">
        <f>IF(E181="","",E181-N(F181))</f>
        <v/>
      </c>
      <c r="I181" s="20">
        <f>IF(G181="","",IF(OR($D$10="",$H$10="X",G181&lt;N($C$10)),0,IF(B181="G마켓",ROUNDDOWN(MIN(G181*$D$10,IF($E$10="",9E+99,$E$10)),0),ROUNDUP(MIN(G181*$D$10,IF($E$10="",9E+99,$E$10)),0))))</f>
        <v/>
      </c>
      <c r="J181" s="20">
        <f>IF(G181="","",IF(OR($D$11="",$H$11="X",G181&lt;N($C$11)),0,IF(B181="G마켓",ROUNDDOWN(MIN(G181*$D$11,IF($E$11="",9E+99,$E$11)),0),ROUNDUP(MIN(G181*$D$11,IF($E$11="",9E+99,$E$11)),0))))</f>
        <v/>
      </c>
      <c r="K181" s="20">
        <f>IF(G181="","",IF(OR($D$12="",$H$12="X",G181&lt;N($C$12)),0,IF(B181="G마켓",ROUNDDOWN(MIN(G181*$D$12,IF($E$12="",9E+99,$E$12)),0),ROUNDUP(MIN(G181*$D$12,IF($E$12="",9E+99,$E$12)),0))))</f>
        <v/>
      </c>
      <c r="L181" s="19">
        <f>IF(G181="","",G181-MAX(I181:K181))</f>
        <v/>
      </c>
      <c r="M181" s="20">
        <f>IF(L181="","",IF(OR($D$16="",$H$16="X",L181&lt;N($C$16)),0,IF(B181="G마켓",ROUNDDOWN(MIN(L181*$D$16,IF($E$16="",9E+99,$E$16)),0),ROUNDUP(MIN(L181*$D$16,IF($E$16="",9E+99,$E$16)),0))))</f>
        <v/>
      </c>
      <c r="N181" s="20">
        <f>IF(L181="","",IF(OR($D$17="",$H$17="X",L181&lt;N($C$17)),0,IF(B181="G마켓",ROUNDDOWN(MIN(L181*$D$17,IF($E$17="",9E+99,$E$17)),0),ROUNDUP(MIN(L181*$D$17,IF($E$17="",9E+99,$E$17)),0))))</f>
        <v/>
      </c>
      <c r="O181" s="20">
        <f>IF(L181="","",IF(OR($D$18="",$H$18="X",L181&lt;N($C$18)),0,IF(B181="G마켓",ROUNDDOWN(MIN(L181*$D$18,IF($E$18="",9E+99,$E$18)),0),ROUNDUP(MIN(L181*$D$18,IF($E$18="",9E+99,$E$18)),0))))</f>
        <v/>
      </c>
      <c r="P181" s="20">
        <f>IF(L181="","",IF(OR($D$19="",$H$19="X",L181&lt;N($C$19)),0,IF(B181="G마켓",ROUNDDOWN(MIN(L181*$D$19,IF($E$19="",9E+99,$E$19)),0),ROUNDUP(MIN(L181*$D$19,IF($E$19="",9E+99,$E$19)),0))))</f>
        <v/>
      </c>
      <c r="Q181" s="19">
        <f>IF(G181="","",L181-MAX(M181:P181))</f>
        <v/>
      </c>
      <c r="R181" s="20">
        <f>IF(Q181="","",IF(OR($D$23="",Q181&lt;N($C$23)),0,IF(B181="G마켓",ROUNDDOWN(MIN(Q181*$D$23,IF($E$23="",9E+99,$E$23)),0),ROUNDUP(MIN(Q181*$D$23,IF($E$23="",9E+99,$E$23)),0))))</f>
        <v/>
      </c>
      <c r="S181" s="20">
        <f>IF(Q181="","",IF(OR($D$24="",Q181&lt;N($C$24)),0,IF(B181="G마켓",ROUNDDOWN(MIN(Q181*$D$24,IF($E$24="",9E+99,$E$24)),0),ROUNDUP(MIN(Q181*$D$24,IF($E$24="",9E+99,$E$24)),0))))</f>
        <v/>
      </c>
      <c r="T181" s="20">
        <f>IF(Q181="","",IF(OR($D$25="",Q181&lt;N($C$25)),0,IF(B181="G마켓",ROUNDDOWN(MIN(Q181*$D$25,IF($E$25="",9E+99,$E$25)),0),ROUNDUP(MIN(Q181*$D$25,IF($E$25="",9E+99,$E$25)),0))))</f>
        <v/>
      </c>
      <c r="U181" s="19">
        <f>IF(G181="","",MAX(R181:T181))</f>
        <v/>
      </c>
      <c r="V181" s="21">
        <f>IF(G181="","",Q181-U181)</f>
        <v/>
      </c>
      <c r="W181" s="19">
        <f>IF(G181="","",IF(B181="G마켓",ROUNDDOWN(MAX(I181*N($G$10),J181*N($G$11),K181*N($G$12))+MAX(M181*N($G$16),N181*N($G$17),O181*N($G$18),P181*N($G$19))+MAX(R181*N($G$23),S181*N($G$24),T181*N($G$25)),0),ROUNDUP(MAX(I181*N($G$10),J181*N($G$11),K181*N($G$12))+MAX(M181*N($G$16),N181*N($G$17),O181*N($G$18),P181*N($G$19))+MAX(R181*N($G$23),S181*N($G$24),T181*N($G$25)),0)))</f>
        <v/>
      </c>
      <c r="X181" s="21">
        <f>IF(G181="","",IF(B181="G마켓",ROUNDDOWN(G181-G181*$Q$6-W181,0),ROUNDUP(G181-G181*$Q$6-W181,0)))</f>
        <v/>
      </c>
    </row>
    <row r="182">
      <c r="B182" s="7" t="n"/>
      <c r="C182" s="7" t="n"/>
      <c r="D182" s="22" t="n"/>
      <c r="E182" s="23" t="n"/>
      <c r="F182" s="23" t="n"/>
      <c r="G182" s="19">
        <f>IF(E182="","",E182-N(F182))</f>
        <v/>
      </c>
      <c r="I182" s="20">
        <f>IF(G182="","",IF(OR($D$10="",$H$10="X",G182&lt;N($C$10)),0,IF(B182="G마켓",ROUNDDOWN(MIN(G182*$D$10,IF($E$10="",9E+99,$E$10)),0),ROUNDUP(MIN(G182*$D$10,IF($E$10="",9E+99,$E$10)),0))))</f>
        <v/>
      </c>
      <c r="J182" s="20">
        <f>IF(G182="","",IF(OR($D$11="",$H$11="X",G182&lt;N($C$11)),0,IF(B182="G마켓",ROUNDDOWN(MIN(G182*$D$11,IF($E$11="",9E+99,$E$11)),0),ROUNDUP(MIN(G182*$D$11,IF($E$11="",9E+99,$E$11)),0))))</f>
        <v/>
      </c>
      <c r="K182" s="20">
        <f>IF(G182="","",IF(OR($D$12="",$H$12="X",G182&lt;N($C$12)),0,IF(B182="G마켓",ROUNDDOWN(MIN(G182*$D$12,IF($E$12="",9E+99,$E$12)),0),ROUNDUP(MIN(G182*$D$12,IF($E$12="",9E+99,$E$12)),0))))</f>
        <v/>
      </c>
      <c r="L182" s="19">
        <f>IF(G182="","",G182-MAX(I182:K182))</f>
        <v/>
      </c>
      <c r="M182" s="20">
        <f>IF(L182="","",IF(OR($D$16="",$H$16="X",L182&lt;N($C$16)),0,IF(B182="G마켓",ROUNDDOWN(MIN(L182*$D$16,IF($E$16="",9E+99,$E$16)),0),ROUNDUP(MIN(L182*$D$16,IF($E$16="",9E+99,$E$16)),0))))</f>
        <v/>
      </c>
      <c r="N182" s="20">
        <f>IF(L182="","",IF(OR($D$17="",$H$17="X",L182&lt;N($C$17)),0,IF(B182="G마켓",ROUNDDOWN(MIN(L182*$D$17,IF($E$17="",9E+99,$E$17)),0),ROUNDUP(MIN(L182*$D$17,IF($E$17="",9E+99,$E$17)),0))))</f>
        <v/>
      </c>
      <c r="O182" s="20">
        <f>IF(L182="","",IF(OR($D$18="",$H$18="X",L182&lt;N($C$18)),0,IF(B182="G마켓",ROUNDDOWN(MIN(L182*$D$18,IF($E$18="",9E+99,$E$18)),0),ROUNDUP(MIN(L182*$D$18,IF($E$18="",9E+99,$E$18)),0))))</f>
        <v/>
      </c>
      <c r="P182" s="20">
        <f>IF(L182="","",IF(OR($D$19="",$H$19="X",L182&lt;N($C$19)),0,IF(B182="G마켓",ROUNDDOWN(MIN(L182*$D$19,IF($E$19="",9E+99,$E$19)),0),ROUNDUP(MIN(L182*$D$19,IF($E$19="",9E+99,$E$19)),0))))</f>
        <v/>
      </c>
      <c r="Q182" s="19">
        <f>IF(G182="","",L182-MAX(M182:P182))</f>
        <v/>
      </c>
      <c r="R182" s="20">
        <f>IF(Q182="","",IF(OR($D$23="",Q182&lt;N($C$23)),0,IF(B182="G마켓",ROUNDDOWN(MIN(Q182*$D$23,IF($E$23="",9E+99,$E$23)),0),ROUNDUP(MIN(Q182*$D$23,IF($E$23="",9E+99,$E$23)),0))))</f>
        <v/>
      </c>
      <c r="S182" s="20">
        <f>IF(Q182="","",IF(OR($D$24="",Q182&lt;N($C$24)),0,IF(B182="G마켓",ROUNDDOWN(MIN(Q182*$D$24,IF($E$24="",9E+99,$E$24)),0),ROUNDUP(MIN(Q182*$D$24,IF($E$24="",9E+99,$E$24)),0))))</f>
        <v/>
      </c>
      <c r="T182" s="20">
        <f>IF(Q182="","",IF(OR($D$25="",Q182&lt;N($C$25)),0,IF(B182="G마켓",ROUNDDOWN(MIN(Q182*$D$25,IF($E$25="",9E+99,$E$25)),0),ROUNDUP(MIN(Q182*$D$25,IF($E$25="",9E+99,$E$25)),0))))</f>
        <v/>
      </c>
      <c r="U182" s="19">
        <f>IF(G182="","",MAX(R182:T182))</f>
        <v/>
      </c>
      <c r="V182" s="21">
        <f>IF(G182="","",Q182-U182)</f>
        <v/>
      </c>
      <c r="W182" s="19">
        <f>IF(G182="","",IF(B182="G마켓",ROUNDDOWN(MAX(I182*N($G$10),J182*N($G$11),K182*N($G$12))+MAX(M182*N($G$16),N182*N($G$17),O182*N($G$18),P182*N($G$19))+MAX(R182*N($G$23),S182*N($G$24),T182*N($G$25)),0),ROUNDUP(MAX(I182*N($G$10),J182*N($G$11),K182*N($G$12))+MAX(M182*N($G$16),N182*N($G$17),O182*N($G$18),P182*N($G$19))+MAX(R182*N($G$23),S182*N($G$24),T182*N($G$25)),0)))</f>
        <v/>
      </c>
      <c r="X182" s="21">
        <f>IF(G182="","",IF(B182="G마켓",ROUNDDOWN(G182-G182*$Q$6-W182,0),ROUNDUP(G182-G182*$Q$6-W182,0)))</f>
        <v/>
      </c>
    </row>
    <row r="183">
      <c r="B183" s="7" t="n"/>
      <c r="C183" s="7" t="n"/>
      <c r="D183" s="22" t="n"/>
      <c r="E183" s="23" t="n"/>
      <c r="F183" s="23" t="n"/>
      <c r="G183" s="19">
        <f>IF(E183="","",E183-N(F183))</f>
        <v/>
      </c>
      <c r="I183" s="20">
        <f>IF(G183="","",IF(OR($D$10="",$H$10="X",G183&lt;N($C$10)),0,IF(B183="G마켓",ROUNDDOWN(MIN(G183*$D$10,IF($E$10="",9E+99,$E$10)),0),ROUNDUP(MIN(G183*$D$10,IF($E$10="",9E+99,$E$10)),0))))</f>
        <v/>
      </c>
      <c r="J183" s="20">
        <f>IF(G183="","",IF(OR($D$11="",$H$11="X",G183&lt;N($C$11)),0,IF(B183="G마켓",ROUNDDOWN(MIN(G183*$D$11,IF($E$11="",9E+99,$E$11)),0),ROUNDUP(MIN(G183*$D$11,IF($E$11="",9E+99,$E$11)),0))))</f>
        <v/>
      </c>
      <c r="K183" s="20">
        <f>IF(G183="","",IF(OR($D$12="",$H$12="X",G183&lt;N($C$12)),0,IF(B183="G마켓",ROUNDDOWN(MIN(G183*$D$12,IF($E$12="",9E+99,$E$12)),0),ROUNDUP(MIN(G183*$D$12,IF($E$12="",9E+99,$E$12)),0))))</f>
        <v/>
      </c>
      <c r="L183" s="19">
        <f>IF(G183="","",G183-MAX(I183:K183))</f>
        <v/>
      </c>
      <c r="M183" s="20">
        <f>IF(L183="","",IF(OR($D$16="",$H$16="X",L183&lt;N($C$16)),0,IF(B183="G마켓",ROUNDDOWN(MIN(L183*$D$16,IF($E$16="",9E+99,$E$16)),0),ROUNDUP(MIN(L183*$D$16,IF($E$16="",9E+99,$E$16)),0))))</f>
        <v/>
      </c>
      <c r="N183" s="20">
        <f>IF(L183="","",IF(OR($D$17="",$H$17="X",L183&lt;N($C$17)),0,IF(B183="G마켓",ROUNDDOWN(MIN(L183*$D$17,IF($E$17="",9E+99,$E$17)),0),ROUNDUP(MIN(L183*$D$17,IF($E$17="",9E+99,$E$17)),0))))</f>
        <v/>
      </c>
      <c r="O183" s="20">
        <f>IF(L183="","",IF(OR($D$18="",$H$18="X",L183&lt;N($C$18)),0,IF(B183="G마켓",ROUNDDOWN(MIN(L183*$D$18,IF($E$18="",9E+99,$E$18)),0),ROUNDUP(MIN(L183*$D$18,IF($E$18="",9E+99,$E$18)),0))))</f>
        <v/>
      </c>
      <c r="P183" s="20">
        <f>IF(L183="","",IF(OR($D$19="",$H$19="X",L183&lt;N($C$19)),0,IF(B183="G마켓",ROUNDDOWN(MIN(L183*$D$19,IF($E$19="",9E+99,$E$19)),0),ROUNDUP(MIN(L183*$D$19,IF($E$19="",9E+99,$E$19)),0))))</f>
        <v/>
      </c>
      <c r="Q183" s="19">
        <f>IF(G183="","",L183-MAX(M183:P183))</f>
        <v/>
      </c>
      <c r="R183" s="20">
        <f>IF(Q183="","",IF(OR($D$23="",Q183&lt;N($C$23)),0,IF(B183="G마켓",ROUNDDOWN(MIN(Q183*$D$23,IF($E$23="",9E+99,$E$23)),0),ROUNDUP(MIN(Q183*$D$23,IF($E$23="",9E+99,$E$23)),0))))</f>
        <v/>
      </c>
      <c r="S183" s="20">
        <f>IF(Q183="","",IF(OR($D$24="",Q183&lt;N($C$24)),0,IF(B183="G마켓",ROUNDDOWN(MIN(Q183*$D$24,IF($E$24="",9E+99,$E$24)),0),ROUNDUP(MIN(Q183*$D$24,IF($E$24="",9E+99,$E$24)),0))))</f>
        <v/>
      </c>
      <c r="T183" s="20">
        <f>IF(Q183="","",IF(OR($D$25="",Q183&lt;N($C$25)),0,IF(B183="G마켓",ROUNDDOWN(MIN(Q183*$D$25,IF($E$25="",9E+99,$E$25)),0),ROUNDUP(MIN(Q183*$D$25,IF($E$25="",9E+99,$E$25)),0))))</f>
        <v/>
      </c>
      <c r="U183" s="19">
        <f>IF(G183="","",MAX(R183:T183))</f>
        <v/>
      </c>
      <c r="V183" s="21">
        <f>IF(G183="","",Q183-U183)</f>
        <v/>
      </c>
      <c r="W183" s="19">
        <f>IF(G183="","",IF(B183="G마켓",ROUNDDOWN(MAX(I183*N($G$10),J183*N($G$11),K183*N($G$12))+MAX(M183*N($G$16),N183*N($G$17),O183*N($G$18),P183*N($G$19))+MAX(R183*N($G$23),S183*N($G$24),T183*N($G$25)),0),ROUNDUP(MAX(I183*N($G$10),J183*N($G$11),K183*N($G$12))+MAX(M183*N($G$16),N183*N($G$17),O183*N($G$18),P183*N($G$19))+MAX(R183*N($G$23),S183*N($G$24),T183*N($G$25)),0)))</f>
        <v/>
      </c>
      <c r="X183" s="21">
        <f>IF(G183="","",IF(B183="G마켓",ROUNDDOWN(G183-G183*$Q$6-W183,0),ROUNDUP(G183-G183*$Q$6-W183,0)))</f>
        <v/>
      </c>
    </row>
    <row r="184">
      <c r="B184" s="7" t="n"/>
      <c r="C184" s="7" t="n"/>
      <c r="D184" s="22" t="n"/>
      <c r="E184" s="23" t="n"/>
      <c r="F184" s="23" t="n"/>
      <c r="G184" s="19">
        <f>IF(E184="","",E184-N(F184))</f>
        <v/>
      </c>
      <c r="I184" s="20">
        <f>IF(G184="","",IF(OR($D$10="",$H$10="X",G184&lt;N($C$10)),0,IF(B184="G마켓",ROUNDDOWN(MIN(G184*$D$10,IF($E$10="",9E+99,$E$10)),0),ROUNDUP(MIN(G184*$D$10,IF($E$10="",9E+99,$E$10)),0))))</f>
        <v/>
      </c>
      <c r="J184" s="20">
        <f>IF(G184="","",IF(OR($D$11="",$H$11="X",G184&lt;N($C$11)),0,IF(B184="G마켓",ROUNDDOWN(MIN(G184*$D$11,IF($E$11="",9E+99,$E$11)),0),ROUNDUP(MIN(G184*$D$11,IF($E$11="",9E+99,$E$11)),0))))</f>
        <v/>
      </c>
      <c r="K184" s="20">
        <f>IF(G184="","",IF(OR($D$12="",$H$12="X",G184&lt;N($C$12)),0,IF(B184="G마켓",ROUNDDOWN(MIN(G184*$D$12,IF($E$12="",9E+99,$E$12)),0),ROUNDUP(MIN(G184*$D$12,IF($E$12="",9E+99,$E$12)),0))))</f>
        <v/>
      </c>
      <c r="L184" s="19">
        <f>IF(G184="","",G184-MAX(I184:K184))</f>
        <v/>
      </c>
      <c r="M184" s="20">
        <f>IF(L184="","",IF(OR($D$16="",$H$16="X",L184&lt;N($C$16)),0,IF(B184="G마켓",ROUNDDOWN(MIN(L184*$D$16,IF($E$16="",9E+99,$E$16)),0),ROUNDUP(MIN(L184*$D$16,IF($E$16="",9E+99,$E$16)),0))))</f>
        <v/>
      </c>
      <c r="N184" s="20">
        <f>IF(L184="","",IF(OR($D$17="",$H$17="X",L184&lt;N($C$17)),0,IF(B184="G마켓",ROUNDDOWN(MIN(L184*$D$17,IF($E$17="",9E+99,$E$17)),0),ROUNDUP(MIN(L184*$D$17,IF($E$17="",9E+99,$E$17)),0))))</f>
        <v/>
      </c>
      <c r="O184" s="20">
        <f>IF(L184="","",IF(OR($D$18="",$H$18="X",L184&lt;N($C$18)),0,IF(B184="G마켓",ROUNDDOWN(MIN(L184*$D$18,IF($E$18="",9E+99,$E$18)),0),ROUNDUP(MIN(L184*$D$18,IF($E$18="",9E+99,$E$18)),0))))</f>
        <v/>
      </c>
      <c r="P184" s="20">
        <f>IF(L184="","",IF(OR($D$19="",$H$19="X",L184&lt;N($C$19)),0,IF(B184="G마켓",ROUNDDOWN(MIN(L184*$D$19,IF($E$19="",9E+99,$E$19)),0),ROUNDUP(MIN(L184*$D$19,IF($E$19="",9E+99,$E$19)),0))))</f>
        <v/>
      </c>
      <c r="Q184" s="19">
        <f>IF(G184="","",L184-MAX(M184:P184))</f>
        <v/>
      </c>
      <c r="R184" s="20">
        <f>IF(Q184="","",IF(OR($D$23="",Q184&lt;N($C$23)),0,IF(B184="G마켓",ROUNDDOWN(MIN(Q184*$D$23,IF($E$23="",9E+99,$E$23)),0),ROUNDUP(MIN(Q184*$D$23,IF($E$23="",9E+99,$E$23)),0))))</f>
        <v/>
      </c>
      <c r="S184" s="20">
        <f>IF(Q184="","",IF(OR($D$24="",Q184&lt;N($C$24)),0,IF(B184="G마켓",ROUNDDOWN(MIN(Q184*$D$24,IF($E$24="",9E+99,$E$24)),0),ROUNDUP(MIN(Q184*$D$24,IF($E$24="",9E+99,$E$24)),0))))</f>
        <v/>
      </c>
      <c r="T184" s="20">
        <f>IF(Q184="","",IF(OR($D$25="",Q184&lt;N($C$25)),0,IF(B184="G마켓",ROUNDDOWN(MIN(Q184*$D$25,IF($E$25="",9E+99,$E$25)),0),ROUNDUP(MIN(Q184*$D$25,IF($E$25="",9E+99,$E$25)),0))))</f>
        <v/>
      </c>
      <c r="U184" s="19">
        <f>IF(G184="","",MAX(R184:T184))</f>
        <v/>
      </c>
      <c r="V184" s="21">
        <f>IF(G184="","",Q184-U184)</f>
        <v/>
      </c>
      <c r="W184" s="19">
        <f>IF(G184="","",IF(B184="G마켓",ROUNDDOWN(MAX(I184*N($G$10),J184*N($G$11),K184*N($G$12))+MAX(M184*N($G$16),N184*N($G$17),O184*N($G$18),P184*N($G$19))+MAX(R184*N($G$23),S184*N($G$24),T184*N($G$25)),0),ROUNDUP(MAX(I184*N($G$10),J184*N($G$11),K184*N($G$12))+MAX(M184*N($G$16),N184*N($G$17),O184*N($G$18),P184*N($G$19))+MAX(R184*N($G$23),S184*N($G$24),T184*N($G$25)),0)))</f>
        <v/>
      </c>
      <c r="X184" s="21">
        <f>IF(G184="","",IF(B184="G마켓",ROUNDDOWN(G184-G184*$Q$6-W184,0),ROUNDUP(G184-G184*$Q$6-W184,0)))</f>
        <v/>
      </c>
    </row>
    <row r="185">
      <c r="B185" s="7" t="n"/>
      <c r="C185" s="7" t="n"/>
      <c r="D185" s="22" t="n"/>
      <c r="E185" s="23" t="n"/>
      <c r="F185" s="23" t="n"/>
      <c r="G185" s="19">
        <f>IF(E185="","",E185-N(F185))</f>
        <v/>
      </c>
      <c r="I185" s="20">
        <f>IF(G185="","",IF(OR($D$10="",$H$10="X",G185&lt;N($C$10)),0,IF(B185="G마켓",ROUNDDOWN(MIN(G185*$D$10,IF($E$10="",9E+99,$E$10)),0),ROUNDUP(MIN(G185*$D$10,IF($E$10="",9E+99,$E$10)),0))))</f>
        <v/>
      </c>
      <c r="J185" s="20">
        <f>IF(G185="","",IF(OR($D$11="",$H$11="X",G185&lt;N($C$11)),0,IF(B185="G마켓",ROUNDDOWN(MIN(G185*$D$11,IF($E$11="",9E+99,$E$11)),0),ROUNDUP(MIN(G185*$D$11,IF($E$11="",9E+99,$E$11)),0))))</f>
        <v/>
      </c>
      <c r="K185" s="20">
        <f>IF(G185="","",IF(OR($D$12="",$H$12="X",G185&lt;N($C$12)),0,IF(B185="G마켓",ROUNDDOWN(MIN(G185*$D$12,IF($E$12="",9E+99,$E$12)),0),ROUNDUP(MIN(G185*$D$12,IF($E$12="",9E+99,$E$12)),0))))</f>
        <v/>
      </c>
      <c r="L185" s="19">
        <f>IF(G185="","",G185-MAX(I185:K185))</f>
        <v/>
      </c>
      <c r="M185" s="20">
        <f>IF(L185="","",IF(OR($D$16="",$H$16="X",L185&lt;N($C$16)),0,IF(B185="G마켓",ROUNDDOWN(MIN(L185*$D$16,IF($E$16="",9E+99,$E$16)),0),ROUNDUP(MIN(L185*$D$16,IF($E$16="",9E+99,$E$16)),0))))</f>
        <v/>
      </c>
      <c r="N185" s="20">
        <f>IF(L185="","",IF(OR($D$17="",$H$17="X",L185&lt;N($C$17)),0,IF(B185="G마켓",ROUNDDOWN(MIN(L185*$D$17,IF($E$17="",9E+99,$E$17)),0),ROUNDUP(MIN(L185*$D$17,IF($E$17="",9E+99,$E$17)),0))))</f>
        <v/>
      </c>
      <c r="O185" s="20">
        <f>IF(L185="","",IF(OR($D$18="",$H$18="X",L185&lt;N($C$18)),0,IF(B185="G마켓",ROUNDDOWN(MIN(L185*$D$18,IF($E$18="",9E+99,$E$18)),0),ROUNDUP(MIN(L185*$D$18,IF($E$18="",9E+99,$E$18)),0))))</f>
        <v/>
      </c>
      <c r="P185" s="20">
        <f>IF(L185="","",IF(OR($D$19="",$H$19="X",L185&lt;N($C$19)),0,IF(B185="G마켓",ROUNDDOWN(MIN(L185*$D$19,IF($E$19="",9E+99,$E$19)),0),ROUNDUP(MIN(L185*$D$19,IF($E$19="",9E+99,$E$19)),0))))</f>
        <v/>
      </c>
      <c r="Q185" s="19">
        <f>IF(G185="","",L185-MAX(M185:P185))</f>
        <v/>
      </c>
      <c r="R185" s="20">
        <f>IF(Q185="","",IF(OR($D$23="",Q185&lt;N($C$23)),0,IF(B185="G마켓",ROUNDDOWN(MIN(Q185*$D$23,IF($E$23="",9E+99,$E$23)),0),ROUNDUP(MIN(Q185*$D$23,IF($E$23="",9E+99,$E$23)),0))))</f>
        <v/>
      </c>
      <c r="S185" s="20">
        <f>IF(Q185="","",IF(OR($D$24="",Q185&lt;N($C$24)),0,IF(B185="G마켓",ROUNDDOWN(MIN(Q185*$D$24,IF($E$24="",9E+99,$E$24)),0),ROUNDUP(MIN(Q185*$D$24,IF($E$24="",9E+99,$E$24)),0))))</f>
        <v/>
      </c>
      <c r="T185" s="20">
        <f>IF(Q185="","",IF(OR($D$25="",Q185&lt;N($C$25)),0,IF(B185="G마켓",ROUNDDOWN(MIN(Q185*$D$25,IF($E$25="",9E+99,$E$25)),0),ROUNDUP(MIN(Q185*$D$25,IF($E$25="",9E+99,$E$25)),0))))</f>
        <v/>
      </c>
      <c r="U185" s="19">
        <f>IF(G185="","",MAX(R185:T185))</f>
        <v/>
      </c>
      <c r="V185" s="21">
        <f>IF(G185="","",Q185-U185)</f>
        <v/>
      </c>
      <c r="W185" s="19">
        <f>IF(G185="","",IF(B185="G마켓",ROUNDDOWN(MAX(I185*N($G$10),J185*N($G$11),K185*N($G$12))+MAX(M185*N($G$16),N185*N($G$17),O185*N($G$18),P185*N($G$19))+MAX(R185*N($G$23),S185*N($G$24),T185*N($G$25)),0),ROUNDUP(MAX(I185*N($G$10),J185*N($G$11),K185*N($G$12))+MAX(M185*N($G$16),N185*N($G$17),O185*N($G$18),P185*N($G$19))+MAX(R185*N($G$23),S185*N($G$24),T185*N($G$25)),0)))</f>
        <v/>
      </c>
      <c r="X185" s="21">
        <f>IF(G185="","",IF(B185="G마켓",ROUNDDOWN(G185-G185*$Q$6-W185,0),ROUNDUP(G185-G185*$Q$6-W185,0)))</f>
        <v/>
      </c>
    </row>
    <row r="186">
      <c r="B186" s="7" t="n"/>
      <c r="C186" s="7" t="n"/>
      <c r="D186" s="22" t="n"/>
      <c r="E186" s="23" t="n"/>
      <c r="F186" s="23" t="n"/>
      <c r="G186" s="19">
        <f>IF(E186="","",E186-N(F186))</f>
        <v/>
      </c>
      <c r="I186" s="20">
        <f>IF(G186="","",IF(OR($D$10="",$H$10="X",G186&lt;N($C$10)),0,IF(B186="G마켓",ROUNDDOWN(MIN(G186*$D$10,IF($E$10="",9E+99,$E$10)),0),ROUNDUP(MIN(G186*$D$10,IF($E$10="",9E+99,$E$10)),0))))</f>
        <v/>
      </c>
      <c r="J186" s="20">
        <f>IF(G186="","",IF(OR($D$11="",$H$11="X",G186&lt;N($C$11)),0,IF(B186="G마켓",ROUNDDOWN(MIN(G186*$D$11,IF($E$11="",9E+99,$E$11)),0),ROUNDUP(MIN(G186*$D$11,IF($E$11="",9E+99,$E$11)),0))))</f>
        <v/>
      </c>
      <c r="K186" s="20">
        <f>IF(G186="","",IF(OR($D$12="",$H$12="X",G186&lt;N($C$12)),0,IF(B186="G마켓",ROUNDDOWN(MIN(G186*$D$12,IF($E$12="",9E+99,$E$12)),0),ROUNDUP(MIN(G186*$D$12,IF($E$12="",9E+99,$E$12)),0))))</f>
        <v/>
      </c>
      <c r="L186" s="19">
        <f>IF(G186="","",G186-MAX(I186:K186))</f>
        <v/>
      </c>
      <c r="M186" s="20">
        <f>IF(L186="","",IF(OR($D$16="",$H$16="X",L186&lt;N($C$16)),0,IF(B186="G마켓",ROUNDDOWN(MIN(L186*$D$16,IF($E$16="",9E+99,$E$16)),0),ROUNDUP(MIN(L186*$D$16,IF($E$16="",9E+99,$E$16)),0))))</f>
        <v/>
      </c>
      <c r="N186" s="20">
        <f>IF(L186="","",IF(OR($D$17="",$H$17="X",L186&lt;N($C$17)),0,IF(B186="G마켓",ROUNDDOWN(MIN(L186*$D$17,IF($E$17="",9E+99,$E$17)),0),ROUNDUP(MIN(L186*$D$17,IF($E$17="",9E+99,$E$17)),0))))</f>
        <v/>
      </c>
      <c r="O186" s="20">
        <f>IF(L186="","",IF(OR($D$18="",$H$18="X",L186&lt;N($C$18)),0,IF(B186="G마켓",ROUNDDOWN(MIN(L186*$D$18,IF($E$18="",9E+99,$E$18)),0),ROUNDUP(MIN(L186*$D$18,IF($E$18="",9E+99,$E$18)),0))))</f>
        <v/>
      </c>
      <c r="P186" s="20">
        <f>IF(L186="","",IF(OR($D$19="",$H$19="X",L186&lt;N($C$19)),0,IF(B186="G마켓",ROUNDDOWN(MIN(L186*$D$19,IF($E$19="",9E+99,$E$19)),0),ROUNDUP(MIN(L186*$D$19,IF($E$19="",9E+99,$E$19)),0))))</f>
        <v/>
      </c>
      <c r="Q186" s="19">
        <f>IF(G186="","",L186-MAX(M186:P186))</f>
        <v/>
      </c>
      <c r="R186" s="20">
        <f>IF(Q186="","",IF(OR($D$23="",Q186&lt;N($C$23)),0,IF(B186="G마켓",ROUNDDOWN(MIN(Q186*$D$23,IF($E$23="",9E+99,$E$23)),0),ROUNDUP(MIN(Q186*$D$23,IF($E$23="",9E+99,$E$23)),0))))</f>
        <v/>
      </c>
      <c r="S186" s="20">
        <f>IF(Q186="","",IF(OR($D$24="",Q186&lt;N($C$24)),0,IF(B186="G마켓",ROUNDDOWN(MIN(Q186*$D$24,IF($E$24="",9E+99,$E$24)),0),ROUNDUP(MIN(Q186*$D$24,IF($E$24="",9E+99,$E$24)),0))))</f>
        <v/>
      </c>
      <c r="T186" s="20">
        <f>IF(Q186="","",IF(OR($D$25="",Q186&lt;N($C$25)),0,IF(B186="G마켓",ROUNDDOWN(MIN(Q186*$D$25,IF($E$25="",9E+99,$E$25)),0),ROUNDUP(MIN(Q186*$D$25,IF($E$25="",9E+99,$E$25)),0))))</f>
        <v/>
      </c>
      <c r="U186" s="19">
        <f>IF(G186="","",MAX(R186:T186))</f>
        <v/>
      </c>
      <c r="V186" s="21">
        <f>IF(G186="","",Q186-U186)</f>
        <v/>
      </c>
      <c r="W186" s="19">
        <f>IF(G186="","",IF(B186="G마켓",ROUNDDOWN(MAX(I186*N($G$10),J186*N($G$11),K186*N($G$12))+MAX(M186*N($G$16),N186*N($G$17),O186*N($G$18),P186*N($G$19))+MAX(R186*N($G$23),S186*N($G$24),T186*N($G$25)),0),ROUNDUP(MAX(I186*N($G$10),J186*N($G$11),K186*N($G$12))+MAX(M186*N($G$16),N186*N($G$17),O186*N($G$18),P186*N($G$19))+MAX(R186*N($G$23),S186*N($G$24),T186*N($G$25)),0)))</f>
        <v/>
      </c>
      <c r="X186" s="21">
        <f>IF(G186="","",IF(B186="G마켓",ROUNDDOWN(G186-G186*$Q$6-W186,0),ROUNDUP(G186-G186*$Q$6-W186,0)))</f>
        <v/>
      </c>
    </row>
    <row r="187">
      <c r="B187" s="7" t="n"/>
      <c r="C187" s="7" t="n"/>
      <c r="D187" s="22" t="n"/>
      <c r="E187" s="23" t="n"/>
      <c r="F187" s="23" t="n"/>
      <c r="G187" s="19">
        <f>IF(E187="","",E187-N(F187))</f>
        <v/>
      </c>
      <c r="I187" s="20">
        <f>IF(G187="","",IF(OR($D$10="",$H$10="X",G187&lt;N($C$10)),0,IF(B187="G마켓",ROUNDDOWN(MIN(G187*$D$10,IF($E$10="",9E+99,$E$10)),0),ROUNDUP(MIN(G187*$D$10,IF($E$10="",9E+99,$E$10)),0))))</f>
        <v/>
      </c>
      <c r="J187" s="20">
        <f>IF(G187="","",IF(OR($D$11="",$H$11="X",G187&lt;N($C$11)),0,IF(B187="G마켓",ROUNDDOWN(MIN(G187*$D$11,IF($E$11="",9E+99,$E$11)),0),ROUNDUP(MIN(G187*$D$11,IF($E$11="",9E+99,$E$11)),0))))</f>
        <v/>
      </c>
      <c r="K187" s="20">
        <f>IF(G187="","",IF(OR($D$12="",$H$12="X",G187&lt;N($C$12)),0,IF(B187="G마켓",ROUNDDOWN(MIN(G187*$D$12,IF($E$12="",9E+99,$E$12)),0),ROUNDUP(MIN(G187*$D$12,IF($E$12="",9E+99,$E$12)),0))))</f>
        <v/>
      </c>
      <c r="L187" s="19">
        <f>IF(G187="","",G187-MAX(I187:K187))</f>
        <v/>
      </c>
      <c r="M187" s="20">
        <f>IF(L187="","",IF(OR($D$16="",$H$16="X",L187&lt;N($C$16)),0,IF(B187="G마켓",ROUNDDOWN(MIN(L187*$D$16,IF($E$16="",9E+99,$E$16)),0),ROUNDUP(MIN(L187*$D$16,IF($E$16="",9E+99,$E$16)),0))))</f>
        <v/>
      </c>
      <c r="N187" s="20">
        <f>IF(L187="","",IF(OR($D$17="",$H$17="X",L187&lt;N($C$17)),0,IF(B187="G마켓",ROUNDDOWN(MIN(L187*$D$17,IF($E$17="",9E+99,$E$17)),0),ROUNDUP(MIN(L187*$D$17,IF($E$17="",9E+99,$E$17)),0))))</f>
        <v/>
      </c>
      <c r="O187" s="20">
        <f>IF(L187="","",IF(OR($D$18="",$H$18="X",L187&lt;N($C$18)),0,IF(B187="G마켓",ROUNDDOWN(MIN(L187*$D$18,IF($E$18="",9E+99,$E$18)),0),ROUNDUP(MIN(L187*$D$18,IF($E$18="",9E+99,$E$18)),0))))</f>
        <v/>
      </c>
      <c r="P187" s="20">
        <f>IF(L187="","",IF(OR($D$19="",$H$19="X",L187&lt;N($C$19)),0,IF(B187="G마켓",ROUNDDOWN(MIN(L187*$D$19,IF($E$19="",9E+99,$E$19)),0),ROUNDUP(MIN(L187*$D$19,IF($E$19="",9E+99,$E$19)),0))))</f>
        <v/>
      </c>
      <c r="Q187" s="19">
        <f>IF(G187="","",L187-MAX(M187:P187))</f>
        <v/>
      </c>
      <c r="R187" s="20">
        <f>IF(Q187="","",IF(OR($D$23="",Q187&lt;N($C$23)),0,IF(B187="G마켓",ROUNDDOWN(MIN(Q187*$D$23,IF($E$23="",9E+99,$E$23)),0),ROUNDUP(MIN(Q187*$D$23,IF($E$23="",9E+99,$E$23)),0))))</f>
        <v/>
      </c>
      <c r="S187" s="20">
        <f>IF(Q187="","",IF(OR($D$24="",Q187&lt;N($C$24)),0,IF(B187="G마켓",ROUNDDOWN(MIN(Q187*$D$24,IF($E$24="",9E+99,$E$24)),0),ROUNDUP(MIN(Q187*$D$24,IF($E$24="",9E+99,$E$24)),0))))</f>
        <v/>
      </c>
      <c r="T187" s="20">
        <f>IF(Q187="","",IF(OR($D$25="",Q187&lt;N($C$25)),0,IF(B187="G마켓",ROUNDDOWN(MIN(Q187*$D$25,IF($E$25="",9E+99,$E$25)),0),ROUNDUP(MIN(Q187*$D$25,IF($E$25="",9E+99,$E$25)),0))))</f>
        <v/>
      </c>
      <c r="U187" s="19">
        <f>IF(G187="","",MAX(R187:T187))</f>
        <v/>
      </c>
      <c r="V187" s="21">
        <f>IF(G187="","",Q187-U187)</f>
        <v/>
      </c>
      <c r="W187" s="19">
        <f>IF(G187="","",IF(B187="G마켓",ROUNDDOWN(MAX(I187*N($G$10),J187*N($G$11),K187*N($G$12))+MAX(M187*N($G$16),N187*N($G$17),O187*N($G$18),P187*N($G$19))+MAX(R187*N($G$23),S187*N($G$24),T187*N($G$25)),0),ROUNDUP(MAX(I187*N($G$10),J187*N($G$11),K187*N($G$12))+MAX(M187*N($G$16),N187*N($G$17),O187*N($G$18),P187*N($G$19))+MAX(R187*N($G$23),S187*N($G$24),T187*N($G$25)),0)))</f>
        <v/>
      </c>
      <c r="X187" s="21">
        <f>IF(G187="","",IF(B187="G마켓",ROUNDDOWN(G187-G187*$Q$6-W187,0),ROUNDUP(G187-G187*$Q$6-W187,0)))</f>
        <v/>
      </c>
    </row>
    <row r="188">
      <c r="B188" s="7" t="n"/>
      <c r="C188" s="7" t="n"/>
      <c r="D188" s="22" t="n"/>
      <c r="E188" s="23" t="n"/>
      <c r="F188" s="23" t="n"/>
      <c r="G188" s="19">
        <f>IF(E188="","",E188-N(F188))</f>
        <v/>
      </c>
      <c r="I188" s="20">
        <f>IF(G188="","",IF(OR($D$10="",$H$10="X",G188&lt;N($C$10)),0,IF(B188="G마켓",ROUNDDOWN(MIN(G188*$D$10,IF($E$10="",9E+99,$E$10)),0),ROUNDUP(MIN(G188*$D$10,IF($E$10="",9E+99,$E$10)),0))))</f>
        <v/>
      </c>
      <c r="J188" s="20">
        <f>IF(G188="","",IF(OR($D$11="",$H$11="X",G188&lt;N($C$11)),0,IF(B188="G마켓",ROUNDDOWN(MIN(G188*$D$11,IF($E$11="",9E+99,$E$11)),0),ROUNDUP(MIN(G188*$D$11,IF($E$11="",9E+99,$E$11)),0))))</f>
        <v/>
      </c>
      <c r="K188" s="20">
        <f>IF(G188="","",IF(OR($D$12="",$H$12="X",G188&lt;N($C$12)),0,IF(B188="G마켓",ROUNDDOWN(MIN(G188*$D$12,IF($E$12="",9E+99,$E$12)),0),ROUNDUP(MIN(G188*$D$12,IF($E$12="",9E+99,$E$12)),0))))</f>
        <v/>
      </c>
      <c r="L188" s="19">
        <f>IF(G188="","",G188-MAX(I188:K188))</f>
        <v/>
      </c>
      <c r="M188" s="20">
        <f>IF(L188="","",IF(OR($D$16="",$H$16="X",L188&lt;N($C$16)),0,IF(B188="G마켓",ROUNDDOWN(MIN(L188*$D$16,IF($E$16="",9E+99,$E$16)),0),ROUNDUP(MIN(L188*$D$16,IF($E$16="",9E+99,$E$16)),0))))</f>
        <v/>
      </c>
      <c r="N188" s="20">
        <f>IF(L188="","",IF(OR($D$17="",$H$17="X",L188&lt;N($C$17)),0,IF(B188="G마켓",ROUNDDOWN(MIN(L188*$D$17,IF($E$17="",9E+99,$E$17)),0),ROUNDUP(MIN(L188*$D$17,IF($E$17="",9E+99,$E$17)),0))))</f>
        <v/>
      </c>
      <c r="O188" s="20">
        <f>IF(L188="","",IF(OR($D$18="",$H$18="X",L188&lt;N($C$18)),0,IF(B188="G마켓",ROUNDDOWN(MIN(L188*$D$18,IF($E$18="",9E+99,$E$18)),0),ROUNDUP(MIN(L188*$D$18,IF($E$18="",9E+99,$E$18)),0))))</f>
        <v/>
      </c>
      <c r="P188" s="20">
        <f>IF(L188="","",IF(OR($D$19="",$H$19="X",L188&lt;N($C$19)),0,IF(B188="G마켓",ROUNDDOWN(MIN(L188*$D$19,IF($E$19="",9E+99,$E$19)),0),ROUNDUP(MIN(L188*$D$19,IF($E$19="",9E+99,$E$19)),0))))</f>
        <v/>
      </c>
      <c r="Q188" s="19">
        <f>IF(G188="","",L188-MAX(M188:P188))</f>
        <v/>
      </c>
      <c r="R188" s="20">
        <f>IF(Q188="","",IF(OR($D$23="",Q188&lt;N($C$23)),0,IF(B188="G마켓",ROUNDDOWN(MIN(Q188*$D$23,IF($E$23="",9E+99,$E$23)),0),ROUNDUP(MIN(Q188*$D$23,IF($E$23="",9E+99,$E$23)),0))))</f>
        <v/>
      </c>
      <c r="S188" s="20">
        <f>IF(Q188="","",IF(OR($D$24="",Q188&lt;N($C$24)),0,IF(B188="G마켓",ROUNDDOWN(MIN(Q188*$D$24,IF($E$24="",9E+99,$E$24)),0),ROUNDUP(MIN(Q188*$D$24,IF($E$24="",9E+99,$E$24)),0))))</f>
        <v/>
      </c>
      <c r="T188" s="20">
        <f>IF(Q188="","",IF(OR($D$25="",Q188&lt;N($C$25)),0,IF(B188="G마켓",ROUNDDOWN(MIN(Q188*$D$25,IF($E$25="",9E+99,$E$25)),0),ROUNDUP(MIN(Q188*$D$25,IF($E$25="",9E+99,$E$25)),0))))</f>
        <v/>
      </c>
      <c r="U188" s="19">
        <f>IF(G188="","",MAX(R188:T188))</f>
        <v/>
      </c>
      <c r="V188" s="21">
        <f>IF(G188="","",Q188-U188)</f>
        <v/>
      </c>
      <c r="W188" s="19">
        <f>IF(G188="","",IF(B188="G마켓",ROUNDDOWN(MAX(I188*N($G$10),J188*N($G$11),K188*N($G$12))+MAX(M188*N($G$16),N188*N($G$17),O188*N($G$18),P188*N($G$19))+MAX(R188*N($G$23),S188*N($G$24),T188*N($G$25)),0),ROUNDUP(MAX(I188*N($G$10),J188*N($G$11),K188*N($G$12))+MAX(M188*N($G$16),N188*N($G$17),O188*N($G$18),P188*N($G$19))+MAX(R188*N($G$23),S188*N($G$24),T188*N($G$25)),0)))</f>
        <v/>
      </c>
      <c r="X188" s="21">
        <f>IF(G188="","",IF(B188="G마켓",ROUNDDOWN(G188-G188*$Q$6-W188,0),ROUNDUP(G188-G188*$Q$6-W188,0)))</f>
        <v/>
      </c>
    </row>
    <row r="189">
      <c r="B189" s="7" t="n"/>
      <c r="C189" s="7" t="n"/>
      <c r="D189" s="22" t="n"/>
      <c r="E189" s="23" t="n"/>
      <c r="F189" s="23" t="n"/>
      <c r="G189" s="19">
        <f>IF(E189="","",E189-N(F189))</f>
        <v/>
      </c>
      <c r="I189" s="20">
        <f>IF(G189="","",IF(OR($D$10="",$H$10="X",G189&lt;N($C$10)),0,IF(B189="G마켓",ROUNDDOWN(MIN(G189*$D$10,IF($E$10="",9E+99,$E$10)),0),ROUNDUP(MIN(G189*$D$10,IF($E$10="",9E+99,$E$10)),0))))</f>
        <v/>
      </c>
      <c r="J189" s="20">
        <f>IF(G189="","",IF(OR($D$11="",$H$11="X",G189&lt;N($C$11)),0,IF(B189="G마켓",ROUNDDOWN(MIN(G189*$D$11,IF($E$11="",9E+99,$E$11)),0),ROUNDUP(MIN(G189*$D$11,IF($E$11="",9E+99,$E$11)),0))))</f>
        <v/>
      </c>
      <c r="K189" s="20">
        <f>IF(G189="","",IF(OR($D$12="",$H$12="X",G189&lt;N($C$12)),0,IF(B189="G마켓",ROUNDDOWN(MIN(G189*$D$12,IF($E$12="",9E+99,$E$12)),0),ROUNDUP(MIN(G189*$D$12,IF($E$12="",9E+99,$E$12)),0))))</f>
        <v/>
      </c>
      <c r="L189" s="19">
        <f>IF(G189="","",G189-MAX(I189:K189))</f>
        <v/>
      </c>
      <c r="M189" s="20">
        <f>IF(L189="","",IF(OR($D$16="",$H$16="X",L189&lt;N($C$16)),0,IF(B189="G마켓",ROUNDDOWN(MIN(L189*$D$16,IF($E$16="",9E+99,$E$16)),0),ROUNDUP(MIN(L189*$D$16,IF($E$16="",9E+99,$E$16)),0))))</f>
        <v/>
      </c>
      <c r="N189" s="20">
        <f>IF(L189="","",IF(OR($D$17="",$H$17="X",L189&lt;N($C$17)),0,IF(B189="G마켓",ROUNDDOWN(MIN(L189*$D$17,IF($E$17="",9E+99,$E$17)),0),ROUNDUP(MIN(L189*$D$17,IF($E$17="",9E+99,$E$17)),0))))</f>
        <v/>
      </c>
      <c r="O189" s="20">
        <f>IF(L189="","",IF(OR($D$18="",$H$18="X",L189&lt;N($C$18)),0,IF(B189="G마켓",ROUNDDOWN(MIN(L189*$D$18,IF($E$18="",9E+99,$E$18)),0),ROUNDUP(MIN(L189*$D$18,IF($E$18="",9E+99,$E$18)),0))))</f>
        <v/>
      </c>
      <c r="P189" s="20">
        <f>IF(L189="","",IF(OR($D$19="",$H$19="X",L189&lt;N($C$19)),0,IF(B189="G마켓",ROUNDDOWN(MIN(L189*$D$19,IF($E$19="",9E+99,$E$19)),0),ROUNDUP(MIN(L189*$D$19,IF($E$19="",9E+99,$E$19)),0))))</f>
        <v/>
      </c>
      <c r="Q189" s="19">
        <f>IF(G189="","",L189-MAX(M189:P189))</f>
        <v/>
      </c>
      <c r="R189" s="20">
        <f>IF(Q189="","",IF(OR($D$23="",Q189&lt;N($C$23)),0,IF(B189="G마켓",ROUNDDOWN(MIN(Q189*$D$23,IF($E$23="",9E+99,$E$23)),0),ROUNDUP(MIN(Q189*$D$23,IF($E$23="",9E+99,$E$23)),0))))</f>
        <v/>
      </c>
      <c r="S189" s="20">
        <f>IF(Q189="","",IF(OR($D$24="",Q189&lt;N($C$24)),0,IF(B189="G마켓",ROUNDDOWN(MIN(Q189*$D$24,IF($E$24="",9E+99,$E$24)),0),ROUNDUP(MIN(Q189*$D$24,IF($E$24="",9E+99,$E$24)),0))))</f>
        <v/>
      </c>
      <c r="T189" s="20">
        <f>IF(Q189="","",IF(OR($D$25="",Q189&lt;N($C$25)),0,IF(B189="G마켓",ROUNDDOWN(MIN(Q189*$D$25,IF($E$25="",9E+99,$E$25)),0),ROUNDUP(MIN(Q189*$D$25,IF($E$25="",9E+99,$E$25)),0))))</f>
        <v/>
      </c>
      <c r="U189" s="19">
        <f>IF(G189="","",MAX(R189:T189))</f>
        <v/>
      </c>
      <c r="V189" s="21">
        <f>IF(G189="","",Q189-U189)</f>
        <v/>
      </c>
      <c r="W189" s="19">
        <f>IF(G189="","",IF(B189="G마켓",ROUNDDOWN(MAX(I189*N($G$10),J189*N($G$11),K189*N($G$12))+MAX(M189*N($G$16),N189*N($G$17),O189*N($G$18),P189*N($G$19))+MAX(R189*N($G$23),S189*N($G$24),T189*N($G$25)),0),ROUNDUP(MAX(I189*N($G$10),J189*N($G$11),K189*N($G$12))+MAX(M189*N($G$16),N189*N($G$17),O189*N($G$18),P189*N($G$19))+MAX(R189*N($G$23),S189*N($G$24),T189*N($G$25)),0)))</f>
        <v/>
      </c>
      <c r="X189" s="21">
        <f>IF(G189="","",IF(B189="G마켓",ROUNDDOWN(G189-G189*$Q$6-W189,0),ROUNDUP(G189-G189*$Q$6-W189,0)))</f>
        <v/>
      </c>
    </row>
    <row r="190">
      <c r="B190" s="7" t="n"/>
      <c r="C190" s="7" t="n"/>
      <c r="D190" s="22" t="n"/>
      <c r="E190" s="23" t="n"/>
      <c r="F190" s="23" t="n"/>
      <c r="G190" s="19">
        <f>IF(E190="","",E190-N(F190))</f>
        <v/>
      </c>
      <c r="I190" s="20">
        <f>IF(G190="","",IF(OR($D$10="",$H$10="X",G190&lt;N($C$10)),0,IF(B190="G마켓",ROUNDDOWN(MIN(G190*$D$10,IF($E$10="",9E+99,$E$10)),0),ROUNDUP(MIN(G190*$D$10,IF($E$10="",9E+99,$E$10)),0))))</f>
        <v/>
      </c>
      <c r="J190" s="20">
        <f>IF(G190="","",IF(OR($D$11="",$H$11="X",G190&lt;N($C$11)),0,IF(B190="G마켓",ROUNDDOWN(MIN(G190*$D$11,IF($E$11="",9E+99,$E$11)),0),ROUNDUP(MIN(G190*$D$11,IF($E$11="",9E+99,$E$11)),0))))</f>
        <v/>
      </c>
      <c r="K190" s="20">
        <f>IF(G190="","",IF(OR($D$12="",$H$12="X",G190&lt;N($C$12)),0,IF(B190="G마켓",ROUNDDOWN(MIN(G190*$D$12,IF($E$12="",9E+99,$E$12)),0),ROUNDUP(MIN(G190*$D$12,IF($E$12="",9E+99,$E$12)),0))))</f>
        <v/>
      </c>
      <c r="L190" s="19">
        <f>IF(G190="","",G190-MAX(I190:K190))</f>
        <v/>
      </c>
      <c r="M190" s="20">
        <f>IF(L190="","",IF(OR($D$16="",$H$16="X",L190&lt;N($C$16)),0,IF(B190="G마켓",ROUNDDOWN(MIN(L190*$D$16,IF($E$16="",9E+99,$E$16)),0),ROUNDUP(MIN(L190*$D$16,IF($E$16="",9E+99,$E$16)),0))))</f>
        <v/>
      </c>
      <c r="N190" s="20">
        <f>IF(L190="","",IF(OR($D$17="",$H$17="X",L190&lt;N($C$17)),0,IF(B190="G마켓",ROUNDDOWN(MIN(L190*$D$17,IF($E$17="",9E+99,$E$17)),0),ROUNDUP(MIN(L190*$D$17,IF($E$17="",9E+99,$E$17)),0))))</f>
        <v/>
      </c>
      <c r="O190" s="20">
        <f>IF(L190="","",IF(OR($D$18="",$H$18="X",L190&lt;N($C$18)),0,IF(B190="G마켓",ROUNDDOWN(MIN(L190*$D$18,IF($E$18="",9E+99,$E$18)),0),ROUNDUP(MIN(L190*$D$18,IF($E$18="",9E+99,$E$18)),0))))</f>
        <v/>
      </c>
      <c r="P190" s="20">
        <f>IF(L190="","",IF(OR($D$19="",$H$19="X",L190&lt;N($C$19)),0,IF(B190="G마켓",ROUNDDOWN(MIN(L190*$D$19,IF($E$19="",9E+99,$E$19)),0),ROUNDUP(MIN(L190*$D$19,IF($E$19="",9E+99,$E$19)),0))))</f>
        <v/>
      </c>
      <c r="Q190" s="19">
        <f>IF(G190="","",L190-MAX(M190:P190))</f>
        <v/>
      </c>
      <c r="R190" s="20">
        <f>IF(Q190="","",IF(OR($D$23="",Q190&lt;N($C$23)),0,IF(B190="G마켓",ROUNDDOWN(MIN(Q190*$D$23,IF($E$23="",9E+99,$E$23)),0),ROUNDUP(MIN(Q190*$D$23,IF($E$23="",9E+99,$E$23)),0))))</f>
        <v/>
      </c>
      <c r="S190" s="20">
        <f>IF(Q190="","",IF(OR($D$24="",Q190&lt;N($C$24)),0,IF(B190="G마켓",ROUNDDOWN(MIN(Q190*$D$24,IF($E$24="",9E+99,$E$24)),0),ROUNDUP(MIN(Q190*$D$24,IF($E$24="",9E+99,$E$24)),0))))</f>
        <v/>
      </c>
      <c r="T190" s="20">
        <f>IF(Q190="","",IF(OR($D$25="",Q190&lt;N($C$25)),0,IF(B190="G마켓",ROUNDDOWN(MIN(Q190*$D$25,IF($E$25="",9E+99,$E$25)),0),ROUNDUP(MIN(Q190*$D$25,IF($E$25="",9E+99,$E$25)),0))))</f>
        <v/>
      </c>
      <c r="U190" s="19">
        <f>IF(G190="","",MAX(R190:T190))</f>
        <v/>
      </c>
      <c r="V190" s="21">
        <f>IF(G190="","",Q190-U190)</f>
        <v/>
      </c>
      <c r="W190" s="19">
        <f>IF(G190="","",IF(B190="G마켓",ROUNDDOWN(MAX(I190*N($G$10),J190*N($G$11),K190*N($G$12))+MAX(M190*N($G$16),N190*N($G$17),O190*N($G$18),P190*N($G$19))+MAX(R190*N($G$23),S190*N($G$24),T190*N($G$25)),0),ROUNDUP(MAX(I190*N($G$10),J190*N($G$11),K190*N($G$12))+MAX(M190*N($G$16),N190*N($G$17),O190*N($G$18),P190*N($G$19))+MAX(R190*N($G$23),S190*N($G$24),T190*N($G$25)),0)))</f>
        <v/>
      </c>
      <c r="X190" s="21">
        <f>IF(G190="","",IF(B190="G마켓",ROUNDDOWN(G190-G190*$Q$6-W190,0),ROUNDUP(G190-G190*$Q$6-W190,0)))</f>
        <v/>
      </c>
    </row>
    <row r="191">
      <c r="B191" s="7" t="n"/>
      <c r="C191" s="7" t="n"/>
      <c r="D191" s="22" t="n"/>
      <c r="E191" s="23" t="n"/>
      <c r="F191" s="23" t="n"/>
      <c r="G191" s="19">
        <f>IF(E191="","",E191-N(F191))</f>
        <v/>
      </c>
      <c r="I191" s="20">
        <f>IF(G191="","",IF(OR($D$10="",$H$10="X",G191&lt;N($C$10)),0,IF(B191="G마켓",ROUNDDOWN(MIN(G191*$D$10,IF($E$10="",9E+99,$E$10)),0),ROUNDUP(MIN(G191*$D$10,IF($E$10="",9E+99,$E$10)),0))))</f>
        <v/>
      </c>
      <c r="J191" s="20">
        <f>IF(G191="","",IF(OR($D$11="",$H$11="X",G191&lt;N($C$11)),0,IF(B191="G마켓",ROUNDDOWN(MIN(G191*$D$11,IF($E$11="",9E+99,$E$11)),0),ROUNDUP(MIN(G191*$D$11,IF($E$11="",9E+99,$E$11)),0))))</f>
        <v/>
      </c>
      <c r="K191" s="20">
        <f>IF(G191="","",IF(OR($D$12="",$H$12="X",G191&lt;N($C$12)),0,IF(B191="G마켓",ROUNDDOWN(MIN(G191*$D$12,IF($E$12="",9E+99,$E$12)),0),ROUNDUP(MIN(G191*$D$12,IF($E$12="",9E+99,$E$12)),0))))</f>
        <v/>
      </c>
      <c r="L191" s="19">
        <f>IF(G191="","",G191-MAX(I191:K191))</f>
        <v/>
      </c>
      <c r="M191" s="20">
        <f>IF(L191="","",IF(OR($D$16="",$H$16="X",L191&lt;N($C$16)),0,IF(B191="G마켓",ROUNDDOWN(MIN(L191*$D$16,IF($E$16="",9E+99,$E$16)),0),ROUNDUP(MIN(L191*$D$16,IF($E$16="",9E+99,$E$16)),0))))</f>
        <v/>
      </c>
      <c r="N191" s="20">
        <f>IF(L191="","",IF(OR($D$17="",$H$17="X",L191&lt;N($C$17)),0,IF(B191="G마켓",ROUNDDOWN(MIN(L191*$D$17,IF($E$17="",9E+99,$E$17)),0),ROUNDUP(MIN(L191*$D$17,IF($E$17="",9E+99,$E$17)),0))))</f>
        <v/>
      </c>
      <c r="O191" s="20">
        <f>IF(L191="","",IF(OR($D$18="",$H$18="X",L191&lt;N($C$18)),0,IF(B191="G마켓",ROUNDDOWN(MIN(L191*$D$18,IF($E$18="",9E+99,$E$18)),0),ROUNDUP(MIN(L191*$D$18,IF($E$18="",9E+99,$E$18)),0))))</f>
        <v/>
      </c>
      <c r="P191" s="20">
        <f>IF(L191="","",IF(OR($D$19="",$H$19="X",L191&lt;N($C$19)),0,IF(B191="G마켓",ROUNDDOWN(MIN(L191*$D$19,IF($E$19="",9E+99,$E$19)),0),ROUNDUP(MIN(L191*$D$19,IF($E$19="",9E+99,$E$19)),0))))</f>
        <v/>
      </c>
      <c r="Q191" s="19">
        <f>IF(G191="","",L191-MAX(M191:P191))</f>
        <v/>
      </c>
      <c r="R191" s="20">
        <f>IF(Q191="","",IF(OR($D$23="",Q191&lt;N($C$23)),0,IF(B191="G마켓",ROUNDDOWN(MIN(Q191*$D$23,IF($E$23="",9E+99,$E$23)),0),ROUNDUP(MIN(Q191*$D$23,IF($E$23="",9E+99,$E$23)),0))))</f>
        <v/>
      </c>
      <c r="S191" s="20">
        <f>IF(Q191="","",IF(OR($D$24="",Q191&lt;N($C$24)),0,IF(B191="G마켓",ROUNDDOWN(MIN(Q191*$D$24,IF($E$24="",9E+99,$E$24)),0),ROUNDUP(MIN(Q191*$D$24,IF($E$24="",9E+99,$E$24)),0))))</f>
        <v/>
      </c>
      <c r="T191" s="20">
        <f>IF(Q191="","",IF(OR($D$25="",Q191&lt;N($C$25)),0,IF(B191="G마켓",ROUNDDOWN(MIN(Q191*$D$25,IF($E$25="",9E+99,$E$25)),0),ROUNDUP(MIN(Q191*$D$25,IF($E$25="",9E+99,$E$25)),0))))</f>
        <v/>
      </c>
      <c r="U191" s="19">
        <f>IF(G191="","",MAX(R191:T191))</f>
        <v/>
      </c>
      <c r="V191" s="21">
        <f>IF(G191="","",Q191-U191)</f>
        <v/>
      </c>
      <c r="W191" s="19">
        <f>IF(G191="","",IF(B191="G마켓",ROUNDDOWN(MAX(I191*N($G$10),J191*N($G$11),K191*N($G$12))+MAX(M191*N($G$16),N191*N($G$17),O191*N($G$18),P191*N($G$19))+MAX(R191*N($G$23),S191*N($G$24),T191*N($G$25)),0),ROUNDUP(MAX(I191*N($G$10),J191*N($G$11),K191*N($G$12))+MAX(M191*N($G$16),N191*N($G$17),O191*N($G$18),P191*N($G$19))+MAX(R191*N($G$23),S191*N($G$24),T191*N($G$25)),0)))</f>
        <v/>
      </c>
      <c r="X191" s="21">
        <f>IF(G191="","",IF(B191="G마켓",ROUNDDOWN(G191-G191*$Q$6-W191,0),ROUNDUP(G191-G191*$Q$6-W191,0)))</f>
        <v/>
      </c>
    </row>
    <row r="192">
      <c r="B192" s="7" t="n"/>
      <c r="C192" s="7" t="n"/>
      <c r="D192" s="22" t="n"/>
      <c r="E192" s="23" t="n"/>
      <c r="F192" s="23" t="n"/>
      <c r="G192" s="19">
        <f>IF(E192="","",E192-N(F192))</f>
        <v/>
      </c>
      <c r="I192" s="20">
        <f>IF(G192="","",IF(OR($D$10="",$H$10="X",G192&lt;N($C$10)),0,IF(B192="G마켓",ROUNDDOWN(MIN(G192*$D$10,IF($E$10="",9E+99,$E$10)),0),ROUNDUP(MIN(G192*$D$10,IF($E$10="",9E+99,$E$10)),0))))</f>
        <v/>
      </c>
      <c r="J192" s="20">
        <f>IF(G192="","",IF(OR($D$11="",$H$11="X",G192&lt;N($C$11)),0,IF(B192="G마켓",ROUNDDOWN(MIN(G192*$D$11,IF($E$11="",9E+99,$E$11)),0),ROUNDUP(MIN(G192*$D$11,IF($E$11="",9E+99,$E$11)),0))))</f>
        <v/>
      </c>
      <c r="K192" s="20">
        <f>IF(G192="","",IF(OR($D$12="",$H$12="X",G192&lt;N($C$12)),0,IF(B192="G마켓",ROUNDDOWN(MIN(G192*$D$12,IF($E$12="",9E+99,$E$12)),0),ROUNDUP(MIN(G192*$D$12,IF($E$12="",9E+99,$E$12)),0))))</f>
        <v/>
      </c>
      <c r="L192" s="19">
        <f>IF(G192="","",G192-MAX(I192:K192))</f>
        <v/>
      </c>
      <c r="M192" s="20">
        <f>IF(L192="","",IF(OR($D$16="",$H$16="X",L192&lt;N($C$16)),0,IF(B192="G마켓",ROUNDDOWN(MIN(L192*$D$16,IF($E$16="",9E+99,$E$16)),0),ROUNDUP(MIN(L192*$D$16,IF($E$16="",9E+99,$E$16)),0))))</f>
        <v/>
      </c>
      <c r="N192" s="20">
        <f>IF(L192="","",IF(OR($D$17="",$H$17="X",L192&lt;N($C$17)),0,IF(B192="G마켓",ROUNDDOWN(MIN(L192*$D$17,IF($E$17="",9E+99,$E$17)),0),ROUNDUP(MIN(L192*$D$17,IF($E$17="",9E+99,$E$17)),0))))</f>
        <v/>
      </c>
      <c r="O192" s="20">
        <f>IF(L192="","",IF(OR($D$18="",$H$18="X",L192&lt;N($C$18)),0,IF(B192="G마켓",ROUNDDOWN(MIN(L192*$D$18,IF($E$18="",9E+99,$E$18)),0),ROUNDUP(MIN(L192*$D$18,IF($E$18="",9E+99,$E$18)),0))))</f>
        <v/>
      </c>
      <c r="P192" s="20">
        <f>IF(L192="","",IF(OR($D$19="",$H$19="X",L192&lt;N($C$19)),0,IF(B192="G마켓",ROUNDDOWN(MIN(L192*$D$19,IF($E$19="",9E+99,$E$19)),0),ROUNDUP(MIN(L192*$D$19,IF($E$19="",9E+99,$E$19)),0))))</f>
        <v/>
      </c>
      <c r="Q192" s="19">
        <f>IF(G192="","",L192-MAX(M192:P192))</f>
        <v/>
      </c>
      <c r="R192" s="20">
        <f>IF(Q192="","",IF(OR($D$23="",Q192&lt;N($C$23)),0,IF(B192="G마켓",ROUNDDOWN(MIN(Q192*$D$23,IF($E$23="",9E+99,$E$23)),0),ROUNDUP(MIN(Q192*$D$23,IF($E$23="",9E+99,$E$23)),0))))</f>
        <v/>
      </c>
      <c r="S192" s="20">
        <f>IF(Q192="","",IF(OR($D$24="",Q192&lt;N($C$24)),0,IF(B192="G마켓",ROUNDDOWN(MIN(Q192*$D$24,IF($E$24="",9E+99,$E$24)),0),ROUNDUP(MIN(Q192*$D$24,IF($E$24="",9E+99,$E$24)),0))))</f>
        <v/>
      </c>
      <c r="T192" s="20">
        <f>IF(Q192="","",IF(OR($D$25="",Q192&lt;N($C$25)),0,IF(B192="G마켓",ROUNDDOWN(MIN(Q192*$D$25,IF($E$25="",9E+99,$E$25)),0),ROUNDUP(MIN(Q192*$D$25,IF($E$25="",9E+99,$E$25)),0))))</f>
        <v/>
      </c>
      <c r="U192" s="19">
        <f>IF(G192="","",MAX(R192:T192))</f>
        <v/>
      </c>
      <c r="V192" s="21">
        <f>IF(G192="","",Q192-U192)</f>
        <v/>
      </c>
      <c r="W192" s="19">
        <f>IF(G192="","",IF(B192="G마켓",ROUNDDOWN(MAX(I192*N($G$10),J192*N($G$11),K192*N($G$12))+MAX(M192*N($G$16),N192*N($G$17),O192*N($G$18),P192*N($G$19))+MAX(R192*N($G$23),S192*N($G$24),T192*N($G$25)),0),ROUNDUP(MAX(I192*N($G$10),J192*N($G$11),K192*N($G$12))+MAX(M192*N($G$16),N192*N($G$17),O192*N($G$18),P192*N($G$19))+MAX(R192*N($G$23),S192*N($G$24),T192*N($G$25)),0)))</f>
        <v/>
      </c>
      <c r="X192" s="21">
        <f>IF(G192="","",IF(B192="G마켓",ROUNDDOWN(G192-G192*$Q$6-W192,0),ROUNDUP(G192-G192*$Q$6-W192,0)))</f>
        <v/>
      </c>
    </row>
    <row r="193">
      <c r="B193" s="7" t="n"/>
      <c r="C193" s="7" t="n"/>
      <c r="D193" s="22" t="n"/>
      <c r="E193" s="23" t="n"/>
      <c r="F193" s="23" t="n"/>
      <c r="G193" s="19">
        <f>IF(E193="","",E193-N(F193))</f>
        <v/>
      </c>
      <c r="I193" s="20">
        <f>IF(G193="","",IF(OR($D$10="",$H$10="X",G193&lt;N($C$10)),0,IF(B193="G마켓",ROUNDDOWN(MIN(G193*$D$10,IF($E$10="",9E+99,$E$10)),0),ROUNDUP(MIN(G193*$D$10,IF($E$10="",9E+99,$E$10)),0))))</f>
        <v/>
      </c>
      <c r="J193" s="20">
        <f>IF(G193="","",IF(OR($D$11="",$H$11="X",G193&lt;N($C$11)),0,IF(B193="G마켓",ROUNDDOWN(MIN(G193*$D$11,IF($E$11="",9E+99,$E$11)),0),ROUNDUP(MIN(G193*$D$11,IF($E$11="",9E+99,$E$11)),0))))</f>
        <v/>
      </c>
      <c r="K193" s="20">
        <f>IF(G193="","",IF(OR($D$12="",$H$12="X",G193&lt;N($C$12)),0,IF(B193="G마켓",ROUNDDOWN(MIN(G193*$D$12,IF($E$12="",9E+99,$E$12)),0),ROUNDUP(MIN(G193*$D$12,IF($E$12="",9E+99,$E$12)),0))))</f>
        <v/>
      </c>
      <c r="L193" s="19">
        <f>IF(G193="","",G193-MAX(I193:K193))</f>
        <v/>
      </c>
      <c r="M193" s="20">
        <f>IF(L193="","",IF(OR($D$16="",$H$16="X",L193&lt;N($C$16)),0,IF(B193="G마켓",ROUNDDOWN(MIN(L193*$D$16,IF($E$16="",9E+99,$E$16)),0),ROUNDUP(MIN(L193*$D$16,IF($E$16="",9E+99,$E$16)),0))))</f>
        <v/>
      </c>
      <c r="N193" s="20">
        <f>IF(L193="","",IF(OR($D$17="",$H$17="X",L193&lt;N($C$17)),0,IF(B193="G마켓",ROUNDDOWN(MIN(L193*$D$17,IF($E$17="",9E+99,$E$17)),0),ROUNDUP(MIN(L193*$D$17,IF($E$17="",9E+99,$E$17)),0))))</f>
        <v/>
      </c>
      <c r="O193" s="20">
        <f>IF(L193="","",IF(OR($D$18="",$H$18="X",L193&lt;N($C$18)),0,IF(B193="G마켓",ROUNDDOWN(MIN(L193*$D$18,IF($E$18="",9E+99,$E$18)),0),ROUNDUP(MIN(L193*$D$18,IF($E$18="",9E+99,$E$18)),0))))</f>
        <v/>
      </c>
      <c r="P193" s="20">
        <f>IF(L193="","",IF(OR($D$19="",$H$19="X",L193&lt;N($C$19)),0,IF(B193="G마켓",ROUNDDOWN(MIN(L193*$D$19,IF($E$19="",9E+99,$E$19)),0),ROUNDUP(MIN(L193*$D$19,IF($E$19="",9E+99,$E$19)),0))))</f>
        <v/>
      </c>
      <c r="Q193" s="19">
        <f>IF(G193="","",L193-MAX(M193:P193))</f>
        <v/>
      </c>
      <c r="R193" s="20">
        <f>IF(Q193="","",IF(OR($D$23="",Q193&lt;N($C$23)),0,IF(B193="G마켓",ROUNDDOWN(MIN(Q193*$D$23,IF($E$23="",9E+99,$E$23)),0),ROUNDUP(MIN(Q193*$D$23,IF($E$23="",9E+99,$E$23)),0))))</f>
        <v/>
      </c>
      <c r="S193" s="20">
        <f>IF(Q193="","",IF(OR($D$24="",Q193&lt;N($C$24)),0,IF(B193="G마켓",ROUNDDOWN(MIN(Q193*$D$24,IF($E$24="",9E+99,$E$24)),0),ROUNDUP(MIN(Q193*$D$24,IF($E$24="",9E+99,$E$24)),0))))</f>
        <v/>
      </c>
      <c r="T193" s="20">
        <f>IF(Q193="","",IF(OR($D$25="",Q193&lt;N($C$25)),0,IF(B193="G마켓",ROUNDDOWN(MIN(Q193*$D$25,IF($E$25="",9E+99,$E$25)),0),ROUNDUP(MIN(Q193*$D$25,IF($E$25="",9E+99,$E$25)),0))))</f>
        <v/>
      </c>
      <c r="U193" s="19">
        <f>IF(G193="","",MAX(R193:T193))</f>
        <v/>
      </c>
      <c r="V193" s="21">
        <f>IF(G193="","",Q193-U193)</f>
        <v/>
      </c>
      <c r="W193" s="19">
        <f>IF(G193="","",IF(B193="G마켓",ROUNDDOWN(MAX(I193*N($G$10),J193*N($G$11),K193*N($G$12))+MAX(M193*N($G$16),N193*N($G$17),O193*N($G$18),P193*N($G$19))+MAX(R193*N($G$23),S193*N($G$24),T193*N($G$25)),0),ROUNDUP(MAX(I193*N($G$10),J193*N($G$11),K193*N($G$12))+MAX(M193*N($G$16),N193*N($G$17),O193*N($G$18),P193*N($G$19))+MAX(R193*N($G$23),S193*N($G$24),T193*N($G$25)),0)))</f>
        <v/>
      </c>
      <c r="X193" s="21">
        <f>IF(G193="","",IF(B193="G마켓",ROUNDDOWN(G193-G193*$Q$6-W193,0),ROUNDUP(G193-G193*$Q$6-W193,0)))</f>
        <v/>
      </c>
    </row>
    <row r="194">
      <c r="B194" s="7" t="n"/>
      <c r="C194" s="7" t="n"/>
      <c r="D194" s="22" t="n"/>
      <c r="E194" s="23" t="n"/>
      <c r="F194" s="23" t="n"/>
      <c r="G194" s="19">
        <f>IF(E194="","",E194-N(F194))</f>
        <v/>
      </c>
      <c r="I194" s="20">
        <f>IF(G194="","",IF(OR($D$10="",$H$10="X",G194&lt;N($C$10)),0,IF(B194="G마켓",ROUNDDOWN(MIN(G194*$D$10,IF($E$10="",9E+99,$E$10)),0),ROUNDUP(MIN(G194*$D$10,IF($E$10="",9E+99,$E$10)),0))))</f>
        <v/>
      </c>
      <c r="J194" s="20">
        <f>IF(G194="","",IF(OR($D$11="",$H$11="X",G194&lt;N($C$11)),0,IF(B194="G마켓",ROUNDDOWN(MIN(G194*$D$11,IF($E$11="",9E+99,$E$11)),0),ROUNDUP(MIN(G194*$D$11,IF($E$11="",9E+99,$E$11)),0))))</f>
        <v/>
      </c>
      <c r="K194" s="20">
        <f>IF(G194="","",IF(OR($D$12="",$H$12="X",G194&lt;N($C$12)),0,IF(B194="G마켓",ROUNDDOWN(MIN(G194*$D$12,IF($E$12="",9E+99,$E$12)),0),ROUNDUP(MIN(G194*$D$12,IF($E$12="",9E+99,$E$12)),0))))</f>
        <v/>
      </c>
      <c r="L194" s="19">
        <f>IF(G194="","",G194-MAX(I194:K194))</f>
        <v/>
      </c>
      <c r="M194" s="20">
        <f>IF(L194="","",IF(OR($D$16="",$H$16="X",L194&lt;N($C$16)),0,IF(B194="G마켓",ROUNDDOWN(MIN(L194*$D$16,IF($E$16="",9E+99,$E$16)),0),ROUNDUP(MIN(L194*$D$16,IF($E$16="",9E+99,$E$16)),0))))</f>
        <v/>
      </c>
      <c r="N194" s="20">
        <f>IF(L194="","",IF(OR($D$17="",$H$17="X",L194&lt;N($C$17)),0,IF(B194="G마켓",ROUNDDOWN(MIN(L194*$D$17,IF($E$17="",9E+99,$E$17)),0),ROUNDUP(MIN(L194*$D$17,IF($E$17="",9E+99,$E$17)),0))))</f>
        <v/>
      </c>
      <c r="O194" s="20">
        <f>IF(L194="","",IF(OR($D$18="",$H$18="X",L194&lt;N($C$18)),0,IF(B194="G마켓",ROUNDDOWN(MIN(L194*$D$18,IF($E$18="",9E+99,$E$18)),0),ROUNDUP(MIN(L194*$D$18,IF($E$18="",9E+99,$E$18)),0))))</f>
        <v/>
      </c>
      <c r="P194" s="20">
        <f>IF(L194="","",IF(OR($D$19="",$H$19="X",L194&lt;N($C$19)),0,IF(B194="G마켓",ROUNDDOWN(MIN(L194*$D$19,IF($E$19="",9E+99,$E$19)),0),ROUNDUP(MIN(L194*$D$19,IF($E$19="",9E+99,$E$19)),0))))</f>
        <v/>
      </c>
      <c r="Q194" s="19">
        <f>IF(G194="","",L194-MAX(M194:P194))</f>
        <v/>
      </c>
      <c r="R194" s="20">
        <f>IF(Q194="","",IF(OR($D$23="",Q194&lt;N($C$23)),0,IF(B194="G마켓",ROUNDDOWN(MIN(Q194*$D$23,IF($E$23="",9E+99,$E$23)),0),ROUNDUP(MIN(Q194*$D$23,IF($E$23="",9E+99,$E$23)),0))))</f>
        <v/>
      </c>
      <c r="S194" s="20">
        <f>IF(Q194="","",IF(OR($D$24="",Q194&lt;N($C$24)),0,IF(B194="G마켓",ROUNDDOWN(MIN(Q194*$D$24,IF($E$24="",9E+99,$E$24)),0),ROUNDUP(MIN(Q194*$D$24,IF($E$24="",9E+99,$E$24)),0))))</f>
        <v/>
      </c>
      <c r="T194" s="20">
        <f>IF(Q194="","",IF(OR($D$25="",Q194&lt;N($C$25)),0,IF(B194="G마켓",ROUNDDOWN(MIN(Q194*$D$25,IF($E$25="",9E+99,$E$25)),0),ROUNDUP(MIN(Q194*$D$25,IF($E$25="",9E+99,$E$25)),0))))</f>
        <v/>
      </c>
      <c r="U194" s="19">
        <f>IF(G194="","",MAX(R194:T194))</f>
        <v/>
      </c>
      <c r="V194" s="21">
        <f>IF(G194="","",Q194-U194)</f>
        <v/>
      </c>
      <c r="W194" s="19">
        <f>IF(G194="","",IF(B194="G마켓",ROUNDDOWN(MAX(I194*N($G$10),J194*N($G$11),K194*N($G$12))+MAX(M194*N($G$16),N194*N($G$17),O194*N($G$18),P194*N($G$19))+MAX(R194*N($G$23),S194*N($G$24),T194*N($G$25)),0),ROUNDUP(MAX(I194*N($G$10),J194*N($G$11),K194*N($G$12))+MAX(M194*N($G$16),N194*N($G$17),O194*N($G$18),P194*N($G$19))+MAX(R194*N($G$23),S194*N($G$24),T194*N($G$25)),0)))</f>
        <v/>
      </c>
      <c r="X194" s="21">
        <f>IF(G194="","",IF(B194="G마켓",ROUNDDOWN(G194-G194*$Q$6-W194,0),ROUNDUP(G194-G194*$Q$6-W194,0)))</f>
        <v/>
      </c>
    </row>
    <row r="195">
      <c r="B195" s="7" t="n"/>
      <c r="C195" s="7" t="n"/>
      <c r="D195" s="22" t="n"/>
      <c r="E195" s="23" t="n"/>
      <c r="F195" s="23" t="n"/>
      <c r="G195" s="19">
        <f>IF(E195="","",E195-N(F195))</f>
        <v/>
      </c>
      <c r="I195" s="20">
        <f>IF(G195="","",IF(OR($D$10="",$H$10="X",G195&lt;N($C$10)),0,IF(B195="G마켓",ROUNDDOWN(MIN(G195*$D$10,IF($E$10="",9E+99,$E$10)),0),ROUNDUP(MIN(G195*$D$10,IF($E$10="",9E+99,$E$10)),0))))</f>
        <v/>
      </c>
      <c r="J195" s="20">
        <f>IF(G195="","",IF(OR($D$11="",$H$11="X",G195&lt;N($C$11)),0,IF(B195="G마켓",ROUNDDOWN(MIN(G195*$D$11,IF($E$11="",9E+99,$E$11)),0),ROUNDUP(MIN(G195*$D$11,IF($E$11="",9E+99,$E$11)),0))))</f>
        <v/>
      </c>
      <c r="K195" s="20">
        <f>IF(G195="","",IF(OR($D$12="",$H$12="X",G195&lt;N($C$12)),0,IF(B195="G마켓",ROUNDDOWN(MIN(G195*$D$12,IF($E$12="",9E+99,$E$12)),0),ROUNDUP(MIN(G195*$D$12,IF($E$12="",9E+99,$E$12)),0))))</f>
        <v/>
      </c>
      <c r="L195" s="19">
        <f>IF(G195="","",G195-MAX(I195:K195))</f>
        <v/>
      </c>
      <c r="M195" s="20">
        <f>IF(L195="","",IF(OR($D$16="",$H$16="X",L195&lt;N($C$16)),0,IF(B195="G마켓",ROUNDDOWN(MIN(L195*$D$16,IF($E$16="",9E+99,$E$16)),0),ROUNDUP(MIN(L195*$D$16,IF($E$16="",9E+99,$E$16)),0))))</f>
        <v/>
      </c>
      <c r="N195" s="20">
        <f>IF(L195="","",IF(OR($D$17="",$H$17="X",L195&lt;N($C$17)),0,IF(B195="G마켓",ROUNDDOWN(MIN(L195*$D$17,IF($E$17="",9E+99,$E$17)),0),ROUNDUP(MIN(L195*$D$17,IF($E$17="",9E+99,$E$17)),0))))</f>
        <v/>
      </c>
      <c r="O195" s="20">
        <f>IF(L195="","",IF(OR($D$18="",$H$18="X",L195&lt;N($C$18)),0,IF(B195="G마켓",ROUNDDOWN(MIN(L195*$D$18,IF($E$18="",9E+99,$E$18)),0),ROUNDUP(MIN(L195*$D$18,IF($E$18="",9E+99,$E$18)),0))))</f>
        <v/>
      </c>
      <c r="P195" s="20">
        <f>IF(L195="","",IF(OR($D$19="",$H$19="X",L195&lt;N($C$19)),0,IF(B195="G마켓",ROUNDDOWN(MIN(L195*$D$19,IF($E$19="",9E+99,$E$19)),0),ROUNDUP(MIN(L195*$D$19,IF($E$19="",9E+99,$E$19)),0))))</f>
        <v/>
      </c>
      <c r="Q195" s="19">
        <f>IF(G195="","",L195-MAX(M195:P195))</f>
        <v/>
      </c>
      <c r="R195" s="20">
        <f>IF(Q195="","",IF(OR($D$23="",Q195&lt;N($C$23)),0,IF(B195="G마켓",ROUNDDOWN(MIN(Q195*$D$23,IF($E$23="",9E+99,$E$23)),0),ROUNDUP(MIN(Q195*$D$23,IF($E$23="",9E+99,$E$23)),0))))</f>
        <v/>
      </c>
      <c r="S195" s="20">
        <f>IF(Q195="","",IF(OR($D$24="",Q195&lt;N($C$24)),0,IF(B195="G마켓",ROUNDDOWN(MIN(Q195*$D$24,IF($E$24="",9E+99,$E$24)),0),ROUNDUP(MIN(Q195*$D$24,IF($E$24="",9E+99,$E$24)),0))))</f>
        <v/>
      </c>
      <c r="T195" s="20">
        <f>IF(Q195="","",IF(OR($D$25="",Q195&lt;N($C$25)),0,IF(B195="G마켓",ROUNDDOWN(MIN(Q195*$D$25,IF($E$25="",9E+99,$E$25)),0),ROUNDUP(MIN(Q195*$D$25,IF($E$25="",9E+99,$E$25)),0))))</f>
        <v/>
      </c>
      <c r="U195" s="19">
        <f>IF(G195="","",MAX(R195:T195))</f>
        <v/>
      </c>
      <c r="V195" s="21">
        <f>IF(G195="","",Q195-U195)</f>
        <v/>
      </c>
      <c r="W195" s="19">
        <f>IF(G195="","",IF(B195="G마켓",ROUNDDOWN(MAX(I195*N($G$10),J195*N($G$11),K195*N($G$12))+MAX(M195*N($G$16),N195*N($G$17),O195*N($G$18),P195*N($G$19))+MAX(R195*N($G$23),S195*N($G$24),T195*N($G$25)),0),ROUNDUP(MAX(I195*N($G$10),J195*N($G$11),K195*N($G$12))+MAX(M195*N($G$16),N195*N($G$17),O195*N($G$18),P195*N($G$19))+MAX(R195*N($G$23),S195*N($G$24),T195*N($G$25)),0)))</f>
        <v/>
      </c>
      <c r="X195" s="21">
        <f>IF(G195="","",IF(B195="G마켓",ROUNDDOWN(G195-G195*$Q$6-W195,0),ROUNDUP(G195-G195*$Q$6-W195,0)))</f>
        <v/>
      </c>
    </row>
    <row r="196">
      <c r="B196" s="7" t="n"/>
      <c r="C196" s="7" t="n"/>
      <c r="D196" s="22" t="n"/>
      <c r="E196" s="23" t="n"/>
      <c r="F196" s="23" t="n"/>
      <c r="G196" s="19">
        <f>IF(E196="","",E196-N(F196))</f>
        <v/>
      </c>
      <c r="I196" s="20">
        <f>IF(G196="","",IF(OR($D$10="",$H$10="X",G196&lt;N($C$10)),0,IF(B196="G마켓",ROUNDDOWN(MIN(G196*$D$10,IF($E$10="",9E+99,$E$10)),0),ROUNDUP(MIN(G196*$D$10,IF($E$10="",9E+99,$E$10)),0))))</f>
        <v/>
      </c>
      <c r="J196" s="20">
        <f>IF(G196="","",IF(OR($D$11="",$H$11="X",G196&lt;N($C$11)),0,IF(B196="G마켓",ROUNDDOWN(MIN(G196*$D$11,IF($E$11="",9E+99,$E$11)),0),ROUNDUP(MIN(G196*$D$11,IF($E$11="",9E+99,$E$11)),0))))</f>
        <v/>
      </c>
      <c r="K196" s="20">
        <f>IF(G196="","",IF(OR($D$12="",$H$12="X",G196&lt;N($C$12)),0,IF(B196="G마켓",ROUNDDOWN(MIN(G196*$D$12,IF($E$12="",9E+99,$E$12)),0),ROUNDUP(MIN(G196*$D$12,IF($E$12="",9E+99,$E$12)),0))))</f>
        <v/>
      </c>
      <c r="L196" s="19">
        <f>IF(G196="","",G196-MAX(I196:K196))</f>
        <v/>
      </c>
      <c r="M196" s="20">
        <f>IF(L196="","",IF(OR($D$16="",$H$16="X",L196&lt;N($C$16)),0,IF(B196="G마켓",ROUNDDOWN(MIN(L196*$D$16,IF($E$16="",9E+99,$E$16)),0),ROUNDUP(MIN(L196*$D$16,IF($E$16="",9E+99,$E$16)),0))))</f>
        <v/>
      </c>
      <c r="N196" s="20">
        <f>IF(L196="","",IF(OR($D$17="",$H$17="X",L196&lt;N($C$17)),0,IF(B196="G마켓",ROUNDDOWN(MIN(L196*$D$17,IF($E$17="",9E+99,$E$17)),0),ROUNDUP(MIN(L196*$D$17,IF($E$17="",9E+99,$E$17)),0))))</f>
        <v/>
      </c>
      <c r="O196" s="20">
        <f>IF(L196="","",IF(OR($D$18="",$H$18="X",L196&lt;N($C$18)),0,IF(B196="G마켓",ROUNDDOWN(MIN(L196*$D$18,IF($E$18="",9E+99,$E$18)),0),ROUNDUP(MIN(L196*$D$18,IF($E$18="",9E+99,$E$18)),0))))</f>
        <v/>
      </c>
      <c r="P196" s="20">
        <f>IF(L196="","",IF(OR($D$19="",$H$19="X",L196&lt;N($C$19)),0,IF(B196="G마켓",ROUNDDOWN(MIN(L196*$D$19,IF($E$19="",9E+99,$E$19)),0),ROUNDUP(MIN(L196*$D$19,IF($E$19="",9E+99,$E$19)),0))))</f>
        <v/>
      </c>
      <c r="Q196" s="19">
        <f>IF(G196="","",L196-MAX(M196:P196))</f>
        <v/>
      </c>
      <c r="R196" s="20">
        <f>IF(Q196="","",IF(OR($D$23="",Q196&lt;N($C$23)),0,IF(B196="G마켓",ROUNDDOWN(MIN(Q196*$D$23,IF($E$23="",9E+99,$E$23)),0),ROUNDUP(MIN(Q196*$D$23,IF($E$23="",9E+99,$E$23)),0))))</f>
        <v/>
      </c>
      <c r="S196" s="20">
        <f>IF(Q196="","",IF(OR($D$24="",Q196&lt;N($C$24)),0,IF(B196="G마켓",ROUNDDOWN(MIN(Q196*$D$24,IF($E$24="",9E+99,$E$24)),0),ROUNDUP(MIN(Q196*$D$24,IF($E$24="",9E+99,$E$24)),0))))</f>
        <v/>
      </c>
      <c r="T196" s="20">
        <f>IF(Q196="","",IF(OR($D$25="",Q196&lt;N($C$25)),0,IF(B196="G마켓",ROUNDDOWN(MIN(Q196*$D$25,IF($E$25="",9E+99,$E$25)),0),ROUNDUP(MIN(Q196*$D$25,IF($E$25="",9E+99,$E$25)),0))))</f>
        <v/>
      </c>
      <c r="U196" s="19">
        <f>IF(G196="","",MAX(R196:T196))</f>
        <v/>
      </c>
      <c r="V196" s="21">
        <f>IF(G196="","",Q196-U196)</f>
        <v/>
      </c>
      <c r="W196" s="19">
        <f>IF(G196="","",IF(B196="G마켓",ROUNDDOWN(MAX(I196*N($G$10),J196*N($G$11),K196*N($G$12))+MAX(M196*N($G$16),N196*N($G$17),O196*N($G$18),P196*N($G$19))+MAX(R196*N($G$23),S196*N($G$24),T196*N($G$25)),0),ROUNDUP(MAX(I196*N($G$10),J196*N($G$11),K196*N($G$12))+MAX(M196*N($G$16),N196*N($G$17),O196*N($G$18),P196*N($G$19))+MAX(R196*N($G$23),S196*N($G$24),T196*N($G$25)),0)))</f>
        <v/>
      </c>
      <c r="X196" s="21">
        <f>IF(G196="","",IF(B196="G마켓",ROUNDDOWN(G196-G196*$Q$6-W196,0),ROUNDUP(G196-G196*$Q$6-W196,0)))</f>
        <v/>
      </c>
    </row>
    <row r="197">
      <c r="B197" s="7" t="n"/>
      <c r="C197" s="7" t="n"/>
      <c r="D197" s="22" t="n"/>
      <c r="E197" s="23" t="n"/>
      <c r="F197" s="23" t="n"/>
      <c r="G197" s="19">
        <f>IF(E197="","",E197-N(F197))</f>
        <v/>
      </c>
      <c r="I197" s="20">
        <f>IF(G197="","",IF(OR($D$10="",$H$10="X",G197&lt;N($C$10)),0,IF(B197="G마켓",ROUNDDOWN(MIN(G197*$D$10,IF($E$10="",9E+99,$E$10)),0),ROUNDUP(MIN(G197*$D$10,IF($E$10="",9E+99,$E$10)),0))))</f>
        <v/>
      </c>
      <c r="J197" s="20">
        <f>IF(G197="","",IF(OR($D$11="",$H$11="X",G197&lt;N($C$11)),0,IF(B197="G마켓",ROUNDDOWN(MIN(G197*$D$11,IF($E$11="",9E+99,$E$11)),0),ROUNDUP(MIN(G197*$D$11,IF($E$11="",9E+99,$E$11)),0))))</f>
        <v/>
      </c>
      <c r="K197" s="20">
        <f>IF(G197="","",IF(OR($D$12="",$H$12="X",G197&lt;N($C$12)),0,IF(B197="G마켓",ROUNDDOWN(MIN(G197*$D$12,IF($E$12="",9E+99,$E$12)),0),ROUNDUP(MIN(G197*$D$12,IF($E$12="",9E+99,$E$12)),0))))</f>
        <v/>
      </c>
      <c r="L197" s="19">
        <f>IF(G197="","",G197-MAX(I197:K197))</f>
        <v/>
      </c>
      <c r="M197" s="20">
        <f>IF(L197="","",IF(OR($D$16="",$H$16="X",L197&lt;N($C$16)),0,IF(B197="G마켓",ROUNDDOWN(MIN(L197*$D$16,IF($E$16="",9E+99,$E$16)),0),ROUNDUP(MIN(L197*$D$16,IF($E$16="",9E+99,$E$16)),0))))</f>
        <v/>
      </c>
      <c r="N197" s="20">
        <f>IF(L197="","",IF(OR($D$17="",$H$17="X",L197&lt;N($C$17)),0,IF(B197="G마켓",ROUNDDOWN(MIN(L197*$D$17,IF($E$17="",9E+99,$E$17)),0),ROUNDUP(MIN(L197*$D$17,IF($E$17="",9E+99,$E$17)),0))))</f>
        <v/>
      </c>
      <c r="O197" s="20">
        <f>IF(L197="","",IF(OR($D$18="",$H$18="X",L197&lt;N($C$18)),0,IF(B197="G마켓",ROUNDDOWN(MIN(L197*$D$18,IF($E$18="",9E+99,$E$18)),0),ROUNDUP(MIN(L197*$D$18,IF($E$18="",9E+99,$E$18)),0))))</f>
        <v/>
      </c>
      <c r="P197" s="20">
        <f>IF(L197="","",IF(OR($D$19="",$H$19="X",L197&lt;N($C$19)),0,IF(B197="G마켓",ROUNDDOWN(MIN(L197*$D$19,IF($E$19="",9E+99,$E$19)),0),ROUNDUP(MIN(L197*$D$19,IF($E$19="",9E+99,$E$19)),0))))</f>
        <v/>
      </c>
      <c r="Q197" s="19">
        <f>IF(G197="","",L197-MAX(M197:P197))</f>
        <v/>
      </c>
      <c r="R197" s="20">
        <f>IF(Q197="","",IF(OR($D$23="",Q197&lt;N($C$23)),0,IF(B197="G마켓",ROUNDDOWN(MIN(Q197*$D$23,IF($E$23="",9E+99,$E$23)),0),ROUNDUP(MIN(Q197*$D$23,IF($E$23="",9E+99,$E$23)),0))))</f>
        <v/>
      </c>
      <c r="S197" s="20">
        <f>IF(Q197="","",IF(OR($D$24="",Q197&lt;N($C$24)),0,IF(B197="G마켓",ROUNDDOWN(MIN(Q197*$D$24,IF($E$24="",9E+99,$E$24)),0),ROUNDUP(MIN(Q197*$D$24,IF($E$24="",9E+99,$E$24)),0))))</f>
        <v/>
      </c>
      <c r="T197" s="20">
        <f>IF(Q197="","",IF(OR($D$25="",Q197&lt;N($C$25)),0,IF(B197="G마켓",ROUNDDOWN(MIN(Q197*$D$25,IF($E$25="",9E+99,$E$25)),0),ROUNDUP(MIN(Q197*$D$25,IF($E$25="",9E+99,$E$25)),0))))</f>
        <v/>
      </c>
      <c r="U197" s="19">
        <f>IF(G197="","",MAX(R197:T197))</f>
        <v/>
      </c>
      <c r="V197" s="21">
        <f>IF(G197="","",Q197-U197)</f>
        <v/>
      </c>
      <c r="W197" s="19">
        <f>IF(G197="","",IF(B197="G마켓",ROUNDDOWN(MAX(I197*N($G$10),J197*N($G$11),K197*N($G$12))+MAX(M197*N($G$16),N197*N($G$17),O197*N($G$18),P197*N($G$19))+MAX(R197*N($G$23),S197*N($G$24),T197*N($G$25)),0),ROUNDUP(MAX(I197*N($G$10),J197*N($G$11),K197*N($G$12))+MAX(M197*N($G$16),N197*N($G$17),O197*N($G$18),P197*N($G$19))+MAX(R197*N($G$23),S197*N($G$24),T197*N($G$25)),0)))</f>
        <v/>
      </c>
      <c r="X197" s="21">
        <f>IF(G197="","",IF(B197="G마켓",ROUNDDOWN(G197-G197*$Q$6-W197,0),ROUNDUP(G197-G197*$Q$6-W197,0)))</f>
        <v/>
      </c>
    </row>
    <row r="198">
      <c r="B198" s="7" t="n"/>
      <c r="C198" s="7" t="n"/>
      <c r="D198" s="22" t="n"/>
      <c r="E198" s="23" t="n"/>
      <c r="F198" s="23" t="n"/>
      <c r="G198" s="19">
        <f>IF(E198="","",E198-N(F198))</f>
        <v/>
      </c>
      <c r="I198" s="20">
        <f>IF(G198="","",IF(OR($D$10="",$H$10="X",G198&lt;N($C$10)),0,IF(B198="G마켓",ROUNDDOWN(MIN(G198*$D$10,IF($E$10="",9E+99,$E$10)),0),ROUNDUP(MIN(G198*$D$10,IF($E$10="",9E+99,$E$10)),0))))</f>
        <v/>
      </c>
      <c r="J198" s="20">
        <f>IF(G198="","",IF(OR($D$11="",$H$11="X",G198&lt;N($C$11)),0,IF(B198="G마켓",ROUNDDOWN(MIN(G198*$D$11,IF($E$11="",9E+99,$E$11)),0),ROUNDUP(MIN(G198*$D$11,IF($E$11="",9E+99,$E$11)),0))))</f>
        <v/>
      </c>
      <c r="K198" s="20">
        <f>IF(G198="","",IF(OR($D$12="",$H$12="X",G198&lt;N($C$12)),0,IF(B198="G마켓",ROUNDDOWN(MIN(G198*$D$12,IF($E$12="",9E+99,$E$12)),0),ROUNDUP(MIN(G198*$D$12,IF($E$12="",9E+99,$E$12)),0))))</f>
        <v/>
      </c>
      <c r="L198" s="19">
        <f>IF(G198="","",G198-MAX(I198:K198))</f>
        <v/>
      </c>
      <c r="M198" s="20">
        <f>IF(L198="","",IF(OR($D$16="",$H$16="X",L198&lt;N($C$16)),0,IF(B198="G마켓",ROUNDDOWN(MIN(L198*$D$16,IF($E$16="",9E+99,$E$16)),0),ROUNDUP(MIN(L198*$D$16,IF($E$16="",9E+99,$E$16)),0))))</f>
        <v/>
      </c>
      <c r="N198" s="20">
        <f>IF(L198="","",IF(OR($D$17="",$H$17="X",L198&lt;N($C$17)),0,IF(B198="G마켓",ROUNDDOWN(MIN(L198*$D$17,IF($E$17="",9E+99,$E$17)),0),ROUNDUP(MIN(L198*$D$17,IF($E$17="",9E+99,$E$17)),0))))</f>
        <v/>
      </c>
      <c r="O198" s="20">
        <f>IF(L198="","",IF(OR($D$18="",$H$18="X",L198&lt;N($C$18)),0,IF(B198="G마켓",ROUNDDOWN(MIN(L198*$D$18,IF($E$18="",9E+99,$E$18)),0),ROUNDUP(MIN(L198*$D$18,IF($E$18="",9E+99,$E$18)),0))))</f>
        <v/>
      </c>
      <c r="P198" s="20">
        <f>IF(L198="","",IF(OR($D$19="",$H$19="X",L198&lt;N($C$19)),0,IF(B198="G마켓",ROUNDDOWN(MIN(L198*$D$19,IF($E$19="",9E+99,$E$19)),0),ROUNDUP(MIN(L198*$D$19,IF($E$19="",9E+99,$E$19)),0))))</f>
        <v/>
      </c>
      <c r="Q198" s="19">
        <f>IF(G198="","",L198-MAX(M198:P198))</f>
        <v/>
      </c>
      <c r="R198" s="20">
        <f>IF(Q198="","",IF(OR($D$23="",Q198&lt;N($C$23)),0,IF(B198="G마켓",ROUNDDOWN(MIN(Q198*$D$23,IF($E$23="",9E+99,$E$23)),0),ROUNDUP(MIN(Q198*$D$23,IF($E$23="",9E+99,$E$23)),0))))</f>
        <v/>
      </c>
      <c r="S198" s="20">
        <f>IF(Q198="","",IF(OR($D$24="",Q198&lt;N($C$24)),0,IF(B198="G마켓",ROUNDDOWN(MIN(Q198*$D$24,IF($E$24="",9E+99,$E$24)),0),ROUNDUP(MIN(Q198*$D$24,IF($E$24="",9E+99,$E$24)),0))))</f>
        <v/>
      </c>
      <c r="T198" s="20">
        <f>IF(Q198="","",IF(OR($D$25="",Q198&lt;N($C$25)),0,IF(B198="G마켓",ROUNDDOWN(MIN(Q198*$D$25,IF($E$25="",9E+99,$E$25)),0),ROUNDUP(MIN(Q198*$D$25,IF($E$25="",9E+99,$E$25)),0))))</f>
        <v/>
      </c>
      <c r="U198" s="19">
        <f>IF(G198="","",MAX(R198:T198))</f>
        <v/>
      </c>
      <c r="V198" s="21">
        <f>IF(G198="","",Q198-U198)</f>
        <v/>
      </c>
      <c r="W198" s="19">
        <f>IF(G198="","",IF(B198="G마켓",ROUNDDOWN(MAX(I198*N($G$10),J198*N($G$11),K198*N($G$12))+MAX(M198*N($G$16),N198*N($G$17),O198*N($G$18),P198*N($G$19))+MAX(R198*N($G$23),S198*N($G$24),T198*N($G$25)),0),ROUNDUP(MAX(I198*N($G$10),J198*N($G$11),K198*N($G$12))+MAX(M198*N($G$16),N198*N($G$17),O198*N($G$18),P198*N($G$19))+MAX(R198*N($G$23),S198*N($G$24),T198*N($G$25)),0)))</f>
        <v/>
      </c>
      <c r="X198" s="21">
        <f>IF(G198="","",IF(B198="G마켓",ROUNDDOWN(G198-G198*$Q$6-W198,0),ROUNDUP(G198-G198*$Q$6-W198,0)))</f>
        <v/>
      </c>
    </row>
    <row r="199">
      <c r="B199" s="7" t="n"/>
      <c r="C199" s="7" t="n"/>
      <c r="D199" s="22" t="n"/>
      <c r="E199" s="23" t="n"/>
      <c r="F199" s="23" t="n"/>
      <c r="G199" s="19">
        <f>IF(E199="","",E199-N(F199))</f>
        <v/>
      </c>
      <c r="I199" s="20">
        <f>IF(G199="","",IF(OR($D$10="",$H$10="X",G199&lt;N($C$10)),0,IF(B199="G마켓",ROUNDDOWN(MIN(G199*$D$10,IF($E$10="",9E+99,$E$10)),0),ROUNDUP(MIN(G199*$D$10,IF($E$10="",9E+99,$E$10)),0))))</f>
        <v/>
      </c>
      <c r="J199" s="20">
        <f>IF(G199="","",IF(OR($D$11="",$H$11="X",G199&lt;N($C$11)),0,IF(B199="G마켓",ROUNDDOWN(MIN(G199*$D$11,IF($E$11="",9E+99,$E$11)),0),ROUNDUP(MIN(G199*$D$11,IF($E$11="",9E+99,$E$11)),0))))</f>
        <v/>
      </c>
      <c r="K199" s="20">
        <f>IF(G199="","",IF(OR($D$12="",$H$12="X",G199&lt;N($C$12)),0,IF(B199="G마켓",ROUNDDOWN(MIN(G199*$D$12,IF($E$12="",9E+99,$E$12)),0),ROUNDUP(MIN(G199*$D$12,IF($E$12="",9E+99,$E$12)),0))))</f>
        <v/>
      </c>
      <c r="L199" s="19">
        <f>IF(G199="","",G199-MAX(I199:K199))</f>
        <v/>
      </c>
      <c r="M199" s="20">
        <f>IF(L199="","",IF(OR($D$16="",$H$16="X",L199&lt;N($C$16)),0,IF(B199="G마켓",ROUNDDOWN(MIN(L199*$D$16,IF($E$16="",9E+99,$E$16)),0),ROUNDUP(MIN(L199*$D$16,IF($E$16="",9E+99,$E$16)),0))))</f>
        <v/>
      </c>
      <c r="N199" s="20">
        <f>IF(L199="","",IF(OR($D$17="",$H$17="X",L199&lt;N($C$17)),0,IF(B199="G마켓",ROUNDDOWN(MIN(L199*$D$17,IF($E$17="",9E+99,$E$17)),0),ROUNDUP(MIN(L199*$D$17,IF($E$17="",9E+99,$E$17)),0))))</f>
        <v/>
      </c>
      <c r="O199" s="20">
        <f>IF(L199="","",IF(OR($D$18="",$H$18="X",L199&lt;N($C$18)),0,IF(B199="G마켓",ROUNDDOWN(MIN(L199*$D$18,IF($E$18="",9E+99,$E$18)),0),ROUNDUP(MIN(L199*$D$18,IF($E$18="",9E+99,$E$18)),0))))</f>
        <v/>
      </c>
      <c r="P199" s="20">
        <f>IF(L199="","",IF(OR($D$19="",$H$19="X",L199&lt;N($C$19)),0,IF(B199="G마켓",ROUNDDOWN(MIN(L199*$D$19,IF($E$19="",9E+99,$E$19)),0),ROUNDUP(MIN(L199*$D$19,IF($E$19="",9E+99,$E$19)),0))))</f>
        <v/>
      </c>
      <c r="Q199" s="19">
        <f>IF(G199="","",L199-MAX(M199:P199))</f>
        <v/>
      </c>
      <c r="R199" s="20">
        <f>IF(Q199="","",IF(OR($D$23="",Q199&lt;N($C$23)),0,IF(B199="G마켓",ROUNDDOWN(MIN(Q199*$D$23,IF($E$23="",9E+99,$E$23)),0),ROUNDUP(MIN(Q199*$D$23,IF($E$23="",9E+99,$E$23)),0))))</f>
        <v/>
      </c>
      <c r="S199" s="20">
        <f>IF(Q199="","",IF(OR($D$24="",Q199&lt;N($C$24)),0,IF(B199="G마켓",ROUNDDOWN(MIN(Q199*$D$24,IF($E$24="",9E+99,$E$24)),0),ROUNDUP(MIN(Q199*$D$24,IF($E$24="",9E+99,$E$24)),0))))</f>
        <v/>
      </c>
      <c r="T199" s="20">
        <f>IF(Q199="","",IF(OR($D$25="",Q199&lt;N($C$25)),0,IF(B199="G마켓",ROUNDDOWN(MIN(Q199*$D$25,IF($E$25="",9E+99,$E$25)),0),ROUNDUP(MIN(Q199*$D$25,IF($E$25="",9E+99,$E$25)),0))))</f>
        <v/>
      </c>
      <c r="U199" s="19">
        <f>IF(G199="","",MAX(R199:T199))</f>
        <v/>
      </c>
      <c r="V199" s="21">
        <f>IF(G199="","",Q199-U199)</f>
        <v/>
      </c>
      <c r="W199" s="19">
        <f>IF(G199="","",IF(B199="G마켓",ROUNDDOWN(MAX(I199*N($G$10),J199*N($G$11),K199*N($G$12))+MAX(M199*N($G$16),N199*N($G$17),O199*N($G$18),P199*N($G$19))+MAX(R199*N($G$23),S199*N($G$24),T199*N($G$25)),0),ROUNDUP(MAX(I199*N($G$10),J199*N($G$11),K199*N($G$12))+MAX(M199*N($G$16),N199*N($G$17),O199*N($G$18),P199*N($G$19))+MAX(R199*N($G$23),S199*N($G$24),T199*N($G$25)),0)))</f>
        <v/>
      </c>
      <c r="X199" s="21">
        <f>IF(G199="","",IF(B199="G마켓",ROUNDDOWN(G199-G199*$Q$6-W199,0),ROUNDUP(G199-G199*$Q$6-W199,0)))</f>
        <v/>
      </c>
    </row>
    <row r="200">
      <c r="B200" s="7" t="n"/>
      <c r="C200" s="7" t="n"/>
      <c r="D200" s="22" t="n"/>
      <c r="E200" s="23" t="n"/>
      <c r="F200" s="23" t="n"/>
      <c r="G200" s="19">
        <f>IF(E200="","",E200-N(F200))</f>
        <v/>
      </c>
      <c r="I200" s="20">
        <f>IF(G200="","",IF(OR($D$10="",$H$10="X",G200&lt;N($C$10)),0,IF(B200="G마켓",ROUNDDOWN(MIN(G200*$D$10,IF($E$10="",9E+99,$E$10)),0),ROUNDUP(MIN(G200*$D$10,IF($E$10="",9E+99,$E$10)),0))))</f>
        <v/>
      </c>
      <c r="J200" s="20">
        <f>IF(G200="","",IF(OR($D$11="",$H$11="X",G200&lt;N($C$11)),0,IF(B200="G마켓",ROUNDDOWN(MIN(G200*$D$11,IF($E$11="",9E+99,$E$11)),0),ROUNDUP(MIN(G200*$D$11,IF($E$11="",9E+99,$E$11)),0))))</f>
        <v/>
      </c>
      <c r="K200" s="20">
        <f>IF(G200="","",IF(OR($D$12="",$H$12="X",G200&lt;N($C$12)),0,IF(B200="G마켓",ROUNDDOWN(MIN(G200*$D$12,IF($E$12="",9E+99,$E$12)),0),ROUNDUP(MIN(G200*$D$12,IF($E$12="",9E+99,$E$12)),0))))</f>
        <v/>
      </c>
      <c r="L200" s="19">
        <f>IF(G200="","",G200-MAX(I200:K200))</f>
        <v/>
      </c>
      <c r="M200" s="20">
        <f>IF(L200="","",IF(OR($D$16="",$H$16="X",L200&lt;N($C$16)),0,IF(B200="G마켓",ROUNDDOWN(MIN(L200*$D$16,IF($E$16="",9E+99,$E$16)),0),ROUNDUP(MIN(L200*$D$16,IF($E$16="",9E+99,$E$16)),0))))</f>
        <v/>
      </c>
      <c r="N200" s="20">
        <f>IF(L200="","",IF(OR($D$17="",$H$17="X",L200&lt;N($C$17)),0,IF(B200="G마켓",ROUNDDOWN(MIN(L200*$D$17,IF($E$17="",9E+99,$E$17)),0),ROUNDUP(MIN(L200*$D$17,IF($E$17="",9E+99,$E$17)),0))))</f>
        <v/>
      </c>
      <c r="O200" s="20">
        <f>IF(L200="","",IF(OR($D$18="",$H$18="X",L200&lt;N($C$18)),0,IF(B200="G마켓",ROUNDDOWN(MIN(L200*$D$18,IF($E$18="",9E+99,$E$18)),0),ROUNDUP(MIN(L200*$D$18,IF($E$18="",9E+99,$E$18)),0))))</f>
        <v/>
      </c>
      <c r="P200" s="20">
        <f>IF(L200="","",IF(OR($D$19="",$H$19="X",L200&lt;N($C$19)),0,IF(B200="G마켓",ROUNDDOWN(MIN(L200*$D$19,IF($E$19="",9E+99,$E$19)),0),ROUNDUP(MIN(L200*$D$19,IF($E$19="",9E+99,$E$19)),0))))</f>
        <v/>
      </c>
      <c r="Q200" s="19">
        <f>IF(G200="","",L200-MAX(M200:P200))</f>
        <v/>
      </c>
      <c r="R200" s="20">
        <f>IF(Q200="","",IF(OR($D$23="",Q200&lt;N($C$23)),0,IF(B200="G마켓",ROUNDDOWN(MIN(Q200*$D$23,IF($E$23="",9E+99,$E$23)),0),ROUNDUP(MIN(Q200*$D$23,IF($E$23="",9E+99,$E$23)),0))))</f>
        <v/>
      </c>
      <c r="S200" s="20">
        <f>IF(Q200="","",IF(OR($D$24="",Q200&lt;N($C$24)),0,IF(B200="G마켓",ROUNDDOWN(MIN(Q200*$D$24,IF($E$24="",9E+99,$E$24)),0),ROUNDUP(MIN(Q200*$D$24,IF($E$24="",9E+99,$E$24)),0))))</f>
        <v/>
      </c>
      <c r="T200" s="20">
        <f>IF(Q200="","",IF(OR($D$25="",Q200&lt;N($C$25)),0,IF(B200="G마켓",ROUNDDOWN(MIN(Q200*$D$25,IF($E$25="",9E+99,$E$25)),0),ROUNDUP(MIN(Q200*$D$25,IF($E$25="",9E+99,$E$25)),0))))</f>
        <v/>
      </c>
      <c r="U200" s="19">
        <f>IF(G200="","",MAX(R200:T200))</f>
        <v/>
      </c>
      <c r="V200" s="21">
        <f>IF(G200="","",Q200-U200)</f>
        <v/>
      </c>
      <c r="W200" s="19">
        <f>IF(G200="","",IF(B200="G마켓",ROUNDDOWN(MAX(I200*N($G$10),J200*N($G$11),K200*N($G$12))+MAX(M200*N($G$16),N200*N($G$17),O200*N($G$18),P200*N($G$19))+MAX(R200*N($G$23),S200*N($G$24),T200*N($G$25)),0),ROUNDUP(MAX(I200*N($G$10),J200*N($G$11),K200*N($G$12))+MAX(M200*N($G$16),N200*N($G$17),O200*N($G$18),P200*N($G$19))+MAX(R200*N($G$23),S200*N($G$24),T200*N($G$25)),0)))</f>
        <v/>
      </c>
      <c r="X200" s="21">
        <f>IF(G200="","",IF(B200="G마켓",ROUNDDOWN(G200-G200*$Q$6-W200,0),ROUNDUP(G200-G200*$Q$6-W200,0)))</f>
        <v/>
      </c>
    </row>
    <row r="201">
      <c r="B201" s="7" t="n"/>
      <c r="C201" s="7" t="n"/>
      <c r="D201" s="22" t="n"/>
      <c r="E201" s="23" t="n"/>
      <c r="F201" s="23" t="n"/>
      <c r="G201" s="19">
        <f>IF(E201="","",E201-N(F201))</f>
        <v/>
      </c>
      <c r="I201" s="20">
        <f>IF(G201="","",IF(OR($D$10="",$H$10="X",G201&lt;N($C$10)),0,IF(B201="G마켓",ROUNDDOWN(MIN(G201*$D$10,IF($E$10="",9E+99,$E$10)),0),ROUNDUP(MIN(G201*$D$10,IF($E$10="",9E+99,$E$10)),0))))</f>
        <v/>
      </c>
      <c r="J201" s="20">
        <f>IF(G201="","",IF(OR($D$11="",$H$11="X",G201&lt;N($C$11)),0,IF(B201="G마켓",ROUNDDOWN(MIN(G201*$D$11,IF($E$11="",9E+99,$E$11)),0),ROUNDUP(MIN(G201*$D$11,IF($E$11="",9E+99,$E$11)),0))))</f>
        <v/>
      </c>
      <c r="K201" s="20">
        <f>IF(G201="","",IF(OR($D$12="",$H$12="X",G201&lt;N($C$12)),0,IF(B201="G마켓",ROUNDDOWN(MIN(G201*$D$12,IF($E$12="",9E+99,$E$12)),0),ROUNDUP(MIN(G201*$D$12,IF($E$12="",9E+99,$E$12)),0))))</f>
        <v/>
      </c>
      <c r="L201" s="19">
        <f>IF(G201="","",G201-MAX(I201:K201))</f>
        <v/>
      </c>
      <c r="M201" s="20">
        <f>IF(L201="","",IF(OR($D$16="",$H$16="X",L201&lt;N($C$16)),0,IF(B201="G마켓",ROUNDDOWN(MIN(L201*$D$16,IF($E$16="",9E+99,$E$16)),0),ROUNDUP(MIN(L201*$D$16,IF($E$16="",9E+99,$E$16)),0))))</f>
        <v/>
      </c>
      <c r="N201" s="20">
        <f>IF(L201="","",IF(OR($D$17="",$H$17="X",L201&lt;N($C$17)),0,IF(B201="G마켓",ROUNDDOWN(MIN(L201*$D$17,IF($E$17="",9E+99,$E$17)),0),ROUNDUP(MIN(L201*$D$17,IF($E$17="",9E+99,$E$17)),0))))</f>
        <v/>
      </c>
      <c r="O201" s="20">
        <f>IF(L201="","",IF(OR($D$18="",$H$18="X",L201&lt;N($C$18)),0,IF(B201="G마켓",ROUNDDOWN(MIN(L201*$D$18,IF($E$18="",9E+99,$E$18)),0),ROUNDUP(MIN(L201*$D$18,IF($E$18="",9E+99,$E$18)),0))))</f>
        <v/>
      </c>
      <c r="P201" s="20">
        <f>IF(L201="","",IF(OR($D$19="",$H$19="X",L201&lt;N($C$19)),0,IF(B201="G마켓",ROUNDDOWN(MIN(L201*$D$19,IF($E$19="",9E+99,$E$19)),0),ROUNDUP(MIN(L201*$D$19,IF($E$19="",9E+99,$E$19)),0))))</f>
        <v/>
      </c>
      <c r="Q201" s="19">
        <f>IF(G201="","",L201-MAX(M201:P201))</f>
        <v/>
      </c>
      <c r="R201" s="20">
        <f>IF(Q201="","",IF(OR($D$23="",Q201&lt;N($C$23)),0,IF(B201="G마켓",ROUNDDOWN(MIN(Q201*$D$23,IF($E$23="",9E+99,$E$23)),0),ROUNDUP(MIN(Q201*$D$23,IF($E$23="",9E+99,$E$23)),0))))</f>
        <v/>
      </c>
      <c r="S201" s="20">
        <f>IF(Q201="","",IF(OR($D$24="",Q201&lt;N($C$24)),0,IF(B201="G마켓",ROUNDDOWN(MIN(Q201*$D$24,IF($E$24="",9E+99,$E$24)),0),ROUNDUP(MIN(Q201*$D$24,IF($E$24="",9E+99,$E$24)),0))))</f>
        <v/>
      </c>
      <c r="T201" s="20">
        <f>IF(Q201="","",IF(OR($D$25="",Q201&lt;N($C$25)),0,IF(B201="G마켓",ROUNDDOWN(MIN(Q201*$D$25,IF($E$25="",9E+99,$E$25)),0),ROUNDUP(MIN(Q201*$D$25,IF($E$25="",9E+99,$E$25)),0))))</f>
        <v/>
      </c>
      <c r="U201" s="19">
        <f>IF(G201="","",MAX(R201:T201))</f>
        <v/>
      </c>
      <c r="V201" s="21">
        <f>IF(G201="","",Q201-U201)</f>
        <v/>
      </c>
      <c r="W201" s="19">
        <f>IF(G201="","",IF(B201="G마켓",ROUNDDOWN(MAX(I201*N($G$10),J201*N($G$11),K201*N($G$12))+MAX(M201*N($G$16),N201*N($G$17),O201*N($G$18),P201*N($G$19))+MAX(R201*N($G$23),S201*N($G$24),T201*N($G$25)),0),ROUNDUP(MAX(I201*N($G$10),J201*N($G$11),K201*N($G$12))+MAX(M201*N($G$16),N201*N($G$17),O201*N($G$18),P201*N($G$19))+MAX(R201*N($G$23),S201*N($G$24),T201*N($G$25)),0)))</f>
        <v/>
      </c>
      <c r="X201" s="21">
        <f>IF(G201="","",IF(B201="G마켓",ROUNDDOWN(G201-G201*$Q$6-W201,0),ROUNDUP(G201-G201*$Q$6-W201,0)))</f>
        <v/>
      </c>
    </row>
    <row r="202">
      <c r="B202" s="7" t="n"/>
      <c r="C202" s="7" t="n"/>
      <c r="D202" s="22" t="n"/>
      <c r="E202" s="23" t="n"/>
      <c r="F202" s="23" t="n"/>
      <c r="G202" s="19">
        <f>IF(E202="","",E202-N(F202))</f>
        <v/>
      </c>
      <c r="I202" s="20">
        <f>IF(G202="","",IF(OR($D$10="",$H$10="X",G202&lt;N($C$10)),0,IF(B202="G마켓",ROUNDDOWN(MIN(G202*$D$10,IF($E$10="",9E+99,$E$10)),0),ROUNDUP(MIN(G202*$D$10,IF($E$10="",9E+99,$E$10)),0))))</f>
        <v/>
      </c>
      <c r="J202" s="20">
        <f>IF(G202="","",IF(OR($D$11="",$H$11="X",G202&lt;N($C$11)),0,IF(B202="G마켓",ROUNDDOWN(MIN(G202*$D$11,IF($E$11="",9E+99,$E$11)),0),ROUNDUP(MIN(G202*$D$11,IF($E$11="",9E+99,$E$11)),0))))</f>
        <v/>
      </c>
      <c r="K202" s="20">
        <f>IF(G202="","",IF(OR($D$12="",$H$12="X",G202&lt;N($C$12)),0,IF(B202="G마켓",ROUNDDOWN(MIN(G202*$D$12,IF($E$12="",9E+99,$E$12)),0),ROUNDUP(MIN(G202*$D$12,IF($E$12="",9E+99,$E$12)),0))))</f>
        <v/>
      </c>
      <c r="L202" s="19">
        <f>IF(G202="","",G202-MAX(I202:K202))</f>
        <v/>
      </c>
      <c r="M202" s="20">
        <f>IF(L202="","",IF(OR($D$16="",$H$16="X",L202&lt;N($C$16)),0,IF(B202="G마켓",ROUNDDOWN(MIN(L202*$D$16,IF($E$16="",9E+99,$E$16)),0),ROUNDUP(MIN(L202*$D$16,IF($E$16="",9E+99,$E$16)),0))))</f>
        <v/>
      </c>
      <c r="N202" s="20">
        <f>IF(L202="","",IF(OR($D$17="",$H$17="X",L202&lt;N($C$17)),0,IF(B202="G마켓",ROUNDDOWN(MIN(L202*$D$17,IF($E$17="",9E+99,$E$17)),0),ROUNDUP(MIN(L202*$D$17,IF($E$17="",9E+99,$E$17)),0))))</f>
        <v/>
      </c>
      <c r="O202" s="20">
        <f>IF(L202="","",IF(OR($D$18="",$H$18="X",L202&lt;N($C$18)),0,IF(B202="G마켓",ROUNDDOWN(MIN(L202*$D$18,IF($E$18="",9E+99,$E$18)),0),ROUNDUP(MIN(L202*$D$18,IF($E$18="",9E+99,$E$18)),0))))</f>
        <v/>
      </c>
      <c r="P202" s="20">
        <f>IF(L202="","",IF(OR($D$19="",$H$19="X",L202&lt;N($C$19)),0,IF(B202="G마켓",ROUNDDOWN(MIN(L202*$D$19,IF($E$19="",9E+99,$E$19)),0),ROUNDUP(MIN(L202*$D$19,IF($E$19="",9E+99,$E$19)),0))))</f>
        <v/>
      </c>
      <c r="Q202" s="19">
        <f>IF(G202="","",L202-MAX(M202:P202))</f>
        <v/>
      </c>
      <c r="R202" s="20">
        <f>IF(Q202="","",IF(OR($D$23="",Q202&lt;N($C$23)),0,IF(B202="G마켓",ROUNDDOWN(MIN(Q202*$D$23,IF($E$23="",9E+99,$E$23)),0),ROUNDUP(MIN(Q202*$D$23,IF($E$23="",9E+99,$E$23)),0))))</f>
        <v/>
      </c>
      <c r="S202" s="20">
        <f>IF(Q202="","",IF(OR($D$24="",Q202&lt;N($C$24)),0,IF(B202="G마켓",ROUNDDOWN(MIN(Q202*$D$24,IF($E$24="",9E+99,$E$24)),0),ROUNDUP(MIN(Q202*$D$24,IF($E$24="",9E+99,$E$24)),0))))</f>
        <v/>
      </c>
      <c r="T202" s="20">
        <f>IF(Q202="","",IF(OR($D$25="",Q202&lt;N($C$25)),0,IF(B202="G마켓",ROUNDDOWN(MIN(Q202*$D$25,IF($E$25="",9E+99,$E$25)),0),ROUNDUP(MIN(Q202*$D$25,IF($E$25="",9E+99,$E$25)),0))))</f>
        <v/>
      </c>
      <c r="U202" s="19">
        <f>IF(G202="","",MAX(R202:T202))</f>
        <v/>
      </c>
      <c r="V202" s="21">
        <f>IF(G202="","",Q202-U202)</f>
        <v/>
      </c>
      <c r="W202" s="19">
        <f>IF(G202="","",IF(B202="G마켓",ROUNDDOWN(MAX(I202*N($G$10),J202*N($G$11),K202*N($G$12))+MAX(M202*N($G$16),N202*N($G$17),O202*N($G$18),P202*N($G$19))+MAX(R202*N($G$23),S202*N($G$24),T202*N($G$25)),0),ROUNDUP(MAX(I202*N($G$10),J202*N($G$11),K202*N($G$12))+MAX(M202*N($G$16),N202*N($G$17),O202*N($G$18),P202*N($G$19))+MAX(R202*N($G$23),S202*N($G$24),T202*N($G$25)),0)))</f>
        <v/>
      </c>
      <c r="X202" s="21">
        <f>IF(G202="","",IF(B202="G마켓",ROUNDDOWN(G202-G202*$Q$6-W202,0),ROUNDUP(G202-G202*$Q$6-W202,0)))</f>
        <v/>
      </c>
    </row>
    <row r="203">
      <c r="B203" s="7" t="n"/>
      <c r="C203" s="7" t="n"/>
      <c r="D203" s="22" t="n"/>
      <c r="E203" s="23" t="n"/>
      <c r="F203" s="23" t="n"/>
      <c r="G203" s="19">
        <f>IF(E203="","",E203-N(F203))</f>
        <v/>
      </c>
      <c r="I203" s="20">
        <f>IF(G203="","",IF(OR($D$10="",$H$10="X",G203&lt;N($C$10)),0,IF(B203="G마켓",ROUNDDOWN(MIN(G203*$D$10,IF($E$10="",9E+99,$E$10)),0),ROUNDUP(MIN(G203*$D$10,IF($E$10="",9E+99,$E$10)),0))))</f>
        <v/>
      </c>
      <c r="J203" s="20">
        <f>IF(G203="","",IF(OR($D$11="",$H$11="X",G203&lt;N($C$11)),0,IF(B203="G마켓",ROUNDDOWN(MIN(G203*$D$11,IF($E$11="",9E+99,$E$11)),0),ROUNDUP(MIN(G203*$D$11,IF($E$11="",9E+99,$E$11)),0))))</f>
        <v/>
      </c>
      <c r="K203" s="20">
        <f>IF(G203="","",IF(OR($D$12="",$H$12="X",G203&lt;N($C$12)),0,IF(B203="G마켓",ROUNDDOWN(MIN(G203*$D$12,IF($E$12="",9E+99,$E$12)),0),ROUNDUP(MIN(G203*$D$12,IF($E$12="",9E+99,$E$12)),0))))</f>
        <v/>
      </c>
      <c r="L203" s="19">
        <f>IF(G203="","",G203-MAX(I203:K203))</f>
        <v/>
      </c>
      <c r="M203" s="20">
        <f>IF(L203="","",IF(OR($D$16="",$H$16="X",L203&lt;N($C$16)),0,IF(B203="G마켓",ROUNDDOWN(MIN(L203*$D$16,IF($E$16="",9E+99,$E$16)),0),ROUNDUP(MIN(L203*$D$16,IF($E$16="",9E+99,$E$16)),0))))</f>
        <v/>
      </c>
      <c r="N203" s="20">
        <f>IF(L203="","",IF(OR($D$17="",$H$17="X",L203&lt;N($C$17)),0,IF(B203="G마켓",ROUNDDOWN(MIN(L203*$D$17,IF($E$17="",9E+99,$E$17)),0),ROUNDUP(MIN(L203*$D$17,IF($E$17="",9E+99,$E$17)),0))))</f>
        <v/>
      </c>
      <c r="O203" s="20">
        <f>IF(L203="","",IF(OR($D$18="",$H$18="X",L203&lt;N($C$18)),0,IF(B203="G마켓",ROUNDDOWN(MIN(L203*$D$18,IF($E$18="",9E+99,$E$18)),0),ROUNDUP(MIN(L203*$D$18,IF($E$18="",9E+99,$E$18)),0))))</f>
        <v/>
      </c>
      <c r="P203" s="20">
        <f>IF(L203="","",IF(OR($D$19="",$H$19="X",L203&lt;N($C$19)),0,IF(B203="G마켓",ROUNDDOWN(MIN(L203*$D$19,IF($E$19="",9E+99,$E$19)),0),ROUNDUP(MIN(L203*$D$19,IF($E$19="",9E+99,$E$19)),0))))</f>
        <v/>
      </c>
      <c r="Q203" s="19">
        <f>IF(G203="","",L203-MAX(M203:P203))</f>
        <v/>
      </c>
      <c r="R203" s="20">
        <f>IF(Q203="","",IF(OR($D$23="",Q203&lt;N($C$23)),0,IF(B203="G마켓",ROUNDDOWN(MIN(Q203*$D$23,IF($E$23="",9E+99,$E$23)),0),ROUNDUP(MIN(Q203*$D$23,IF($E$23="",9E+99,$E$23)),0))))</f>
        <v/>
      </c>
      <c r="S203" s="20">
        <f>IF(Q203="","",IF(OR($D$24="",Q203&lt;N($C$24)),0,IF(B203="G마켓",ROUNDDOWN(MIN(Q203*$D$24,IF($E$24="",9E+99,$E$24)),0),ROUNDUP(MIN(Q203*$D$24,IF($E$24="",9E+99,$E$24)),0))))</f>
        <v/>
      </c>
      <c r="T203" s="20">
        <f>IF(Q203="","",IF(OR($D$25="",Q203&lt;N($C$25)),0,IF(B203="G마켓",ROUNDDOWN(MIN(Q203*$D$25,IF($E$25="",9E+99,$E$25)),0),ROUNDUP(MIN(Q203*$D$25,IF($E$25="",9E+99,$E$25)),0))))</f>
        <v/>
      </c>
      <c r="U203" s="19">
        <f>IF(G203="","",MAX(R203:T203))</f>
        <v/>
      </c>
      <c r="V203" s="21">
        <f>IF(G203="","",Q203-U203)</f>
        <v/>
      </c>
      <c r="W203" s="19">
        <f>IF(G203="","",IF(B203="G마켓",ROUNDDOWN(MAX(I203*N($G$10),J203*N($G$11),K203*N($G$12))+MAX(M203*N($G$16),N203*N($G$17),O203*N($G$18),P203*N($G$19))+MAX(R203*N($G$23),S203*N($G$24),T203*N($G$25)),0),ROUNDUP(MAX(I203*N($G$10),J203*N($G$11),K203*N($G$12))+MAX(M203*N($G$16),N203*N($G$17),O203*N($G$18),P203*N($G$19))+MAX(R203*N($G$23),S203*N($G$24),T203*N($G$25)),0)))</f>
        <v/>
      </c>
      <c r="X203" s="21">
        <f>IF(G203="","",IF(B203="G마켓",ROUNDDOWN(G203-G203*$Q$6-W203,0),ROUNDUP(G203-G203*$Q$6-W203,0)))</f>
        <v/>
      </c>
    </row>
    <row r="204">
      <c r="B204" s="7" t="n"/>
      <c r="C204" s="7" t="n"/>
      <c r="D204" s="22" t="n"/>
      <c r="E204" s="23" t="n"/>
      <c r="F204" s="23" t="n"/>
      <c r="G204" s="19">
        <f>IF(E204="","",E204-N(F204))</f>
        <v/>
      </c>
      <c r="I204" s="20">
        <f>IF(G204="","",IF(OR($D$10="",$H$10="X",G204&lt;N($C$10)),0,IF(B204="G마켓",ROUNDDOWN(MIN(G204*$D$10,IF($E$10="",9E+99,$E$10)),0),ROUNDUP(MIN(G204*$D$10,IF($E$10="",9E+99,$E$10)),0))))</f>
        <v/>
      </c>
      <c r="J204" s="20">
        <f>IF(G204="","",IF(OR($D$11="",$H$11="X",G204&lt;N($C$11)),0,IF(B204="G마켓",ROUNDDOWN(MIN(G204*$D$11,IF($E$11="",9E+99,$E$11)),0),ROUNDUP(MIN(G204*$D$11,IF($E$11="",9E+99,$E$11)),0))))</f>
        <v/>
      </c>
      <c r="K204" s="20">
        <f>IF(G204="","",IF(OR($D$12="",$H$12="X",G204&lt;N($C$12)),0,IF(B204="G마켓",ROUNDDOWN(MIN(G204*$D$12,IF($E$12="",9E+99,$E$12)),0),ROUNDUP(MIN(G204*$D$12,IF($E$12="",9E+99,$E$12)),0))))</f>
        <v/>
      </c>
      <c r="L204" s="19">
        <f>IF(G204="","",G204-MAX(I204:K204))</f>
        <v/>
      </c>
      <c r="M204" s="20">
        <f>IF(L204="","",IF(OR($D$16="",$H$16="X",L204&lt;N($C$16)),0,IF(B204="G마켓",ROUNDDOWN(MIN(L204*$D$16,IF($E$16="",9E+99,$E$16)),0),ROUNDUP(MIN(L204*$D$16,IF($E$16="",9E+99,$E$16)),0))))</f>
        <v/>
      </c>
      <c r="N204" s="20">
        <f>IF(L204="","",IF(OR($D$17="",$H$17="X",L204&lt;N($C$17)),0,IF(B204="G마켓",ROUNDDOWN(MIN(L204*$D$17,IF($E$17="",9E+99,$E$17)),0),ROUNDUP(MIN(L204*$D$17,IF($E$17="",9E+99,$E$17)),0))))</f>
        <v/>
      </c>
      <c r="O204" s="20">
        <f>IF(L204="","",IF(OR($D$18="",$H$18="X",L204&lt;N($C$18)),0,IF(B204="G마켓",ROUNDDOWN(MIN(L204*$D$18,IF($E$18="",9E+99,$E$18)),0),ROUNDUP(MIN(L204*$D$18,IF($E$18="",9E+99,$E$18)),0))))</f>
        <v/>
      </c>
      <c r="P204" s="20">
        <f>IF(L204="","",IF(OR($D$19="",$H$19="X",L204&lt;N($C$19)),0,IF(B204="G마켓",ROUNDDOWN(MIN(L204*$D$19,IF($E$19="",9E+99,$E$19)),0),ROUNDUP(MIN(L204*$D$19,IF($E$19="",9E+99,$E$19)),0))))</f>
        <v/>
      </c>
      <c r="Q204" s="19">
        <f>IF(G204="","",L204-MAX(M204:P204))</f>
        <v/>
      </c>
      <c r="R204" s="20">
        <f>IF(Q204="","",IF(OR($D$23="",Q204&lt;N($C$23)),0,IF(B204="G마켓",ROUNDDOWN(MIN(Q204*$D$23,IF($E$23="",9E+99,$E$23)),0),ROUNDUP(MIN(Q204*$D$23,IF($E$23="",9E+99,$E$23)),0))))</f>
        <v/>
      </c>
      <c r="S204" s="20">
        <f>IF(Q204="","",IF(OR($D$24="",Q204&lt;N($C$24)),0,IF(B204="G마켓",ROUNDDOWN(MIN(Q204*$D$24,IF($E$24="",9E+99,$E$24)),0),ROUNDUP(MIN(Q204*$D$24,IF($E$24="",9E+99,$E$24)),0))))</f>
        <v/>
      </c>
      <c r="T204" s="20">
        <f>IF(Q204="","",IF(OR($D$25="",Q204&lt;N($C$25)),0,IF(B204="G마켓",ROUNDDOWN(MIN(Q204*$D$25,IF($E$25="",9E+99,$E$25)),0),ROUNDUP(MIN(Q204*$D$25,IF($E$25="",9E+99,$E$25)),0))))</f>
        <v/>
      </c>
      <c r="U204" s="19">
        <f>IF(G204="","",MAX(R204:T204))</f>
        <v/>
      </c>
      <c r="V204" s="21">
        <f>IF(G204="","",Q204-U204)</f>
        <v/>
      </c>
      <c r="W204" s="19">
        <f>IF(G204="","",IF(B204="G마켓",ROUNDDOWN(MAX(I204*N($G$10),J204*N($G$11),K204*N($G$12))+MAX(M204*N($G$16),N204*N($G$17),O204*N($G$18),P204*N($G$19))+MAX(R204*N($G$23),S204*N($G$24),T204*N($G$25)),0),ROUNDUP(MAX(I204*N($G$10),J204*N($G$11),K204*N($G$12))+MAX(M204*N($G$16),N204*N($G$17),O204*N($G$18),P204*N($G$19))+MAX(R204*N($G$23),S204*N($G$24),T204*N($G$25)),0)))</f>
        <v/>
      </c>
      <c r="X204" s="21">
        <f>IF(G204="","",IF(B204="G마켓",ROUNDDOWN(G204-G204*$Q$6-W204,0),ROUNDUP(G204-G204*$Q$6-W204,0)))</f>
        <v/>
      </c>
    </row>
    <row r="205">
      <c r="B205" s="7" t="n"/>
      <c r="C205" s="7" t="n"/>
      <c r="D205" s="22" t="n"/>
      <c r="E205" s="23" t="n"/>
      <c r="F205" s="23" t="n"/>
      <c r="G205" s="19">
        <f>IF(E205="","",E205-N(F205))</f>
        <v/>
      </c>
      <c r="I205" s="20">
        <f>IF(G205="","",IF(OR($D$10="",$H$10="X",G205&lt;N($C$10)),0,IF(B205="G마켓",ROUNDDOWN(MIN(G205*$D$10,IF($E$10="",9E+99,$E$10)),0),ROUNDUP(MIN(G205*$D$10,IF($E$10="",9E+99,$E$10)),0))))</f>
        <v/>
      </c>
      <c r="J205" s="20">
        <f>IF(G205="","",IF(OR($D$11="",$H$11="X",G205&lt;N($C$11)),0,IF(B205="G마켓",ROUNDDOWN(MIN(G205*$D$11,IF($E$11="",9E+99,$E$11)),0),ROUNDUP(MIN(G205*$D$11,IF($E$11="",9E+99,$E$11)),0))))</f>
        <v/>
      </c>
      <c r="K205" s="20">
        <f>IF(G205="","",IF(OR($D$12="",$H$12="X",G205&lt;N($C$12)),0,IF(B205="G마켓",ROUNDDOWN(MIN(G205*$D$12,IF($E$12="",9E+99,$E$12)),0),ROUNDUP(MIN(G205*$D$12,IF($E$12="",9E+99,$E$12)),0))))</f>
        <v/>
      </c>
      <c r="L205" s="19">
        <f>IF(G205="","",G205-MAX(I205:K205))</f>
        <v/>
      </c>
      <c r="M205" s="20">
        <f>IF(L205="","",IF(OR($D$16="",$H$16="X",L205&lt;N($C$16)),0,IF(B205="G마켓",ROUNDDOWN(MIN(L205*$D$16,IF($E$16="",9E+99,$E$16)),0),ROUNDUP(MIN(L205*$D$16,IF($E$16="",9E+99,$E$16)),0))))</f>
        <v/>
      </c>
      <c r="N205" s="20">
        <f>IF(L205="","",IF(OR($D$17="",$H$17="X",L205&lt;N($C$17)),0,IF(B205="G마켓",ROUNDDOWN(MIN(L205*$D$17,IF($E$17="",9E+99,$E$17)),0),ROUNDUP(MIN(L205*$D$17,IF($E$17="",9E+99,$E$17)),0))))</f>
        <v/>
      </c>
      <c r="O205" s="20">
        <f>IF(L205="","",IF(OR($D$18="",$H$18="X",L205&lt;N($C$18)),0,IF(B205="G마켓",ROUNDDOWN(MIN(L205*$D$18,IF($E$18="",9E+99,$E$18)),0),ROUNDUP(MIN(L205*$D$18,IF($E$18="",9E+99,$E$18)),0))))</f>
        <v/>
      </c>
      <c r="P205" s="20">
        <f>IF(L205="","",IF(OR($D$19="",$H$19="X",L205&lt;N($C$19)),0,IF(B205="G마켓",ROUNDDOWN(MIN(L205*$D$19,IF($E$19="",9E+99,$E$19)),0),ROUNDUP(MIN(L205*$D$19,IF($E$19="",9E+99,$E$19)),0))))</f>
        <v/>
      </c>
      <c r="Q205" s="19">
        <f>IF(G205="","",L205-MAX(M205:P205))</f>
        <v/>
      </c>
      <c r="R205" s="20">
        <f>IF(Q205="","",IF(OR($D$23="",Q205&lt;N($C$23)),0,IF(B205="G마켓",ROUNDDOWN(MIN(Q205*$D$23,IF($E$23="",9E+99,$E$23)),0),ROUNDUP(MIN(Q205*$D$23,IF($E$23="",9E+99,$E$23)),0))))</f>
        <v/>
      </c>
      <c r="S205" s="20">
        <f>IF(Q205="","",IF(OR($D$24="",Q205&lt;N($C$24)),0,IF(B205="G마켓",ROUNDDOWN(MIN(Q205*$D$24,IF($E$24="",9E+99,$E$24)),0),ROUNDUP(MIN(Q205*$D$24,IF($E$24="",9E+99,$E$24)),0))))</f>
        <v/>
      </c>
      <c r="T205" s="20">
        <f>IF(Q205="","",IF(OR($D$25="",Q205&lt;N($C$25)),0,IF(B205="G마켓",ROUNDDOWN(MIN(Q205*$D$25,IF($E$25="",9E+99,$E$25)),0),ROUNDUP(MIN(Q205*$D$25,IF($E$25="",9E+99,$E$25)),0))))</f>
        <v/>
      </c>
      <c r="U205" s="19">
        <f>IF(G205="","",MAX(R205:T205))</f>
        <v/>
      </c>
      <c r="V205" s="21">
        <f>IF(G205="","",Q205-U205)</f>
        <v/>
      </c>
      <c r="W205" s="19">
        <f>IF(G205="","",IF(B205="G마켓",ROUNDDOWN(MAX(I205*N($G$10),J205*N($G$11),K205*N($G$12))+MAX(M205*N($G$16),N205*N($G$17),O205*N($G$18),P205*N($G$19))+MAX(R205*N($G$23),S205*N($G$24),T205*N($G$25)),0),ROUNDUP(MAX(I205*N($G$10),J205*N($G$11),K205*N($G$12))+MAX(M205*N($G$16),N205*N($G$17),O205*N($G$18),P205*N($G$19))+MAX(R205*N($G$23),S205*N($G$24),T205*N($G$25)),0)))</f>
        <v/>
      </c>
      <c r="X205" s="21">
        <f>IF(G205="","",IF(B205="G마켓",ROUNDDOWN(G205-G205*$Q$6-W205,0),ROUNDUP(G205-G205*$Q$6-W205,0)))</f>
        <v/>
      </c>
    </row>
    <row r="206">
      <c r="B206" s="7" t="n"/>
      <c r="C206" s="7" t="n"/>
      <c r="D206" s="22" t="n"/>
      <c r="E206" s="23" t="n"/>
      <c r="F206" s="23" t="n"/>
      <c r="G206" s="19">
        <f>IF(E206="","",E206-N(F206))</f>
        <v/>
      </c>
      <c r="I206" s="20">
        <f>IF(G206="","",IF(OR($D$10="",$H$10="X",G206&lt;N($C$10)),0,IF(B206="G마켓",ROUNDDOWN(MIN(G206*$D$10,IF($E$10="",9E+99,$E$10)),0),ROUNDUP(MIN(G206*$D$10,IF($E$10="",9E+99,$E$10)),0))))</f>
        <v/>
      </c>
      <c r="J206" s="20">
        <f>IF(G206="","",IF(OR($D$11="",$H$11="X",G206&lt;N($C$11)),0,IF(B206="G마켓",ROUNDDOWN(MIN(G206*$D$11,IF($E$11="",9E+99,$E$11)),0),ROUNDUP(MIN(G206*$D$11,IF($E$11="",9E+99,$E$11)),0))))</f>
        <v/>
      </c>
      <c r="K206" s="20">
        <f>IF(G206="","",IF(OR($D$12="",$H$12="X",G206&lt;N($C$12)),0,IF(B206="G마켓",ROUNDDOWN(MIN(G206*$D$12,IF($E$12="",9E+99,$E$12)),0),ROUNDUP(MIN(G206*$D$12,IF($E$12="",9E+99,$E$12)),0))))</f>
        <v/>
      </c>
      <c r="L206" s="19">
        <f>IF(G206="","",G206-MAX(I206:K206))</f>
        <v/>
      </c>
      <c r="M206" s="20">
        <f>IF(L206="","",IF(OR($D$16="",$H$16="X",L206&lt;N($C$16)),0,IF(B206="G마켓",ROUNDDOWN(MIN(L206*$D$16,IF($E$16="",9E+99,$E$16)),0),ROUNDUP(MIN(L206*$D$16,IF($E$16="",9E+99,$E$16)),0))))</f>
        <v/>
      </c>
      <c r="N206" s="20">
        <f>IF(L206="","",IF(OR($D$17="",$H$17="X",L206&lt;N($C$17)),0,IF(B206="G마켓",ROUNDDOWN(MIN(L206*$D$17,IF($E$17="",9E+99,$E$17)),0),ROUNDUP(MIN(L206*$D$17,IF($E$17="",9E+99,$E$17)),0))))</f>
        <v/>
      </c>
      <c r="O206" s="20">
        <f>IF(L206="","",IF(OR($D$18="",$H$18="X",L206&lt;N($C$18)),0,IF(B206="G마켓",ROUNDDOWN(MIN(L206*$D$18,IF($E$18="",9E+99,$E$18)),0),ROUNDUP(MIN(L206*$D$18,IF($E$18="",9E+99,$E$18)),0))))</f>
        <v/>
      </c>
      <c r="P206" s="20">
        <f>IF(L206="","",IF(OR($D$19="",$H$19="X",L206&lt;N($C$19)),0,IF(B206="G마켓",ROUNDDOWN(MIN(L206*$D$19,IF($E$19="",9E+99,$E$19)),0),ROUNDUP(MIN(L206*$D$19,IF($E$19="",9E+99,$E$19)),0))))</f>
        <v/>
      </c>
      <c r="Q206" s="19">
        <f>IF(G206="","",L206-MAX(M206:P206))</f>
        <v/>
      </c>
      <c r="R206" s="20">
        <f>IF(Q206="","",IF(OR($D$23="",Q206&lt;N($C$23)),0,IF(B206="G마켓",ROUNDDOWN(MIN(Q206*$D$23,IF($E$23="",9E+99,$E$23)),0),ROUNDUP(MIN(Q206*$D$23,IF($E$23="",9E+99,$E$23)),0))))</f>
        <v/>
      </c>
      <c r="S206" s="20">
        <f>IF(Q206="","",IF(OR($D$24="",Q206&lt;N($C$24)),0,IF(B206="G마켓",ROUNDDOWN(MIN(Q206*$D$24,IF($E$24="",9E+99,$E$24)),0),ROUNDUP(MIN(Q206*$D$24,IF($E$24="",9E+99,$E$24)),0))))</f>
        <v/>
      </c>
      <c r="T206" s="20">
        <f>IF(Q206="","",IF(OR($D$25="",Q206&lt;N($C$25)),0,IF(B206="G마켓",ROUNDDOWN(MIN(Q206*$D$25,IF($E$25="",9E+99,$E$25)),0),ROUNDUP(MIN(Q206*$D$25,IF($E$25="",9E+99,$E$25)),0))))</f>
        <v/>
      </c>
      <c r="U206" s="19">
        <f>IF(G206="","",MAX(R206:T206))</f>
        <v/>
      </c>
      <c r="V206" s="21">
        <f>IF(G206="","",Q206-U206)</f>
        <v/>
      </c>
      <c r="W206" s="19">
        <f>IF(G206="","",IF(B206="G마켓",ROUNDDOWN(MAX(I206*N($G$10),J206*N($G$11),K206*N($G$12))+MAX(M206*N($G$16),N206*N($G$17),O206*N($G$18),P206*N($G$19))+MAX(R206*N($G$23),S206*N($G$24),T206*N($G$25)),0),ROUNDUP(MAX(I206*N($G$10),J206*N($G$11),K206*N($G$12))+MAX(M206*N($G$16),N206*N($G$17),O206*N($G$18),P206*N($G$19))+MAX(R206*N($G$23),S206*N($G$24),T206*N($G$25)),0)))</f>
        <v/>
      </c>
      <c r="X206" s="21">
        <f>IF(G206="","",IF(B206="G마켓",ROUNDDOWN(G206-G206*$Q$6-W206,0),ROUNDUP(G206-G206*$Q$6-W206,0)))</f>
        <v/>
      </c>
    </row>
    <row r="207">
      <c r="B207" s="7" t="n"/>
      <c r="C207" s="7" t="n"/>
      <c r="D207" s="22" t="n"/>
      <c r="E207" s="23" t="n"/>
      <c r="F207" s="23" t="n"/>
      <c r="G207" s="19">
        <f>IF(E207="","",E207-N(F207))</f>
        <v/>
      </c>
      <c r="I207" s="20">
        <f>IF(G207="","",IF(OR($D$10="",$H$10="X",G207&lt;N($C$10)),0,IF(B207="G마켓",ROUNDDOWN(MIN(G207*$D$10,IF($E$10="",9E+99,$E$10)),0),ROUNDUP(MIN(G207*$D$10,IF($E$10="",9E+99,$E$10)),0))))</f>
        <v/>
      </c>
      <c r="J207" s="20">
        <f>IF(G207="","",IF(OR($D$11="",$H$11="X",G207&lt;N($C$11)),0,IF(B207="G마켓",ROUNDDOWN(MIN(G207*$D$11,IF($E$11="",9E+99,$E$11)),0),ROUNDUP(MIN(G207*$D$11,IF($E$11="",9E+99,$E$11)),0))))</f>
        <v/>
      </c>
      <c r="K207" s="20">
        <f>IF(G207="","",IF(OR($D$12="",$H$12="X",G207&lt;N($C$12)),0,IF(B207="G마켓",ROUNDDOWN(MIN(G207*$D$12,IF($E$12="",9E+99,$E$12)),0),ROUNDUP(MIN(G207*$D$12,IF($E$12="",9E+99,$E$12)),0))))</f>
        <v/>
      </c>
      <c r="L207" s="19">
        <f>IF(G207="","",G207-MAX(I207:K207))</f>
        <v/>
      </c>
      <c r="M207" s="20">
        <f>IF(L207="","",IF(OR($D$16="",$H$16="X",L207&lt;N($C$16)),0,IF(B207="G마켓",ROUNDDOWN(MIN(L207*$D$16,IF($E$16="",9E+99,$E$16)),0),ROUNDUP(MIN(L207*$D$16,IF($E$16="",9E+99,$E$16)),0))))</f>
        <v/>
      </c>
      <c r="N207" s="20">
        <f>IF(L207="","",IF(OR($D$17="",$H$17="X",L207&lt;N($C$17)),0,IF(B207="G마켓",ROUNDDOWN(MIN(L207*$D$17,IF($E$17="",9E+99,$E$17)),0),ROUNDUP(MIN(L207*$D$17,IF($E$17="",9E+99,$E$17)),0))))</f>
        <v/>
      </c>
      <c r="O207" s="20">
        <f>IF(L207="","",IF(OR($D$18="",$H$18="X",L207&lt;N($C$18)),0,IF(B207="G마켓",ROUNDDOWN(MIN(L207*$D$18,IF($E$18="",9E+99,$E$18)),0),ROUNDUP(MIN(L207*$D$18,IF($E$18="",9E+99,$E$18)),0))))</f>
        <v/>
      </c>
      <c r="P207" s="20">
        <f>IF(L207="","",IF(OR($D$19="",$H$19="X",L207&lt;N($C$19)),0,IF(B207="G마켓",ROUNDDOWN(MIN(L207*$D$19,IF($E$19="",9E+99,$E$19)),0),ROUNDUP(MIN(L207*$D$19,IF($E$19="",9E+99,$E$19)),0))))</f>
        <v/>
      </c>
      <c r="Q207" s="19">
        <f>IF(G207="","",L207-MAX(M207:P207))</f>
        <v/>
      </c>
      <c r="R207" s="20">
        <f>IF(Q207="","",IF(OR($D$23="",Q207&lt;N($C$23)),0,IF(B207="G마켓",ROUNDDOWN(MIN(Q207*$D$23,IF($E$23="",9E+99,$E$23)),0),ROUNDUP(MIN(Q207*$D$23,IF($E$23="",9E+99,$E$23)),0))))</f>
        <v/>
      </c>
      <c r="S207" s="20">
        <f>IF(Q207="","",IF(OR($D$24="",Q207&lt;N($C$24)),0,IF(B207="G마켓",ROUNDDOWN(MIN(Q207*$D$24,IF($E$24="",9E+99,$E$24)),0),ROUNDUP(MIN(Q207*$D$24,IF($E$24="",9E+99,$E$24)),0))))</f>
        <v/>
      </c>
      <c r="T207" s="20">
        <f>IF(Q207="","",IF(OR($D$25="",Q207&lt;N($C$25)),0,IF(B207="G마켓",ROUNDDOWN(MIN(Q207*$D$25,IF($E$25="",9E+99,$E$25)),0),ROUNDUP(MIN(Q207*$D$25,IF($E$25="",9E+99,$E$25)),0))))</f>
        <v/>
      </c>
      <c r="U207" s="19">
        <f>IF(G207="","",MAX(R207:T207))</f>
        <v/>
      </c>
      <c r="V207" s="21">
        <f>IF(G207="","",Q207-U207)</f>
        <v/>
      </c>
      <c r="W207" s="19">
        <f>IF(G207="","",IF(B207="G마켓",ROUNDDOWN(MAX(I207*N($G$10),J207*N($G$11),K207*N($G$12))+MAX(M207*N($G$16),N207*N($G$17),O207*N($G$18),P207*N($G$19))+MAX(R207*N($G$23),S207*N($G$24),T207*N($G$25)),0),ROUNDUP(MAX(I207*N($G$10),J207*N($G$11),K207*N($G$12))+MAX(M207*N($G$16),N207*N($G$17),O207*N($G$18),P207*N($G$19))+MAX(R207*N($G$23),S207*N($G$24),T207*N($G$25)),0)))</f>
        <v/>
      </c>
      <c r="X207" s="21">
        <f>IF(G207="","",IF(B207="G마켓",ROUNDDOWN(G207-G207*$Q$6-W207,0),ROUNDUP(G207-G207*$Q$6-W207,0)))</f>
        <v/>
      </c>
    </row>
    <row r="208">
      <c r="B208" s="7" t="n"/>
      <c r="C208" s="7" t="n"/>
      <c r="D208" s="22" t="n"/>
      <c r="E208" s="23" t="n"/>
      <c r="F208" s="23" t="n"/>
      <c r="G208" s="19">
        <f>IF(E208="","",E208-N(F208))</f>
        <v/>
      </c>
      <c r="I208" s="20">
        <f>IF(G208="","",IF(OR($D$10="",$H$10="X",G208&lt;N($C$10)),0,IF(B208="G마켓",ROUNDDOWN(MIN(G208*$D$10,IF($E$10="",9E+99,$E$10)),0),ROUNDUP(MIN(G208*$D$10,IF($E$10="",9E+99,$E$10)),0))))</f>
        <v/>
      </c>
      <c r="J208" s="20">
        <f>IF(G208="","",IF(OR($D$11="",$H$11="X",G208&lt;N($C$11)),0,IF(B208="G마켓",ROUNDDOWN(MIN(G208*$D$11,IF($E$11="",9E+99,$E$11)),0),ROUNDUP(MIN(G208*$D$11,IF($E$11="",9E+99,$E$11)),0))))</f>
        <v/>
      </c>
      <c r="K208" s="20">
        <f>IF(G208="","",IF(OR($D$12="",$H$12="X",G208&lt;N($C$12)),0,IF(B208="G마켓",ROUNDDOWN(MIN(G208*$D$12,IF($E$12="",9E+99,$E$12)),0),ROUNDUP(MIN(G208*$D$12,IF($E$12="",9E+99,$E$12)),0))))</f>
        <v/>
      </c>
      <c r="L208" s="19">
        <f>IF(G208="","",G208-MAX(I208:K208))</f>
        <v/>
      </c>
      <c r="M208" s="20">
        <f>IF(L208="","",IF(OR($D$16="",$H$16="X",L208&lt;N($C$16)),0,IF(B208="G마켓",ROUNDDOWN(MIN(L208*$D$16,IF($E$16="",9E+99,$E$16)),0),ROUNDUP(MIN(L208*$D$16,IF($E$16="",9E+99,$E$16)),0))))</f>
        <v/>
      </c>
      <c r="N208" s="20">
        <f>IF(L208="","",IF(OR($D$17="",$H$17="X",L208&lt;N($C$17)),0,IF(B208="G마켓",ROUNDDOWN(MIN(L208*$D$17,IF($E$17="",9E+99,$E$17)),0),ROUNDUP(MIN(L208*$D$17,IF($E$17="",9E+99,$E$17)),0))))</f>
        <v/>
      </c>
      <c r="O208" s="20">
        <f>IF(L208="","",IF(OR($D$18="",$H$18="X",L208&lt;N($C$18)),0,IF(B208="G마켓",ROUNDDOWN(MIN(L208*$D$18,IF($E$18="",9E+99,$E$18)),0),ROUNDUP(MIN(L208*$D$18,IF($E$18="",9E+99,$E$18)),0))))</f>
        <v/>
      </c>
      <c r="P208" s="20">
        <f>IF(L208="","",IF(OR($D$19="",$H$19="X",L208&lt;N($C$19)),0,IF(B208="G마켓",ROUNDDOWN(MIN(L208*$D$19,IF($E$19="",9E+99,$E$19)),0),ROUNDUP(MIN(L208*$D$19,IF($E$19="",9E+99,$E$19)),0))))</f>
        <v/>
      </c>
      <c r="Q208" s="19">
        <f>IF(G208="","",L208-MAX(M208:P208))</f>
        <v/>
      </c>
      <c r="R208" s="20">
        <f>IF(Q208="","",IF(OR($D$23="",Q208&lt;N($C$23)),0,IF(B208="G마켓",ROUNDDOWN(MIN(Q208*$D$23,IF($E$23="",9E+99,$E$23)),0),ROUNDUP(MIN(Q208*$D$23,IF($E$23="",9E+99,$E$23)),0))))</f>
        <v/>
      </c>
      <c r="S208" s="20">
        <f>IF(Q208="","",IF(OR($D$24="",Q208&lt;N($C$24)),0,IF(B208="G마켓",ROUNDDOWN(MIN(Q208*$D$24,IF($E$24="",9E+99,$E$24)),0),ROUNDUP(MIN(Q208*$D$24,IF($E$24="",9E+99,$E$24)),0))))</f>
        <v/>
      </c>
      <c r="T208" s="20">
        <f>IF(Q208="","",IF(OR($D$25="",Q208&lt;N($C$25)),0,IF(B208="G마켓",ROUNDDOWN(MIN(Q208*$D$25,IF($E$25="",9E+99,$E$25)),0),ROUNDUP(MIN(Q208*$D$25,IF($E$25="",9E+99,$E$25)),0))))</f>
        <v/>
      </c>
      <c r="U208" s="19">
        <f>IF(G208="","",MAX(R208:T208))</f>
        <v/>
      </c>
      <c r="V208" s="21">
        <f>IF(G208="","",Q208-U208)</f>
        <v/>
      </c>
      <c r="W208" s="19">
        <f>IF(G208="","",IF(B208="G마켓",ROUNDDOWN(MAX(I208*N($G$10),J208*N($G$11),K208*N($G$12))+MAX(M208*N($G$16),N208*N($G$17),O208*N($G$18),P208*N($G$19))+MAX(R208*N($G$23),S208*N($G$24),T208*N($G$25)),0),ROUNDUP(MAX(I208*N($G$10),J208*N($G$11),K208*N($G$12))+MAX(M208*N($G$16),N208*N($G$17),O208*N($G$18),P208*N($G$19))+MAX(R208*N($G$23),S208*N($G$24),T208*N($G$25)),0)))</f>
        <v/>
      </c>
      <c r="X208" s="21">
        <f>IF(G208="","",IF(B208="G마켓",ROUNDDOWN(G208-G208*$Q$6-W208,0),ROUNDUP(G208-G208*$Q$6-W208,0)))</f>
        <v/>
      </c>
    </row>
    <row r="209">
      <c r="B209" s="7" t="n"/>
      <c r="C209" s="7" t="n"/>
      <c r="D209" s="22" t="n"/>
      <c r="E209" s="23" t="n"/>
      <c r="F209" s="23" t="n"/>
      <c r="G209" s="19">
        <f>IF(E209="","",E209-N(F209))</f>
        <v/>
      </c>
      <c r="I209" s="20">
        <f>IF(G209="","",IF(OR($D$10="",$H$10="X",G209&lt;N($C$10)),0,IF(B209="G마켓",ROUNDDOWN(MIN(G209*$D$10,IF($E$10="",9E+99,$E$10)),0),ROUNDUP(MIN(G209*$D$10,IF($E$10="",9E+99,$E$10)),0))))</f>
        <v/>
      </c>
      <c r="J209" s="20">
        <f>IF(G209="","",IF(OR($D$11="",$H$11="X",G209&lt;N($C$11)),0,IF(B209="G마켓",ROUNDDOWN(MIN(G209*$D$11,IF($E$11="",9E+99,$E$11)),0),ROUNDUP(MIN(G209*$D$11,IF($E$11="",9E+99,$E$11)),0))))</f>
        <v/>
      </c>
      <c r="K209" s="20">
        <f>IF(G209="","",IF(OR($D$12="",$H$12="X",G209&lt;N($C$12)),0,IF(B209="G마켓",ROUNDDOWN(MIN(G209*$D$12,IF($E$12="",9E+99,$E$12)),0),ROUNDUP(MIN(G209*$D$12,IF($E$12="",9E+99,$E$12)),0))))</f>
        <v/>
      </c>
      <c r="L209" s="19">
        <f>IF(G209="","",G209-MAX(I209:K209))</f>
        <v/>
      </c>
      <c r="M209" s="20">
        <f>IF(L209="","",IF(OR($D$16="",$H$16="X",L209&lt;N($C$16)),0,IF(B209="G마켓",ROUNDDOWN(MIN(L209*$D$16,IF($E$16="",9E+99,$E$16)),0),ROUNDUP(MIN(L209*$D$16,IF($E$16="",9E+99,$E$16)),0))))</f>
        <v/>
      </c>
      <c r="N209" s="20">
        <f>IF(L209="","",IF(OR($D$17="",$H$17="X",L209&lt;N($C$17)),0,IF(B209="G마켓",ROUNDDOWN(MIN(L209*$D$17,IF($E$17="",9E+99,$E$17)),0),ROUNDUP(MIN(L209*$D$17,IF($E$17="",9E+99,$E$17)),0))))</f>
        <v/>
      </c>
      <c r="O209" s="20">
        <f>IF(L209="","",IF(OR($D$18="",$H$18="X",L209&lt;N($C$18)),0,IF(B209="G마켓",ROUNDDOWN(MIN(L209*$D$18,IF($E$18="",9E+99,$E$18)),0),ROUNDUP(MIN(L209*$D$18,IF($E$18="",9E+99,$E$18)),0))))</f>
        <v/>
      </c>
      <c r="P209" s="20">
        <f>IF(L209="","",IF(OR($D$19="",$H$19="X",L209&lt;N($C$19)),0,IF(B209="G마켓",ROUNDDOWN(MIN(L209*$D$19,IF($E$19="",9E+99,$E$19)),0),ROUNDUP(MIN(L209*$D$19,IF($E$19="",9E+99,$E$19)),0))))</f>
        <v/>
      </c>
      <c r="Q209" s="19">
        <f>IF(G209="","",L209-MAX(M209:P209))</f>
        <v/>
      </c>
      <c r="R209" s="20">
        <f>IF(Q209="","",IF(OR($D$23="",Q209&lt;N($C$23)),0,IF(B209="G마켓",ROUNDDOWN(MIN(Q209*$D$23,IF($E$23="",9E+99,$E$23)),0),ROUNDUP(MIN(Q209*$D$23,IF($E$23="",9E+99,$E$23)),0))))</f>
        <v/>
      </c>
      <c r="S209" s="20">
        <f>IF(Q209="","",IF(OR($D$24="",Q209&lt;N($C$24)),0,IF(B209="G마켓",ROUNDDOWN(MIN(Q209*$D$24,IF($E$24="",9E+99,$E$24)),0),ROUNDUP(MIN(Q209*$D$24,IF($E$24="",9E+99,$E$24)),0))))</f>
        <v/>
      </c>
      <c r="T209" s="20">
        <f>IF(Q209="","",IF(OR($D$25="",Q209&lt;N($C$25)),0,IF(B209="G마켓",ROUNDDOWN(MIN(Q209*$D$25,IF($E$25="",9E+99,$E$25)),0),ROUNDUP(MIN(Q209*$D$25,IF($E$25="",9E+99,$E$25)),0))))</f>
        <v/>
      </c>
      <c r="U209" s="19">
        <f>IF(G209="","",MAX(R209:T209))</f>
        <v/>
      </c>
      <c r="V209" s="21">
        <f>IF(G209="","",Q209-U209)</f>
        <v/>
      </c>
      <c r="W209" s="19">
        <f>IF(G209="","",IF(B209="G마켓",ROUNDDOWN(MAX(I209*N($G$10),J209*N($G$11),K209*N($G$12))+MAX(M209*N($G$16),N209*N($G$17),O209*N($G$18),P209*N($G$19))+MAX(R209*N($G$23),S209*N($G$24),T209*N($G$25)),0),ROUNDUP(MAX(I209*N($G$10),J209*N($G$11),K209*N($G$12))+MAX(M209*N($G$16),N209*N($G$17),O209*N($G$18),P209*N($G$19))+MAX(R209*N($G$23),S209*N($G$24),T209*N($G$25)),0)))</f>
        <v/>
      </c>
      <c r="X209" s="21">
        <f>IF(G209="","",IF(B209="G마켓",ROUNDDOWN(G209-G209*$Q$6-W209,0),ROUNDUP(G209-G209*$Q$6-W209,0)))</f>
        <v/>
      </c>
    </row>
    <row r="210">
      <c r="B210" s="7" t="n"/>
      <c r="C210" s="7" t="n"/>
      <c r="D210" s="22" t="n"/>
      <c r="E210" s="23" t="n"/>
      <c r="F210" s="23" t="n"/>
      <c r="G210" s="19">
        <f>IF(E210="","",E210-N(F210))</f>
        <v/>
      </c>
      <c r="I210" s="20">
        <f>IF(G210="","",IF(OR($D$10="",$H$10="X",G210&lt;N($C$10)),0,IF(B210="G마켓",ROUNDDOWN(MIN(G210*$D$10,IF($E$10="",9E+99,$E$10)),0),ROUNDUP(MIN(G210*$D$10,IF($E$10="",9E+99,$E$10)),0))))</f>
        <v/>
      </c>
      <c r="J210" s="20">
        <f>IF(G210="","",IF(OR($D$11="",$H$11="X",G210&lt;N($C$11)),0,IF(B210="G마켓",ROUNDDOWN(MIN(G210*$D$11,IF($E$11="",9E+99,$E$11)),0),ROUNDUP(MIN(G210*$D$11,IF($E$11="",9E+99,$E$11)),0))))</f>
        <v/>
      </c>
      <c r="K210" s="20">
        <f>IF(G210="","",IF(OR($D$12="",$H$12="X",G210&lt;N($C$12)),0,IF(B210="G마켓",ROUNDDOWN(MIN(G210*$D$12,IF($E$12="",9E+99,$E$12)),0),ROUNDUP(MIN(G210*$D$12,IF($E$12="",9E+99,$E$12)),0))))</f>
        <v/>
      </c>
      <c r="L210" s="19">
        <f>IF(G210="","",G210-MAX(I210:K210))</f>
        <v/>
      </c>
      <c r="M210" s="20">
        <f>IF(L210="","",IF(OR($D$16="",$H$16="X",L210&lt;N($C$16)),0,IF(B210="G마켓",ROUNDDOWN(MIN(L210*$D$16,IF($E$16="",9E+99,$E$16)),0),ROUNDUP(MIN(L210*$D$16,IF($E$16="",9E+99,$E$16)),0))))</f>
        <v/>
      </c>
      <c r="N210" s="20">
        <f>IF(L210="","",IF(OR($D$17="",$H$17="X",L210&lt;N($C$17)),0,IF(B210="G마켓",ROUNDDOWN(MIN(L210*$D$17,IF($E$17="",9E+99,$E$17)),0),ROUNDUP(MIN(L210*$D$17,IF($E$17="",9E+99,$E$17)),0))))</f>
        <v/>
      </c>
      <c r="O210" s="20">
        <f>IF(L210="","",IF(OR($D$18="",$H$18="X",L210&lt;N($C$18)),0,IF(B210="G마켓",ROUNDDOWN(MIN(L210*$D$18,IF($E$18="",9E+99,$E$18)),0),ROUNDUP(MIN(L210*$D$18,IF($E$18="",9E+99,$E$18)),0))))</f>
        <v/>
      </c>
      <c r="P210" s="20">
        <f>IF(L210="","",IF(OR($D$19="",$H$19="X",L210&lt;N($C$19)),0,IF(B210="G마켓",ROUNDDOWN(MIN(L210*$D$19,IF($E$19="",9E+99,$E$19)),0),ROUNDUP(MIN(L210*$D$19,IF($E$19="",9E+99,$E$19)),0))))</f>
        <v/>
      </c>
      <c r="Q210" s="19">
        <f>IF(G210="","",L210-MAX(M210:P210))</f>
        <v/>
      </c>
      <c r="R210" s="20">
        <f>IF(Q210="","",IF(OR($D$23="",Q210&lt;N($C$23)),0,IF(B210="G마켓",ROUNDDOWN(MIN(Q210*$D$23,IF($E$23="",9E+99,$E$23)),0),ROUNDUP(MIN(Q210*$D$23,IF($E$23="",9E+99,$E$23)),0))))</f>
        <v/>
      </c>
      <c r="S210" s="20">
        <f>IF(Q210="","",IF(OR($D$24="",Q210&lt;N($C$24)),0,IF(B210="G마켓",ROUNDDOWN(MIN(Q210*$D$24,IF($E$24="",9E+99,$E$24)),0),ROUNDUP(MIN(Q210*$D$24,IF($E$24="",9E+99,$E$24)),0))))</f>
        <v/>
      </c>
      <c r="T210" s="20">
        <f>IF(Q210="","",IF(OR($D$25="",Q210&lt;N($C$25)),0,IF(B210="G마켓",ROUNDDOWN(MIN(Q210*$D$25,IF($E$25="",9E+99,$E$25)),0),ROUNDUP(MIN(Q210*$D$25,IF($E$25="",9E+99,$E$25)),0))))</f>
        <v/>
      </c>
      <c r="U210" s="19">
        <f>IF(G210="","",MAX(R210:T210))</f>
        <v/>
      </c>
      <c r="V210" s="21">
        <f>IF(G210="","",Q210-U210)</f>
        <v/>
      </c>
      <c r="W210" s="19">
        <f>IF(G210="","",IF(B210="G마켓",ROUNDDOWN(MAX(I210*N($G$10),J210*N($G$11),K210*N($G$12))+MAX(M210*N($G$16),N210*N($G$17),O210*N($G$18),P210*N($G$19))+MAX(R210*N($G$23),S210*N($G$24),T210*N($G$25)),0),ROUNDUP(MAX(I210*N($G$10),J210*N($G$11),K210*N($G$12))+MAX(M210*N($G$16),N210*N($G$17),O210*N($G$18),P210*N($G$19))+MAX(R210*N($G$23),S210*N($G$24),T210*N($G$25)),0)))</f>
        <v/>
      </c>
      <c r="X210" s="21">
        <f>IF(G210="","",IF(B210="G마켓",ROUNDDOWN(G210-G210*$Q$6-W210,0),ROUNDUP(G210-G210*$Q$6-W210,0)))</f>
        <v/>
      </c>
    </row>
    <row r="211">
      <c r="B211" s="7" t="n"/>
      <c r="C211" s="7" t="n"/>
      <c r="D211" s="22" t="n"/>
      <c r="E211" s="23" t="n"/>
      <c r="F211" s="23" t="n"/>
      <c r="G211" s="19">
        <f>IF(E211="","",E211-N(F211))</f>
        <v/>
      </c>
      <c r="I211" s="20">
        <f>IF(G211="","",IF(OR($D$10="",$H$10="X",G211&lt;N($C$10)),0,IF(B211="G마켓",ROUNDDOWN(MIN(G211*$D$10,IF($E$10="",9E+99,$E$10)),0),ROUNDUP(MIN(G211*$D$10,IF($E$10="",9E+99,$E$10)),0))))</f>
        <v/>
      </c>
      <c r="J211" s="20">
        <f>IF(G211="","",IF(OR($D$11="",$H$11="X",G211&lt;N($C$11)),0,IF(B211="G마켓",ROUNDDOWN(MIN(G211*$D$11,IF($E$11="",9E+99,$E$11)),0),ROUNDUP(MIN(G211*$D$11,IF($E$11="",9E+99,$E$11)),0))))</f>
        <v/>
      </c>
      <c r="K211" s="20">
        <f>IF(G211="","",IF(OR($D$12="",$H$12="X",G211&lt;N($C$12)),0,IF(B211="G마켓",ROUNDDOWN(MIN(G211*$D$12,IF($E$12="",9E+99,$E$12)),0),ROUNDUP(MIN(G211*$D$12,IF($E$12="",9E+99,$E$12)),0))))</f>
        <v/>
      </c>
      <c r="L211" s="19">
        <f>IF(G211="","",G211-MAX(I211:K211))</f>
        <v/>
      </c>
      <c r="M211" s="20">
        <f>IF(L211="","",IF(OR($D$16="",$H$16="X",L211&lt;N($C$16)),0,IF(B211="G마켓",ROUNDDOWN(MIN(L211*$D$16,IF($E$16="",9E+99,$E$16)),0),ROUNDUP(MIN(L211*$D$16,IF($E$16="",9E+99,$E$16)),0))))</f>
        <v/>
      </c>
      <c r="N211" s="20">
        <f>IF(L211="","",IF(OR($D$17="",$H$17="X",L211&lt;N($C$17)),0,IF(B211="G마켓",ROUNDDOWN(MIN(L211*$D$17,IF($E$17="",9E+99,$E$17)),0),ROUNDUP(MIN(L211*$D$17,IF($E$17="",9E+99,$E$17)),0))))</f>
        <v/>
      </c>
      <c r="O211" s="20">
        <f>IF(L211="","",IF(OR($D$18="",$H$18="X",L211&lt;N($C$18)),0,IF(B211="G마켓",ROUNDDOWN(MIN(L211*$D$18,IF($E$18="",9E+99,$E$18)),0),ROUNDUP(MIN(L211*$D$18,IF($E$18="",9E+99,$E$18)),0))))</f>
        <v/>
      </c>
      <c r="P211" s="20">
        <f>IF(L211="","",IF(OR($D$19="",$H$19="X",L211&lt;N($C$19)),0,IF(B211="G마켓",ROUNDDOWN(MIN(L211*$D$19,IF($E$19="",9E+99,$E$19)),0),ROUNDUP(MIN(L211*$D$19,IF($E$19="",9E+99,$E$19)),0))))</f>
        <v/>
      </c>
      <c r="Q211" s="19">
        <f>IF(G211="","",L211-MAX(M211:P211))</f>
        <v/>
      </c>
      <c r="R211" s="20">
        <f>IF(Q211="","",IF(OR($D$23="",Q211&lt;N($C$23)),0,IF(B211="G마켓",ROUNDDOWN(MIN(Q211*$D$23,IF($E$23="",9E+99,$E$23)),0),ROUNDUP(MIN(Q211*$D$23,IF($E$23="",9E+99,$E$23)),0))))</f>
        <v/>
      </c>
      <c r="S211" s="20">
        <f>IF(Q211="","",IF(OR($D$24="",Q211&lt;N($C$24)),0,IF(B211="G마켓",ROUNDDOWN(MIN(Q211*$D$24,IF($E$24="",9E+99,$E$24)),0),ROUNDUP(MIN(Q211*$D$24,IF($E$24="",9E+99,$E$24)),0))))</f>
        <v/>
      </c>
      <c r="T211" s="20">
        <f>IF(Q211="","",IF(OR($D$25="",Q211&lt;N($C$25)),0,IF(B211="G마켓",ROUNDDOWN(MIN(Q211*$D$25,IF($E$25="",9E+99,$E$25)),0),ROUNDUP(MIN(Q211*$D$25,IF($E$25="",9E+99,$E$25)),0))))</f>
        <v/>
      </c>
      <c r="U211" s="19">
        <f>IF(G211="","",MAX(R211:T211))</f>
        <v/>
      </c>
      <c r="V211" s="21">
        <f>IF(G211="","",Q211-U211)</f>
        <v/>
      </c>
      <c r="W211" s="19">
        <f>IF(G211="","",IF(B211="G마켓",ROUNDDOWN(MAX(I211*N($G$10),J211*N($G$11),K211*N($G$12))+MAX(M211*N($G$16),N211*N($G$17),O211*N($G$18),P211*N($G$19))+MAX(R211*N($G$23),S211*N($G$24),T211*N($G$25)),0),ROUNDUP(MAX(I211*N($G$10),J211*N($G$11),K211*N($G$12))+MAX(M211*N($G$16),N211*N($G$17),O211*N($G$18),P211*N($G$19))+MAX(R211*N($G$23),S211*N($G$24),T211*N($G$25)),0)))</f>
        <v/>
      </c>
      <c r="X211" s="21">
        <f>IF(G211="","",IF(B211="G마켓",ROUNDDOWN(G211-G211*$Q$6-W211,0),ROUNDUP(G211-G211*$Q$6-W211,0)))</f>
        <v/>
      </c>
    </row>
    <row r="212">
      <c r="B212" s="7" t="n"/>
      <c r="C212" s="7" t="n"/>
      <c r="D212" s="22" t="n"/>
      <c r="E212" s="23" t="n"/>
      <c r="F212" s="23" t="n"/>
      <c r="G212" s="19">
        <f>IF(E212="","",E212-N(F212))</f>
        <v/>
      </c>
      <c r="I212" s="20">
        <f>IF(G212="","",IF(OR($D$10="",$H$10="X",G212&lt;N($C$10)),0,IF(B212="G마켓",ROUNDDOWN(MIN(G212*$D$10,IF($E$10="",9E+99,$E$10)),0),ROUNDUP(MIN(G212*$D$10,IF($E$10="",9E+99,$E$10)),0))))</f>
        <v/>
      </c>
      <c r="J212" s="20">
        <f>IF(G212="","",IF(OR($D$11="",$H$11="X",G212&lt;N($C$11)),0,IF(B212="G마켓",ROUNDDOWN(MIN(G212*$D$11,IF($E$11="",9E+99,$E$11)),0),ROUNDUP(MIN(G212*$D$11,IF($E$11="",9E+99,$E$11)),0))))</f>
        <v/>
      </c>
      <c r="K212" s="20">
        <f>IF(G212="","",IF(OR($D$12="",$H$12="X",G212&lt;N($C$12)),0,IF(B212="G마켓",ROUNDDOWN(MIN(G212*$D$12,IF($E$12="",9E+99,$E$12)),0),ROUNDUP(MIN(G212*$D$12,IF($E$12="",9E+99,$E$12)),0))))</f>
        <v/>
      </c>
      <c r="L212" s="19">
        <f>IF(G212="","",G212-MAX(I212:K212))</f>
        <v/>
      </c>
      <c r="M212" s="20">
        <f>IF(L212="","",IF(OR($D$16="",$H$16="X",L212&lt;N($C$16)),0,IF(B212="G마켓",ROUNDDOWN(MIN(L212*$D$16,IF($E$16="",9E+99,$E$16)),0),ROUNDUP(MIN(L212*$D$16,IF($E$16="",9E+99,$E$16)),0))))</f>
        <v/>
      </c>
      <c r="N212" s="20">
        <f>IF(L212="","",IF(OR($D$17="",$H$17="X",L212&lt;N($C$17)),0,IF(B212="G마켓",ROUNDDOWN(MIN(L212*$D$17,IF($E$17="",9E+99,$E$17)),0),ROUNDUP(MIN(L212*$D$17,IF($E$17="",9E+99,$E$17)),0))))</f>
        <v/>
      </c>
      <c r="O212" s="20">
        <f>IF(L212="","",IF(OR($D$18="",$H$18="X",L212&lt;N($C$18)),0,IF(B212="G마켓",ROUNDDOWN(MIN(L212*$D$18,IF($E$18="",9E+99,$E$18)),0),ROUNDUP(MIN(L212*$D$18,IF($E$18="",9E+99,$E$18)),0))))</f>
        <v/>
      </c>
      <c r="P212" s="20">
        <f>IF(L212="","",IF(OR($D$19="",$H$19="X",L212&lt;N($C$19)),0,IF(B212="G마켓",ROUNDDOWN(MIN(L212*$D$19,IF($E$19="",9E+99,$E$19)),0),ROUNDUP(MIN(L212*$D$19,IF($E$19="",9E+99,$E$19)),0))))</f>
        <v/>
      </c>
      <c r="Q212" s="19">
        <f>IF(G212="","",L212-MAX(M212:P212))</f>
        <v/>
      </c>
      <c r="R212" s="20">
        <f>IF(Q212="","",IF(OR($D$23="",Q212&lt;N($C$23)),0,IF(B212="G마켓",ROUNDDOWN(MIN(Q212*$D$23,IF($E$23="",9E+99,$E$23)),0),ROUNDUP(MIN(Q212*$D$23,IF($E$23="",9E+99,$E$23)),0))))</f>
        <v/>
      </c>
      <c r="S212" s="20">
        <f>IF(Q212="","",IF(OR($D$24="",Q212&lt;N($C$24)),0,IF(B212="G마켓",ROUNDDOWN(MIN(Q212*$D$24,IF($E$24="",9E+99,$E$24)),0),ROUNDUP(MIN(Q212*$D$24,IF($E$24="",9E+99,$E$24)),0))))</f>
        <v/>
      </c>
      <c r="T212" s="20">
        <f>IF(Q212="","",IF(OR($D$25="",Q212&lt;N($C$25)),0,IF(B212="G마켓",ROUNDDOWN(MIN(Q212*$D$25,IF($E$25="",9E+99,$E$25)),0),ROUNDUP(MIN(Q212*$D$25,IF($E$25="",9E+99,$E$25)),0))))</f>
        <v/>
      </c>
      <c r="U212" s="19">
        <f>IF(G212="","",MAX(R212:T212))</f>
        <v/>
      </c>
      <c r="V212" s="21">
        <f>IF(G212="","",Q212-U212)</f>
        <v/>
      </c>
      <c r="W212" s="19">
        <f>IF(G212="","",IF(B212="G마켓",ROUNDDOWN(MAX(I212*N($G$10),J212*N($G$11),K212*N($G$12))+MAX(M212*N($G$16),N212*N($G$17),O212*N($G$18),P212*N($G$19))+MAX(R212*N($G$23),S212*N($G$24),T212*N($G$25)),0),ROUNDUP(MAX(I212*N($G$10),J212*N($G$11),K212*N($G$12))+MAX(M212*N($G$16),N212*N($G$17),O212*N($G$18),P212*N($G$19))+MAX(R212*N($G$23),S212*N($G$24),T212*N($G$25)),0)))</f>
        <v/>
      </c>
      <c r="X212" s="21">
        <f>IF(G212="","",IF(B212="G마켓",ROUNDDOWN(G212-G212*$Q$6-W212,0),ROUNDUP(G212-G212*$Q$6-W212,0)))</f>
        <v/>
      </c>
    </row>
    <row r="213">
      <c r="B213" s="7" t="n"/>
      <c r="C213" s="7" t="n"/>
      <c r="D213" s="22" t="n"/>
      <c r="E213" s="23" t="n"/>
      <c r="F213" s="23" t="n"/>
      <c r="G213" s="19">
        <f>IF(E213="","",E213-N(F213))</f>
        <v/>
      </c>
      <c r="I213" s="20">
        <f>IF(G213="","",IF(OR($D$10="",$H$10="X",G213&lt;N($C$10)),0,IF(B213="G마켓",ROUNDDOWN(MIN(G213*$D$10,IF($E$10="",9E+99,$E$10)),0),ROUNDUP(MIN(G213*$D$10,IF($E$10="",9E+99,$E$10)),0))))</f>
        <v/>
      </c>
      <c r="J213" s="20">
        <f>IF(G213="","",IF(OR($D$11="",$H$11="X",G213&lt;N($C$11)),0,IF(B213="G마켓",ROUNDDOWN(MIN(G213*$D$11,IF($E$11="",9E+99,$E$11)),0),ROUNDUP(MIN(G213*$D$11,IF($E$11="",9E+99,$E$11)),0))))</f>
        <v/>
      </c>
      <c r="K213" s="20">
        <f>IF(G213="","",IF(OR($D$12="",$H$12="X",G213&lt;N($C$12)),0,IF(B213="G마켓",ROUNDDOWN(MIN(G213*$D$12,IF($E$12="",9E+99,$E$12)),0),ROUNDUP(MIN(G213*$D$12,IF($E$12="",9E+99,$E$12)),0))))</f>
        <v/>
      </c>
      <c r="L213" s="19">
        <f>IF(G213="","",G213-MAX(I213:K213))</f>
        <v/>
      </c>
      <c r="M213" s="20">
        <f>IF(L213="","",IF(OR($D$16="",$H$16="X",L213&lt;N($C$16)),0,IF(B213="G마켓",ROUNDDOWN(MIN(L213*$D$16,IF($E$16="",9E+99,$E$16)),0),ROUNDUP(MIN(L213*$D$16,IF($E$16="",9E+99,$E$16)),0))))</f>
        <v/>
      </c>
      <c r="N213" s="20">
        <f>IF(L213="","",IF(OR($D$17="",$H$17="X",L213&lt;N($C$17)),0,IF(B213="G마켓",ROUNDDOWN(MIN(L213*$D$17,IF($E$17="",9E+99,$E$17)),0),ROUNDUP(MIN(L213*$D$17,IF($E$17="",9E+99,$E$17)),0))))</f>
        <v/>
      </c>
      <c r="O213" s="20">
        <f>IF(L213="","",IF(OR($D$18="",$H$18="X",L213&lt;N($C$18)),0,IF(B213="G마켓",ROUNDDOWN(MIN(L213*$D$18,IF($E$18="",9E+99,$E$18)),0),ROUNDUP(MIN(L213*$D$18,IF($E$18="",9E+99,$E$18)),0))))</f>
        <v/>
      </c>
      <c r="P213" s="20">
        <f>IF(L213="","",IF(OR($D$19="",$H$19="X",L213&lt;N($C$19)),0,IF(B213="G마켓",ROUNDDOWN(MIN(L213*$D$19,IF($E$19="",9E+99,$E$19)),0),ROUNDUP(MIN(L213*$D$19,IF($E$19="",9E+99,$E$19)),0))))</f>
        <v/>
      </c>
      <c r="Q213" s="19">
        <f>IF(G213="","",L213-MAX(M213:P213))</f>
        <v/>
      </c>
      <c r="R213" s="20">
        <f>IF(Q213="","",IF(OR($D$23="",Q213&lt;N($C$23)),0,IF(B213="G마켓",ROUNDDOWN(MIN(Q213*$D$23,IF($E$23="",9E+99,$E$23)),0),ROUNDUP(MIN(Q213*$D$23,IF($E$23="",9E+99,$E$23)),0))))</f>
        <v/>
      </c>
      <c r="S213" s="20">
        <f>IF(Q213="","",IF(OR($D$24="",Q213&lt;N($C$24)),0,IF(B213="G마켓",ROUNDDOWN(MIN(Q213*$D$24,IF($E$24="",9E+99,$E$24)),0),ROUNDUP(MIN(Q213*$D$24,IF($E$24="",9E+99,$E$24)),0))))</f>
        <v/>
      </c>
      <c r="T213" s="20">
        <f>IF(Q213="","",IF(OR($D$25="",Q213&lt;N($C$25)),0,IF(B213="G마켓",ROUNDDOWN(MIN(Q213*$D$25,IF($E$25="",9E+99,$E$25)),0),ROUNDUP(MIN(Q213*$D$25,IF($E$25="",9E+99,$E$25)),0))))</f>
        <v/>
      </c>
      <c r="U213" s="19">
        <f>IF(G213="","",MAX(R213:T213))</f>
        <v/>
      </c>
      <c r="V213" s="21">
        <f>IF(G213="","",Q213-U213)</f>
        <v/>
      </c>
      <c r="W213" s="19">
        <f>IF(G213="","",IF(B213="G마켓",ROUNDDOWN(MAX(I213*N($G$10),J213*N($G$11),K213*N($G$12))+MAX(M213*N($G$16),N213*N($G$17),O213*N($G$18),P213*N($G$19))+MAX(R213*N($G$23),S213*N($G$24),T213*N($G$25)),0),ROUNDUP(MAX(I213*N($G$10),J213*N($G$11),K213*N($G$12))+MAX(M213*N($G$16),N213*N($G$17),O213*N($G$18),P213*N($G$19))+MAX(R213*N($G$23),S213*N($G$24),T213*N($G$25)),0)))</f>
        <v/>
      </c>
      <c r="X213" s="21">
        <f>IF(G213="","",IF(B213="G마켓",ROUNDDOWN(G213-G213*$Q$6-W213,0),ROUNDUP(G213-G213*$Q$6-W213,0)))</f>
        <v/>
      </c>
    </row>
    <row r="214">
      <c r="B214" s="7" t="n"/>
      <c r="C214" s="7" t="n"/>
      <c r="D214" s="22" t="n"/>
      <c r="E214" s="23" t="n"/>
      <c r="F214" s="23" t="n"/>
      <c r="G214" s="19">
        <f>IF(E214="","",E214-N(F214))</f>
        <v/>
      </c>
      <c r="I214" s="20">
        <f>IF(G214="","",IF(OR($D$10="",$H$10="X",G214&lt;N($C$10)),0,IF(B214="G마켓",ROUNDDOWN(MIN(G214*$D$10,IF($E$10="",9E+99,$E$10)),0),ROUNDUP(MIN(G214*$D$10,IF($E$10="",9E+99,$E$10)),0))))</f>
        <v/>
      </c>
      <c r="J214" s="20">
        <f>IF(G214="","",IF(OR($D$11="",$H$11="X",G214&lt;N($C$11)),0,IF(B214="G마켓",ROUNDDOWN(MIN(G214*$D$11,IF($E$11="",9E+99,$E$11)),0),ROUNDUP(MIN(G214*$D$11,IF($E$11="",9E+99,$E$11)),0))))</f>
        <v/>
      </c>
      <c r="K214" s="20">
        <f>IF(G214="","",IF(OR($D$12="",$H$12="X",G214&lt;N($C$12)),0,IF(B214="G마켓",ROUNDDOWN(MIN(G214*$D$12,IF($E$12="",9E+99,$E$12)),0),ROUNDUP(MIN(G214*$D$12,IF($E$12="",9E+99,$E$12)),0))))</f>
        <v/>
      </c>
      <c r="L214" s="19">
        <f>IF(G214="","",G214-MAX(I214:K214))</f>
        <v/>
      </c>
      <c r="M214" s="20">
        <f>IF(L214="","",IF(OR($D$16="",$H$16="X",L214&lt;N($C$16)),0,IF(B214="G마켓",ROUNDDOWN(MIN(L214*$D$16,IF($E$16="",9E+99,$E$16)),0),ROUNDUP(MIN(L214*$D$16,IF($E$16="",9E+99,$E$16)),0))))</f>
        <v/>
      </c>
      <c r="N214" s="20">
        <f>IF(L214="","",IF(OR($D$17="",$H$17="X",L214&lt;N($C$17)),0,IF(B214="G마켓",ROUNDDOWN(MIN(L214*$D$17,IF($E$17="",9E+99,$E$17)),0),ROUNDUP(MIN(L214*$D$17,IF($E$17="",9E+99,$E$17)),0))))</f>
        <v/>
      </c>
      <c r="O214" s="20">
        <f>IF(L214="","",IF(OR($D$18="",$H$18="X",L214&lt;N($C$18)),0,IF(B214="G마켓",ROUNDDOWN(MIN(L214*$D$18,IF($E$18="",9E+99,$E$18)),0),ROUNDUP(MIN(L214*$D$18,IF($E$18="",9E+99,$E$18)),0))))</f>
        <v/>
      </c>
      <c r="P214" s="20">
        <f>IF(L214="","",IF(OR($D$19="",$H$19="X",L214&lt;N($C$19)),0,IF(B214="G마켓",ROUNDDOWN(MIN(L214*$D$19,IF($E$19="",9E+99,$E$19)),0),ROUNDUP(MIN(L214*$D$19,IF($E$19="",9E+99,$E$19)),0))))</f>
        <v/>
      </c>
      <c r="Q214" s="19">
        <f>IF(G214="","",L214-MAX(M214:P214))</f>
        <v/>
      </c>
      <c r="R214" s="20">
        <f>IF(Q214="","",IF(OR($D$23="",Q214&lt;N($C$23)),0,IF(B214="G마켓",ROUNDDOWN(MIN(Q214*$D$23,IF($E$23="",9E+99,$E$23)),0),ROUNDUP(MIN(Q214*$D$23,IF($E$23="",9E+99,$E$23)),0))))</f>
        <v/>
      </c>
      <c r="S214" s="20">
        <f>IF(Q214="","",IF(OR($D$24="",Q214&lt;N($C$24)),0,IF(B214="G마켓",ROUNDDOWN(MIN(Q214*$D$24,IF($E$24="",9E+99,$E$24)),0),ROUNDUP(MIN(Q214*$D$24,IF($E$24="",9E+99,$E$24)),0))))</f>
        <v/>
      </c>
      <c r="T214" s="20">
        <f>IF(Q214="","",IF(OR($D$25="",Q214&lt;N($C$25)),0,IF(B214="G마켓",ROUNDDOWN(MIN(Q214*$D$25,IF($E$25="",9E+99,$E$25)),0),ROUNDUP(MIN(Q214*$D$25,IF($E$25="",9E+99,$E$25)),0))))</f>
        <v/>
      </c>
      <c r="U214" s="19">
        <f>IF(G214="","",MAX(R214:T214))</f>
        <v/>
      </c>
      <c r="V214" s="21">
        <f>IF(G214="","",Q214-U214)</f>
        <v/>
      </c>
      <c r="W214" s="19">
        <f>IF(G214="","",IF(B214="G마켓",ROUNDDOWN(MAX(I214*N($G$10),J214*N($G$11),K214*N($G$12))+MAX(M214*N($G$16),N214*N($G$17),O214*N($G$18),P214*N($G$19))+MAX(R214*N($G$23),S214*N($G$24),T214*N($G$25)),0),ROUNDUP(MAX(I214*N($G$10),J214*N($G$11),K214*N($G$12))+MAX(M214*N($G$16),N214*N($G$17),O214*N($G$18),P214*N($G$19))+MAX(R214*N($G$23),S214*N($G$24),T214*N($G$25)),0)))</f>
        <v/>
      </c>
      <c r="X214" s="21">
        <f>IF(G214="","",IF(B214="G마켓",ROUNDDOWN(G214-G214*$Q$6-W214,0),ROUNDUP(G214-G214*$Q$6-W214,0)))</f>
        <v/>
      </c>
    </row>
    <row r="215">
      <c r="B215" s="7" t="n"/>
      <c r="C215" s="7" t="n"/>
      <c r="D215" s="22" t="n"/>
      <c r="E215" s="23" t="n"/>
      <c r="F215" s="23" t="n"/>
      <c r="G215" s="19">
        <f>IF(E215="","",E215-N(F215))</f>
        <v/>
      </c>
      <c r="I215" s="20">
        <f>IF(G215="","",IF(OR($D$10="",$H$10="X",G215&lt;N($C$10)),0,IF(B215="G마켓",ROUNDDOWN(MIN(G215*$D$10,IF($E$10="",9E+99,$E$10)),0),ROUNDUP(MIN(G215*$D$10,IF($E$10="",9E+99,$E$10)),0))))</f>
        <v/>
      </c>
      <c r="J215" s="20">
        <f>IF(G215="","",IF(OR($D$11="",$H$11="X",G215&lt;N($C$11)),0,IF(B215="G마켓",ROUNDDOWN(MIN(G215*$D$11,IF($E$11="",9E+99,$E$11)),0),ROUNDUP(MIN(G215*$D$11,IF($E$11="",9E+99,$E$11)),0))))</f>
        <v/>
      </c>
      <c r="K215" s="20">
        <f>IF(G215="","",IF(OR($D$12="",$H$12="X",G215&lt;N($C$12)),0,IF(B215="G마켓",ROUNDDOWN(MIN(G215*$D$12,IF($E$12="",9E+99,$E$12)),0),ROUNDUP(MIN(G215*$D$12,IF($E$12="",9E+99,$E$12)),0))))</f>
        <v/>
      </c>
      <c r="L215" s="19">
        <f>IF(G215="","",G215-MAX(I215:K215))</f>
        <v/>
      </c>
      <c r="M215" s="20">
        <f>IF(L215="","",IF(OR($D$16="",$H$16="X",L215&lt;N($C$16)),0,IF(B215="G마켓",ROUNDDOWN(MIN(L215*$D$16,IF($E$16="",9E+99,$E$16)),0),ROUNDUP(MIN(L215*$D$16,IF($E$16="",9E+99,$E$16)),0))))</f>
        <v/>
      </c>
      <c r="N215" s="20">
        <f>IF(L215="","",IF(OR($D$17="",$H$17="X",L215&lt;N($C$17)),0,IF(B215="G마켓",ROUNDDOWN(MIN(L215*$D$17,IF($E$17="",9E+99,$E$17)),0),ROUNDUP(MIN(L215*$D$17,IF($E$17="",9E+99,$E$17)),0))))</f>
        <v/>
      </c>
      <c r="O215" s="20">
        <f>IF(L215="","",IF(OR($D$18="",$H$18="X",L215&lt;N($C$18)),0,IF(B215="G마켓",ROUNDDOWN(MIN(L215*$D$18,IF($E$18="",9E+99,$E$18)),0),ROUNDUP(MIN(L215*$D$18,IF($E$18="",9E+99,$E$18)),0))))</f>
        <v/>
      </c>
      <c r="P215" s="20">
        <f>IF(L215="","",IF(OR($D$19="",$H$19="X",L215&lt;N($C$19)),0,IF(B215="G마켓",ROUNDDOWN(MIN(L215*$D$19,IF($E$19="",9E+99,$E$19)),0),ROUNDUP(MIN(L215*$D$19,IF($E$19="",9E+99,$E$19)),0))))</f>
        <v/>
      </c>
      <c r="Q215" s="19">
        <f>IF(G215="","",L215-MAX(M215:P215))</f>
        <v/>
      </c>
      <c r="R215" s="20">
        <f>IF(Q215="","",IF(OR($D$23="",Q215&lt;N($C$23)),0,IF(B215="G마켓",ROUNDDOWN(MIN(Q215*$D$23,IF($E$23="",9E+99,$E$23)),0),ROUNDUP(MIN(Q215*$D$23,IF($E$23="",9E+99,$E$23)),0))))</f>
        <v/>
      </c>
      <c r="S215" s="20">
        <f>IF(Q215="","",IF(OR($D$24="",Q215&lt;N($C$24)),0,IF(B215="G마켓",ROUNDDOWN(MIN(Q215*$D$24,IF($E$24="",9E+99,$E$24)),0),ROUNDUP(MIN(Q215*$D$24,IF($E$24="",9E+99,$E$24)),0))))</f>
        <v/>
      </c>
      <c r="T215" s="20">
        <f>IF(Q215="","",IF(OR($D$25="",Q215&lt;N($C$25)),0,IF(B215="G마켓",ROUNDDOWN(MIN(Q215*$D$25,IF($E$25="",9E+99,$E$25)),0),ROUNDUP(MIN(Q215*$D$25,IF($E$25="",9E+99,$E$25)),0))))</f>
        <v/>
      </c>
      <c r="U215" s="19">
        <f>IF(G215="","",MAX(R215:T215))</f>
        <v/>
      </c>
      <c r="V215" s="21">
        <f>IF(G215="","",Q215-U215)</f>
        <v/>
      </c>
      <c r="W215" s="19">
        <f>IF(G215="","",IF(B215="G마켓",ROUNDDOWN(MAX(I215*N($G$10),J215*N($G$11),K215*N($G$12))+MAX(M215*N($G$16),N215*N($G$17),O215*N($G$18),P215*N($G$19))+MAX(R215*N($G$23),S215*N($G$24),T215*N($G$25)),0),ROUNDUP(MAX(I215*N($G$10),J215*N($G$11),K215*N($G$12))+MAX(M215*N($G$16),N215*N($G$17),O215*N($G$18),P215*N($G$19))+MAX(R215*N($G$23),S215*N($G$24),T215*N($G$25)),0)))</f>
        <v/>
      </c>
      <c r="X215" s="21">
        <f>IF(G215="","",IF(B215="G마켓",ROUNDDOWN(G215-G215*$Q$6-W215,0),ROUNDUP(G215-G215*$Q$6-W215,0)))</f>
        <v/>
      </c>
    </row>
    <row r="216">
      <c r="B216" s="7" t="n"/>
      <c r="C216" s="7" t="n"/>
      <c r="D216" s="22" t="n"/>
      <c r="E216" s="23" t="n"/>
      <c r="F216" s="23" t="n"/>
      <c r="G216" s="19">
        <f>IF(E216="","",E216-N(F216))</f>
        <v/>
      </c>
      <c r="I216" s="20">
        <f>IF(G216="","",IF(OR($D$10="",$H$10="X",G216&lt;N($C$10)),0,IF(B216="G마켓",ROUNDDOWN(MIN(G216*$D$10,IF($E$10="",9E+99,$E$10)),0),ROUNDUP(MIN(G216*$D$10,IF($E$10="",9E+99,$E$10)),0))))</f>
        <v/>
      </c>
      <c r="J216" s="20">
        <f>IF(G216="","",IF(OR($D$11="",$H$11="X",G216&lt;N($C$11)),0,IF(B216="G마켓",ROUNDDOWN(MIN(G216*$D$11,IF($E$11="",9E+99,$E$11)),0),ROUNDUP(MIN(G216*$D$11,IF($E$11="",9E+99,$E$11)),0))))</f>
        <v/>
      </c>
      <c r="K216" s="20">
        <f>IF(G216="","",IF(OR($D$12="",$H$12="X",G216&lt;N($C$12)),0,IF(B216="G마켓",ROUNDDOWN(MIN(G216*$D$12,IF($E$12="",9E+99,$E$12)),0),ROUNDUP(MIN(G216*$D$12,IF($E$12="",9E+99,$E$12)),0))))</f>
        <v/>
      </c>
      <c r="L216" s="19">
        <f>IF(G216="","",G216-MAX(I216:K216))</f>
        <v/>
      </c>
      <c r="M216" s="20">
        <f>IF(L216="","",IF(OR($D$16="",$H$16="X",L216&lt;N($C$16)),0,IF(B216="G마켓",ROUNDDOWN(MIN(L216*$D$16,IF($E$16="",9E+99,$E$16)),0),ROUNDUP(MIN(L216*$D$16,IF($E$16="",9E+99,$E$16)),0))))</f>
        <v/>
      </c>
      <c r="N216" s="20">
        <f>IF(L216="","",IF(OR($D$17="",$H$17="X",L216&lt;N($C$17)),0,IF(B216="G마켓",ROUNDDOWN(MIN(L216*$D$17,IF($E$17="",9E+99,$E$17)),0),ROUNDUP(MIN(L216*$D$17,IF($E$17="",9E+99,$E$17)),0))))</f>
        <v/>
      </c>
      <c r="O216" s="20">
        <f>IF(L216="","",IF(OR($D$18="",$H$18="X",L216&lt;N($C$18)),0,IF(B216="G마켓",ROUNDDOWN(MIN(L216*$D$18,IF($E$18="",9E+99,$E$18)),0),ROUNDUP(MIN(L216*$D$18,IF($E$18="",9E+99,$E$18)),0))))</f>
        <v/>
      </c>
      <c r="P216" s="20">
        <f>IF(L216="","",IF(OR($D$19="",$H$19="X",L216&lt;N($C$19)),0,IF(B216="G마켓",ROUNDDOWN(MIN(L216*$D$19,IF($E$19="",9E+99,$E$19)),0),ROUNDUP(MIN(L216*$D$19,IF($E$19="",9E+99,$E$19)),0))))</f>
        <v/>
      </c>
      <c r="Q216" s="19">
        <f>IF(G216="","",L216-MAX(M216:P216))</f>
        <v/>
      </c>
      <c r="R216" s="20">
        <f>IF(Q216="","",IF(OR($D$23="",Q216&lt;N($C$23)),0,IF(B216="G마켓",ROUNDDOWN(MIN(Q216*$D$23,IF($E$23="",9E+99,$E$23)),0),ROUNDUP(MIN(Q216*$D$23,IF($E$23="",9E+99,$E$23)),0))))</f>
        <v/>
      </c>
      <c r="S216" s="20">
        <f>IF(Q216="","",IF(OR($D$24="",Q216&lt;N($C$24)),0,IF(B216="G마켓",ROUNDDOWN(MIN(Q216*$D$24,IF($E$24="",9E+99,$E$24)),0),ROUNDUP(MIN(Q216*$D$24,IF($E$24="",9E+99,$E$24)),0))))</f>
        <v/>
      </c>
      <c r="T216" s="20">
        <f>IF(Q216="","",IF(OR($D$25="",Q216&lt;N($C$25)),0,IF(B216="G마켓",ROUNDDOWN(MIN(Q216*$D$25,IF($E$25="",9E+99,$E$25)),0),ROUNDUP(MIN(Q216*$D$25,IF($E$25="",9E+99,$E$25)),0))))</f>
        <v/>
      </c>
      <c r="U216" s="19">
        <f>IF(G216="","",MAX(R216:T216))</f>
        <v/>
      </c>
      <c r="V216" s="21">
        <f>IF(G216="","",Q216-U216)</f>
        <v/>
      </c>
      <c r="W216" s="19">
        <f>IF(G216="","",IF(B216="G마켓",ROUNDDOWN(MAX(I216*N($G$10),J216*N($G$11),K216*N($G$12))+MAX(M216*N($G$16),N216*N($G$17),O216*N($G$18),P216*N($G$19))+MAX(R216*N($G$23),S216*N($G$24),T216*N($G$25)),0),ROUNDUP(MAX(I216*N($G$10),J216*N($G$11),K216*N($G$12))+MAX(M216*N($G$16),N216*N($G$17),O216*N($G$18),P216*N($G$19))+MAX(R216*N($G$23),S216*N($G$24),T216*N($G$25)),0)))</f>
        <v/>
      </c>
      <c r="X216" s="21">
        <f>IF(G216="","",IF(B216="G마켓",ROUNDDOWN(G216-G216*$Q$6-W216,0),ROUNDUP(G216-G216*$Q$6-W216,0)))</f>
        <v/>
      </c>
    </row>
    <row r="217">
      <c r="B217" s="7" t="n"/>
      <c r="C217" s="7" t="n"/>
      <c r="D217" s="22" t="n"/>
      <c r="E217" s="23" t="n"/>
      <c r="F217" s="23" t="n"/>
      <c r="G217" s="19">
        <f>IF(E217="","",E217-N(F217))</f>
        <v/>
      </c>
      <c r="I217" s="20">
        <f>IF(G217="","",IF(OR($D$10="",$H$10="X",G217&lt;N($C$10)),0,IF(B217="G마켓",ROUNDDOWN(MIN(G217*$D$10,IF($E$10="",9E+99,$E$10)),0),ROUNDUP(MIN(G217*$D$10,IF($E$10="",9E+99,$E$10)),0))))</f>
        <v/>
      </c>
      <c r="J217" s="20">
        <f>IF(G217="","",IF(OR($D$11="",$H$11="X",G217&lt;N($C$11)),0,IF(B217="G마켓",ROUNDDOWN(MIN(G217*$D$11,IF($E$11="",9E+99,$E$11)),0),ROUNDUP(MIN(G217*$D$11,IF($E$11="",9E+99,$E$11)),0))))</f>
        <v/>
      </c>
      <c r="K217" s="20">
        <f>IF(G217="","",IF(OR($D$12="",$H$12="X",G217&lt;N($C$12)),0,IF(B217="G마켓",ROUNDDOWN(MIN(G217*$D$12,IF($E$12="",9E+99,$E$12)),0),ROUNDUP(MIN(G217*$D$12,IF($E$12="",9E+99,$E$12)),0))))</f>
        <v/>
      </c>
      <c r="L217" s="19">
        <f>IF(G217="","",G217-MAX(I217:K217))</f>
        <v/>
      </c>
      <c r="M217" s="20">
        <f>IF(L217="","",IF(OR($D$16="",$H$16="X",L217&lt;N($C$16)),0,IF(B217="G마켓",ROUNDDOWN(MIN(L217*$D$16,IF($E$16="",9E+99,$E$16)),0),ROUNDUP(MIN(L217*$D$16,IF($E$16="",9E+99,$E$16)),0))))</f>
        <v/>
      </c>
      <c r="N217" s="20">
        <f>IF(L217="","",IF(OR($D$17="",$H$17="X",L217&lt;N($C$17)),0,IF(B217="G마켓",ROUNDDOWN(MIN(L217*$D$17,IF($E$17="",9E+99,$E$17)),0),ROUNDUP(MIN(L217*$D$17,IF($E$17="",9E+99,$E$17)),0))))</f>
        <v/>
      </c>
      <c r="O217" s="20">
        <f>IF(L217="","",IF(OR($D$18="",$H$18="X",L217&lt;N($C$18)),0,IF(B217="G마켓",ROUNDDOWN(MIN(L217*$D$18,IF($E$18="",9E+99,$E$18)),0),ROUNDUP(MIN(L217*$D$18,IF($E$18="",9E+99,$E$18)),0))))</f>
        <v/>
      </c>
      <c r="P217" s="20">
        <f>IF(L217="","",IF(OR($D$19="",$H$19="X",L217&lt;N($C$19)),0,IF(B217="G마켓",ROUNDDOWN(MIN(L217*$D$19,IF($E$19="",9E+99,$E$19)),0),ROUNDUP(MIN(L217*$D$19,IF($E$19="",9E+99,$E$19)),0))))</f>
        <v/>
      </c>
      <c r="Q217" s="19">
        <f>IF(G217="","",L217-MAX(M217:P217))</f>
        <v/>
      </c>
      <c r="R217" s="20">
        <f>IF(Q217="","",IF(OR($D$23="",Q217&lt;N($C$23)),0,IF(B217="G마켓",ROUNDDOWN(MIN(Q217*$D$23,IF($E$23="",9E+99,$E$23)),0),ROUNDUP(MIN(Q217*$D$23,IF($E$23="",9E+99,$E$23)),0))))</f>
        <v/>
      </c>
      <c r="S217" s="20">
        <f>IF(Q217="","",IF(OR($D$24="",Q217&lt;N($C$24)),0,IF(B217="G마켓",ROUNDDOWN(MIN(Q217*$D$24,IF($E$24="",9E+99,$E$24)),0),ROUNDUP(MIN(Q217*$D$24,IF($E$24="",9E+99,$E$24)),0))))</f>
        <v/>
      </c>
      <c r="T217" s="20">
        <f>IF(Q217="","",IF(OR($D$25="",Q217&lt;N($C$25)),0,IF(B217="G마켓",ROUNDDOWN(MIN(Q217*$D$25,IF($E$25="",9E+99,$E$25)),0),ROUNDUP(MIN(Q217*$D$25,IF($E$25="",9E+99,$E$25)),0))))</f>
        <v/>
      </c>
      <c r="U217" s="19">
        <f>IF(G217="","",MAX(R217:T217))</f>
        <v/>
      </c>
      <c r="V217" s="21">
        <f>IF(G217="","",Q217-U217)</f>
        <v/>
      </c>
      <c r="W217" s="19">
        <f>IF(G217="","",IF(B217="G마켓",ROUNDDOWN(MAX(I217*N($G$10),J217*N($G$11),K217*N($G$12))+MAX(M217*N($G$16),N217*N($G$17),O217*N($G$18),P217*N($G$19))+MAX(R217*N($G$23),S217*N($G$24),T217*N($G$25)),0),ROUNDUP(MAX(I217*N($G$10),J217*N($G$11),K217*N($G$12))+MAX(M217*N($G$16),N217*N($G$17),O217*N($G$18),P217*N($G$19))+MAX(R217*N($G$23),S217*N($G$24),T217*N($G$25)),0)))</f>
        <v/>
      </c>
      <c r="X217" s="21">
        <f>IF(G217="","",IF(B217="G마켓",ROUNDDOWN(G217-G217*$Q$6-W217,0),ROUNDUP(G217-G217*$Q$6-W217,0)))</f>
        <v/>
      </c>
    </row>
    <row r="218">
      <c r="B218" s="7" t="n"/>
      <c r="C218" s="7" t="n"/>
      <c r="D218" s="22" t="n"/>
      <c r="E218" s="23" t="n"/>
      <c r="F218" s="23" t="n"/>
      <c r="G218" s="19">
        <f>IF(E218="","",E218-N(F218))</f>
        <v/>
      </c>
      <c r="I218" s="20">
        <f>IF(G218="","",IF(OR($D$10="",$H$10="X",G218&lt;N($C$10)),0,IF(B218="G마켓",ROUNDDOWN(MIN(G218*$D$10,IF($E$10="",9E+99,$E$10)),0),ROUNDUP(MIN(G218*$D$10,IF($E$10="",9E+99,$E$10)),0))))</f>
        <v/>
      </c>
      <c r="J218" s="20">
        <f>IF(G218="","",IF(OR($D$11="",$H$11="X",G218&lt;N($C$11)),0,IF(B218="G마켓",ROUNDDOWN(MIN(G218*$D$11,IF($E$11="",9E+99,$E$11)),0),ROUNDUP(MIN(G218*$D$11,IF($E$11="",9E+99,$E$11)),0))))</f>
        <v/>
      </c>
      <c r="K218" s="20">
        <f>IF(G218="","",IF(OR($D$12="",$H$12="X",G218&lt;N($C$12)),0,IF(B218="G마켓",ROUNDDOWN(MIN(G218*$D$12,IF($E$12="",9E+99,$E$12)),0),ROUNDUP(MIN(G218*$D$12,IF($E$12="",9E+99,$E$12)),0))))</f>
        <v/>
      </c>
      <c r="L218" s="19">
        <f>IF(G218="","",G218-MAX(I218:K218))</f>
        <v/>
      </c>
      <c r="M218" s="20">
        <f>IF(L218="","",IF(OR($D$16="",$H$16="X",L218&lt;N($C$16)),0,IF(B218="G마켓",ROUNDDOWN(MIN(L218*$D$16,IF($E$16="",9E+99,$E$16)),0),ROUNDUP(MIN(L218*$D$16,IF($E$16="",9E+99,$E$16)),0))))</f>
        <v/>
      </c>
      <c r="N218" s="20">
        <f>IF(L218="","",IF(OR($D$17="",$H$17="X",L218&lt;N($C$17)),0,IF(B218="G마켓",ROUNDDOWN(MIN(L218*$D$17,IF($E$17="",9E+99,$E$17)),0),ROUNDUP(MIN(L218*$D$17,IF($E$17="",9E+99,$E$17)),0))))</f>
        <v/>
      </c>
      <c r="O218" s="20">
        <f>IF(L218="","",IF(OR($D$18="",$H$18="X",L218&lt;N($C$18)),0,IF(B218="G마켓",ROUNDDOWN(MIN(L218*$D$18,IF($E$18="",9E+99,$E$18)),0),ROUNDUP(MIN(L218*$D$18,IF($E$18="",9E+99,$E$18)),0))))</f>
        <v/>
      </c>
      <c r="P218" s="20">
        <f>IF(L218="","",IF(OR($D$19="",$H$19="X",L218&lt;N($C$19)),0,IF(B218="G마켓",ROUNDDOWN(MIN(L218*$D$19,IF($E$19="",9E+99,$E$19)),0),ROUNDUP(MIN(L218*$D$19,IF($E$19="",9E+99,$E$19)),0))))</f>
        <v/>
      </c>
      <c r="Q218" s="19">
        <f>IF(G218="","",L218-MAX(M218:P218))</f>
        <v/>
      </c>
      <c r="R218" s="20">
        <f>IF(Q218="","",IF(OR($D$23="",Q218&lt;N($C$23)),0,IF(B218="G마켓",ROUNDDOWN(MIN(Q218*$D$23,IF($E$23="",9E+99,$E$23)),0),ROUNDUP(MIN(Q218*$D$23,IF($E$23="",9E+99,$E$23)),0))))</f>
        <v/>
      </c>
      <c r="S218" s="20">
        <f>IF(Q218="","",IF(OR($D$24="",Q218&lt;N($C$24)),0,IF(B218="G마켓",ROUNDDOWN(MIN(Q218*$D$24,IF($E$24="",9E+99,$E$24)),0),ROUNDUP(MIN(Q218*$D$24,IF($E$24="",9E+99,$E$24)),0))))</f>
        <v/>
      </c>
      <c r="T218" s="20">
        <f>IF(Q218="","",IF(OR($D$25="",Q218&lt;N($C$25)),0,IF(B218="G마켓",ROUNDDOWN(MIN(Q218*$D$25,IF($E$25="",9E+99,$E$25)),0),ROUNDUP(MIN(Q218*$D$25,IF($E$25="",9E+99,$E$25)),0))))</f>
        <v/>
      </c>
      <c r="U218" s="19">
        <f>IF(G218="","",MAX(R218:T218))</f>
        <v/>
      </c>
      <c r="V218" s="21">
        <f>IF(G218="","",Q218-U218)</f>
        <v/>
      </c>
      <c r="W218" s="19">
        <f>IF(G218="","",IF(B218="G마켓",ROUNDDOWN(MAX(I218*N($G$10),J218*N($G$11),K218*N($G$12))+MAX(M218*N($G$16),N218*N($G$17),O218*N($G$18),P218*N($G$19))+MAX(R218*N($G$23),S218*N($G$24),T218*N($G$25)),0),ROUNDUP(MAX(I218*N($G$10),J218*N($G$11),K218*N($G$12))+MAX(M218*N($G$16),N218*N($G$17),O218*N($G$18),P218*N($G$19))+MAX(R218*N($G$23),S218*N($G$24),T218*N($G$25)),0)))</f>
        <v/>
      </c>
      <c r="X218" s="21">
        <f>IF(G218="","",IF(B218="G마켓",ROUNDDOWN(G218-G218*$Q$6-W218,0),ROUNDUP(G218-G218*$Q$6-W218,0)))</f>
        <v/>
      </c>
    </row>
    <row r="219">
      <c r="B219" s="7" t="n"/>
      <c r="C219" s="7" t="n"/>
      <c r="D219" s="22" t="n"/>
      <c r="E219" s="23" t="n"/>
      <c r="F219" s="23" t="n"/>
      <c r="G219" s="19">
        <f>IF(E219="","",E219-N(F219))</f>
        <v/>
      </c>
      <c r="I219" s="20">
        <f>IF(G219="","",IF(OR($D$10="",$H$10="X",G219&lt;N($C$10)),0,IF(B219="G마켓",ROUNDDOWN(MIN(G219*$D$10,IF($E$10="",9E+99,$E$10)),0),ROUNDUP(MIN(G219*$D$10,IF($E$10="",9E+99,$E$10)),0))))</f>
        <v/>
      </c>
      <c r="J219" s="20">
        <f>IF(G219="","",IF(OR($D$11="",$H$11="X",G219&lt;N($C$11)),0,IF(B219="G마켓",ROUNDDOWN(MIN(G219*$D$11,IF($E$11="",9E+99,$E$11)),0),ROUNDUP(MIN(G219*$D$11,IF($E$11="",9E+99,$E$11)),0))))</f>
        <v/>
      </c>
      <c r="K219" s="20">
        <f>IF(G219="","",IF(OR($D$12="",$H$12="X",G219&lt;N($C$12)),0,IF(B219="G마켓",ROUNDDOWN(MIN(G219*$D$12,IF($E$12="",9E+99,$E$12)),0),ROUNDUP(MIN(G219*$D$12,IF($E$12="",9E+99,$E$12)),0))))</f>
        <v/>
      </c>
      <c r="L219" s="19">
        <f>IF(G219="","",G219-MAX(I219:K219))</f>
        <v/>
      </c>
      <c r="M219" s="20">
        <f>IF(L219="","",IF(OR($D$16="",$H$16="X",L219&lt;N($C$16)),0,IF(B219="G마켓",ROUNDDOWN(MIN(L219*$D$16,IF($E$16="",9E+99,$E$16)),0),ROUNDUP(MIN(L219*$D$16,IF($E$16="",9E+99,$E$16)),0))))</f>
        <v/>
      </c>
      <c r="N219" s="20">
        <f>IF(L219="","",IF(OR($D$17="",$H$17="X",L219&lt;N($C$17)),0,IF(B219="G마켓",ROUNDDOWN(MIN(L219*$D$17,IF($E$17="",9E+99,$E$17)),0),ROUNDUP(MIN(L219*$D$17,IF($E$17="",9E+99,$E$17)),0))))</f>
        <v/>
      </c>
      <c r="O219" s="20">
        <f>IF(L219="","",IF(OR($D$18="",$H$18="X",L219&lt;N($C$18)),0,IF(B219="G마켓",ROUNDDOWN(MIN(L219*$D$18,IF($E$18="",9E+99,$E$18)),0),ROUNDUP(MIN(L219*$D$18,IF($E$18="",9E+99,$E$18)),0))))</f>
        <v/>
      </c>
      <c r="P219" s="20">
        <f>IF(L219="","",IF(OR($D$19="",$H$19="X",L219&lt;N($C$19)),0,IF(B219="G마켓",ROUNDDOWN(MIN(L219*$D$19,IF($E$19="",9E+99,$E$19)),0),ROUNDUP(MIN(L219*$D$19,IF($E$19="",9E+99,$E$19)),0))))</f>
        <v/>
      </c>
      <c r="Q219" s="19">
        <f>IF(G219="","",L219-MAX(M219:P219))</f>
        <v/>
      </c>
      <c r="R219" s="20">
        <f>IF(Q219="","",IF(OR($D$23="",Q219&lt;N($C$23)),0,IF(B219="G마켓",ROUNDDOWN(MIN(Q219*$D$23,IF($E$23="",9E+99,$E$23)),0),ROUNDUP(MIN(Q219*$D$23,IF($E$23="",9E+99,$E$23)),0))))</f>
        <v/>
      </c>
      <c r="S219" s="20">
        <f>IF(Q219="","",IF(OR($D$24="",Q219&lt;N($C$24)),0,IF(B219="G마켓",ROUNDDOWN(MIN(Q219*$D$24,IF($E$24="",9E+99,$E$24)),0),ROUNDUP(MIN(Q219*$D$24,IF($E$24="",9E+99,$E$24)),0))))</f>
        <v/>
      </c>
      <c r="T219" s="20">
        <f>IF(Q219="","",IF(OR($D$25="",Q219&lt;N($C$25)),0,IF(B219="G마켓",ROUNDDOWN(MIN(Q219*$D$25,IF($E$25="",9E+99,$E$25)),0),ROUNDUP(MIN(Q219*$D$25,IF($E$25="",9E+99,$E$25)),0))))</f>
        <v/>
      </c>
      <c r="U219" s="19">
        <f>IF(G219="","",MAX(R219:T219))</f>
        <v/>
      </c>
      <c r="V219" s="21">
        <f>IF(G219="","",Q219-U219)</f>
        <v/>
      </c>
      <c r="W219" s="19">
        <f>IF(G219="","",IF(B219="G마켓",ROUNDDOWN(MAX(I219*N($G$10),J219*N($G$11),K219*N($G$12))+MAX(M219*N($G$16),N219*N($G$17),O219*N($G$18),P219*N($G$19))+MAX(R219*N($G$23),S219*N($G$24),T219*N($G$25)),0),ROUNDUP(MAX(I219*N($G$10),J219*N($G$11),K219*N($G$12))+MAX(M219*N($G$16),N219*N($G$17),O219*N($G$18),P219*N($G$19))+MAX(R219*N($G$23),S219*N($G$24),T219*N($G$25)),0)))</f>
        <v/>
      </c>
      <c r="X219" s="21">
        <f>IF(G219="","",IF(B219="G마켓",ROUNDDOWN(G219-G219*$Q$6-W219,0),ROUNDUP(G219-G219*$Q$6-W219,0)))</f>
        <v/>
      </c>
    </row>
    <row r="220">
      <c r="B220" s="7" t="n"/>
      <c r="C220" s="7" t="n"/>
      <c r="D220" s="22" t="n"/>
      <c r="E220" s="23" t="n"/>
      <c r="F220" s="23" t="n"/>
      <c r="G220" s="19">
        <f>IF(E220="","",E220-N(F220))</f>
        <v/>
      </c>
      <c r="I220" s="20">
        <f>IF(G220="","",IF(OR($D$10="",$H$10="X",G220&lt;N($C$10)),0,IF(B220="G마켓",ROUNDDOWN(MIN(G220*$D$10,IF($E$10="",9E+99,$E$10)),0),ROUNDUP(MIN(G220*$D$10,IF($E$10="",9E+99,$E$10)),0))))</f>
        <v/>
      </c>
      <c r="J220" s="20">
        <f>IF(G220="","",IF(OR($D$11="",$H$11="X",G220&lt;N($C$11)),0,IF(B220="G마켓",ROUNDDOWN(MIN(G220*$D$11,IF($E$11="",9E+99,$E$11)),0),ROUNDUP(MIN(G220*$D$11,IF($E$11="",9E+99,$E$11)),0))))</f>
        <v/>
      </c>
      <c r="K220" s="20">
        <f>IF(G220="","",IF(OR($D$12="",$H$12="X",G220&lt;N($C$12)),0,IF(B220="G마켓",ROUNDDOWN(MIN(G220*$D$12,IF($E$12="",9E+99,$E$12)),0),ROUNDUP(MIN(G220*$D$12,IF($E$12="",9E+99,$E$12)),0))))</f>
        <v/>
      </c>
      <c r="L220" s="19">
        <f>IF(G220="","",G220-MAX(I220:K220))</f>
        <v/>
      </c>
      <c r="M220" s="20">
        <f>IF(L220="","",IF(OR($D$16="",$H$16="X",L220&lt;N($C$16)),0,IF(B220="G마켓",ROUNDDOWN(MIN(L220*$D$16,IF($E$16="",9E+99,$E$16)),0),ROUNDUP(MIN(L220*$D$16,IF($E$16="",9E+99,$E$16)),0))))</f>
        <v/>
      </c>
      <c r="N220" s="20">
        <f>IF(L220="","",IF(OR($D$17="",$H$17="X",L220&lt;N($C$17)),0,IF(B220="G마켓",ROUNDDOWN(MIN(L220*$D$17,IF($E$17="",9E+99,$E$17)),0),ROUNDUP(MIN(L220*$D$17,IF($E$17="",9E+99,$E$17)),0))))</f>
        <v/>
      </c>
      <c r="O220" s="20">
        <f>IF(L220="","",IF(OR($D$18="",$H$18="X",L220&lt;N($C$18)),0,IF(B220="G마켓",ROUNDDOWN(MIN(L220*$D$18,IF($E$18="",9E+99,$E$18)),0),ROUNDUP(MIN(L220*$D$18,IF($E$18="",9E+99,$E$18)),0))))</f>
        <v/>
      </c>
      <c r="P220" s="20">
        <f>IF(L220="","",IF(OR($D$19="",$H$19="X",L220&lt;N($C$19)),0,IF(B220="G마켓",ROUNDDOWN(MIN(L220*$D$19,IF($E$19="",9E+99,$E$19)),0),ROUNDUP(MIN(L220*$D$19,IF($E$19="",9E+99,$E$19)),0))))</f>
        <v/>
      </c>
      <c r="Q220" s="19">
        <f>IF(G220="","",L220-MAX(M220:P220))</f>
        <v/>
      </c>
      <c r="R220" s="20">
        <f>IF(Q220="","",IF(OR($D$23="",Q220&lt;N($C$23)),0,IF(B220="G마켓",ROUNDDOWN(MIN(Q220*$D$23,IF($E$23="",9E+99,$E$23)),0),ROUNDUP(MIN(Q220*$D$23,IF($E$23="",9E+99,$E$23)),0))))</f>
        <v/>
      </c>
      <c r="S220" s="20">
        <f>IF(Q220="","",IF(OR($D$24="",Q220&lt;N($C$24)),0,IF(B220="G마켓",ROUNDDOWN(MIN(Q220*$D$24,IF($E$24="",9E+99,$E$24)),0),ROUNDUP(MIN(Q220*$D$24,IF($E$24="",9E+99,$E$24)),0))))</f>
        <v/>
      </c>
      <c r="T220" s="20">
        <f>IF(Q220="","",IF(OR($D$25="",Q220&lt;N($C$25)),0,IF(B220="G마켓",ROUNDDOWN(MIN(Q220*$D$25,IF($E$25="",9E+99,$E$25)),0),ROUNDUP(MIN(Q220*$D$25,IF($E$25="",9E+99,$E$25)),0))))</f>
        <v/>
      </c>
      <c r="U220" s="19">
        <f>IF(G220="","",MAX(R220:T220))</f>
        <v/>
      </c>
      <c r="V220" s="21">
        <f>IF(G220="","",Q220-U220)</f>
        <v/>
      </c>
      <c r="W220" s="19">
        <f>IF(G220="","",IF(B220="G마켓",ROUNDDOWN(MAX(I220*N($G$10),J220*N($G$11),K220*N($G$12))+MAX(M220*N($G$16),N220*N($G$17),O220*N($G$18),P220*N($G$19))+MAX(R220*N($G$23),S220*N($G$24),T220*N($G$25)),0),ROUNDUP(MAX(I220*N($G$10),J220*N($G$11),K220*N($G$12))+MAX(M220*N($G$16),N220*N($G$17),O220*N($G$18),P220*N($G$19))+MAX(R220*N($G$23),S220*N($G$24),T220*N($G$25)),0)))</f>
        <v/>
      </c>
      <c r="X220" s="21">
        <f>IF(G220="","",IF(B220="G마켓",ROUNDDOWN(G220-G220*$Q$6-W220,0),ROUNDUP(G220-G220*$Q$6-W220,0)))</f>
        <v/>
      </c>
    </row>
    <row r="221">
      <c r="B221" s="7" t="n"/>
      <c r="C221" s="7" t="n"/>
      <c r="D221" s="22" t="n"/>
      <c r="E221" s="23" t="n"/>
      <c r="F221" s="23" t="n"/>
      <c r="G221" s="19">
        <f>IF(E221="","",E221-N(F221))</f>
        <v/>
      </c>
      <c r="I221" s="20">
        <f>IF(G221="","",IF(OR($D$10="",$H$10="X",G221&lt;N($C$10)),0,IF(B221="G마켓",ROUNDDOWN(MIN(G221*$D$10,IF($E$10="",9E+99,$E$10)),0),ROUNDUP(MIN(G221*$D$10,IF($E$10="",9E+99,$E$10)),0))))</f>
        <v/>
      </c>
      <c r="J221" s="20">
        <f>IF(G221="","",IF(OR($D$11="",$H$11="X",G221&lt;N($C$11)),0,IF(B221="G마켓",ROUNDDOWN(MIN(G221*$D$11,IF($E$11="",9E+99,$E$11)),0),ROUNDUP(MIN(G221*$D$11,IF($E$11="",9E+99,$E$11)),0))))</f>
        <v/>
      </c>
      <c r="K221" s="20">
        <f>IF(G221="","",IF(OR($D$12="",$H$12="X",G221&lt;N($C$12)),0,IF(B221="G마켓",ROUNDDOWN(MIN(G221*$D$12,IF($E$12="",9E+99,$E$12)),0),ROUNDUP(MIN(G221*$D$12,IF($E$12="",9E+99,$E$12)),0))))</f>
        <v/>
      </c>
      <c r="L221" s="19">
        <f>IF(G221="","",G221-MAX(I221:K221))</f>
        <v/>
      </c>
      <c r="M221" s="20">
        <f>IF(L221="","",IF(OR($D$16="",$H$16="X",L221&lt;N($C$16)),0,IF(B221="G마켓",ROUNDDOWN(MIN(L221*$D$16,IF($E$16="",9E+99,$E$16)),0),ROUNDUP(MIN(L221*$D$16,IF($E$16="",9E+99,$E$16)),0))))</f>
        <v/>
      </c>
      <c r="N221" s="20">
        <f>IF(L221="","",IF(OR($D$17="",$H$17="X",L221&lt;N($C$17)),0,IF(B221="G마켓",ROUNDDOWN(MIN(L221*$D$17,IF($E$17="",9E+99,$E$17)),0),ROUNDUP(MIN(L221*$D$17,IF($E$17="",9E+99,$E$17)),0))))</f>
        <v/>
      </c>
      <c r="O221" s="20">
        <f>IF(L221="","",IF(OR($D$18="",$H$18="X",L221&lt;N($C$18)),0,IF(B221="G마켓",ROUNDDOWN(MIN(L221*$D$18,IF($E$18="",9E+99,$E$18)),0),ROUNDUP(MIN(L221*$D$18,IF($E$18="",9E+99,$E$18)),0))))</f>
        <v/>
      </c>
      <c r="P221" s="20">
        <f>IF(L221="","",IF(OR($D$19="",$H$19="X",L221&lt;N($C$19)),0,IF(B221="G마켓",ROUNDDOWN(MIN(L221*$D$19,IF($E$19="",9E+99,$E$19)),0),ROUNDUP(MIN(L221*$D$19,IF($E$19="",9E+99,$E$19)),0))))</f>
        <v/>
      </c>
      <c r="Q221" s="19">
        <f>IF(G221="","",L221-MAX(M221:P221))</f>
        <v/>
      </c>
      <c r="R221" s="20">
        <f>IF(Q221="","",IF(OR($D$23="",Q221&lt;N($C$23)),0,IF(B221="G마켓",ROUNDDOWN(MIN(Q221*$D$23,IF($E$23="",9E+99,$E$23)),0),ROUNDUP(MIN(Q221*$D$23,IF($E$23="",9E+99,$E$23)),0))))</f>
        <v/>
      </c>
      <c r="S221" s="20">
        <f>IF(Q221="","",IF(OR($D$24="",Q221&lt;N($C$24)),0,IF(B221="G마켓",ROUNDDOWN(MIN(Q221*$D$24,IF($E$24="",9E+99,$E$24)),0),ROUNDUP(MIN(Q221*$D$24,IF($E$24="",9E+99,$E$24)),0))))</f>
        <v/>
      </c>
      <c r="T221" s="20">
        <f>IF(Q221="","",IF(OR($D$25="",Q221&lt;N($C$25)),0,IF(B221="G마켓",ROUNDDOWN(MIN(Q221*$D$25,IF($E$25="",9E+99,$E$25)),0),ROUNDUP(MIN(Q221*$D$25,IF($E$25="",9E+99,$E$25)),0))))</f>
        <v/>
      </c>
      <c r="U221" s="19">
        <f>IF(G221="","",MAX(R221:T221))</f>
        <v/>
      </c>
      <c r="V221" s="21">
        <f>IF(G221="","",Q221-U221)</f>
        <v/>
      </c>
      <c r="W221" s="19">
        <f>IF(G221="","",IF(B221="G마켓",ROUNDDOWN(MAX(I221*N($G$10),J221*N($G$11),K221*N($G$12))+MAX(M221*N($G$16),N221*N($G$17),O221*N($G$18),P221*N($G$19))+MAX(R221*N($G$23),S221*N($G$24),T221*N($G$25)),0),ROUNDUP(MAX(I221*N($G$10),J221*N($G$11),K221*N($G$12))+MAX(M221*N($G$16),N221*N($G$17),O221*N($G$18),P221*N($G$19))+MAX(R221*N($G$23),S221*N($G$24),T221*N($G$25)),0)))</f>
        <v/>
      </c>
      <c r="X221" s="21">
        <f>IF(G221="","",IF(B221="G마켓",ROUNDDOWN(G221-G221*$Q$6-W221,0),ROUNDUP(G221-G221*$Q$6-W221,0)))</f>
        <v/>
      </c>
    </row>
    <row r="222">
      <c r="B222" s="7" t="n"/>
      <c r="C222" s="7" t="n"/>
      <c r="D222" s="22" t="n"/>
      <c r="E222" s="23" t="n"/>
      <c r="F222" s="23" t="n"/>
      <c r="G222" s="19">
        <f>IF(E222="","",E222-N(F222))</f>
        <v/>
      </c>
      <c r="I222" s="20">
        <f>IF(G222="","",IF(OR($D$10="",$H$10="X",G222&lt;N($C$10)),0,IF(B222="G마켓",ROUNDDOWN(MIN(G222*$D$10,IF($E$10="",9E+99,$E$10)),0),ROUNDUP(MIN(G222*$D$10,IF($E$10="",9E+99,$E$10)),0))))</f>
        <v/>
      </c>
      <c r="J222" s="20">
        <f>IF(G222="","",IF(OR($D$11="",$H$11="X",G222&lt;N($C$11)),0,IF(B222="G마켓",ROUNDDOWN(MIN(G222*$D$11,IF($E$11="",9E+99,$E$11)),0),ROUNDUP(MIN(G222*$D$11,IF($E$11="",9E+99,$E$11)),0))))</f>
        <v/>
      </c>
      <c r="K222" s="20">
        <f>IF(G222="","",IF(OR($D$12="",$H$12="X",G222&lt;N($C$12)),0,IF(B222="G마켓",ROUNDDOWN(MIN(G222*$D$12,IF($E$12="",9E+99,$E$12)),0),ROUNDUP(MIN(G222*$D$12,IF($E$12="",9E+99,$E$12)),0))))</f>
        <v/>
      </c>
      <c r="L222" s="19">
        <f>IF(G222="","",G222-MAX(I222:K222))</f>
        <v/>
      </c>
      <c r="M222" s="20">
        <f>IF(L222="","",IF(OR($D$16="",$H$16="X",L222&lt;N($C$16)),0,IF(B222="G마켓",ROUNDDOWN(MIN(L222*$D$16,IF($E$16="",9E+99,$E$16)),0),ROUNDUP(MIN(L222*$D$16,IF($E$16="",9E+99,$E$16)),0))))</f>
        <v/>
      </c>
      <c r="N222" s="20">
        <f>IF(L222="","",IF(OR($D$17="",$H$17="X",L222&lt;N($C$17)),0,IF(B222="G마켓",ROUNDDOWN(MIN(L222*$D$17,IF($E$17="",9E+99,$E$17)),0),ROUNDUP(MIN(L222*$D$17,IF($E$17="",9E+99,$E$17)),0))))</f>
        <v/>
      </c>
      <c r="O222" s="20">
        <f>IF(L222="","",IF(OR($D$18="",$H$18="X",L222&lt;N($C$18)),0,IF(B222="G마켓",ROUNDDOWN(MIN(L222*$D$18,IF($E$18="",9E+99,$E$18)),0),ROUNDUP(MIN(L222*$D$18,IF($E$18="",9E+99,$E$18)),0))))</f>
        <v/>
      </c>
      <c r="P222" s="20">
        <f>IF(L222="","",IF(OR($D$19="",$H$19="X",L222&lt;N($C$19)),0,IF(B222="G마켓",ROUNDDOWN(MIN(L222*$D$19,IF($E$19="",9E+99,$E$19)),0),ROUNDUP(MIN(L222*$D$19,IF($E$19="",9E+99,$E$19)),0))))</f>
        <v/>
      </c>
      <c r="Q222" s="19">
        <f>IF(G222="","",L222-MAX(M222:P222))</f>
        <v/>
      </c>
      <c r="R222" s="20">
        <f>IF(Q222="","",IF(OR($D$23="",Q222&lt;N($C$23)),0,IF(B222="G마켓",ROUNDDOWN(MIN(Q222*$D$23,IF($E$23="",9E+99,$E$23)),0),ROUNDUP(MIN(Q222*$D$23,IF($E$23="",9E+99,$E$23)),0))))</f>
        <v/>
      </c>
      <c r="S222" s="20">
        <f>IF(Q222="","",IF(OR($D$24="",Q222&lt;N($C$24)),0,IF(B222="G마켓",ROUNDDOWN(MIN(Q222*$D$24,IF($E$24="",9E+99,$E$24)),0),ROUNDUP(MIN(Q222*$D$24,IF($E$24="",9E+99,$E$24)),0))))</f>
        <v/>
      </c>
      <c r="T222" s="20">
        <f>IF(Q222="","",IF(OR($D$25="",Q222&lt;N($C$25)),0,IF(B222="G마켓",ROUNDDOWN(MIN(Q222*$D$25,IF($E$25="",9E+99,$E$25)),0),ROUNDUP(MIN(Q222*$D$25,IF($E$25="",9E+99,$E$25)),0))))</f>
        <v/>
      </c>
      <c r="U222" s="19">
        <f>IF(G222="","",MAX(R222:T222))</f>
        <v/>
      </c>
      <c r="V222" s="21">
        <f>IF(G222="","",Q222-U222)</f>
        <v/>
      </c>
      <c r="W222" s="19">
        <f>IF(G222="","",IF(B222="G마켓",ROUNDDOWN(MAX(I222*N($G$10),J222*N($G$11),K222*N($G$12))+MAX(M222*N($G$16),N222*N($G$17),O222*N($G$18),P222*N($G$19))+MAX(R222*N($G$23),S222*N($G$24),T222*N($G$25)),0),ROUNDUP(MAX(I222*N($G$10),J222*N($G$11),K222*N($G$12))+MAX(M222*N($G$16),N222*N($G$17),O222*N($G$18),P222*N($G$19))+MAX(R222*N($G$23),S222*N($G$24),T222*N($G$25)),0)))</f>
        <v/>
      </c>
      <c r="X222" s="21">
        <f>IF(G222="","",IF(B222="G마켓",ROUNDDOWN(G222-G222*$Q$6-W222,0),ROUNDUP(G222-G222*$Q$6-W222,0)))</f>
        <v/>
      </c>
    </row>
    <row r="223">
      <c r="B223" s="7" t="n"/>
      <c r="C223" s="7" t="n"/>
      <c r="D223" s="22" t="n"/>
      <c r="E223" s="23" t="n"/>
      <c r="F223" s="23" t="n"/>
      <c r="G223" s="19">
        <f>IF(E223="","",E223-N(F223))</f>
        <v/>
      </c>
      <c r="I223" s="20">
        <f>IF(G223="","",IF(OR($D$10="",$H$10="X",G223&lt;N($C$10)),0,IF(B223="G마켓",ROUNDDOWN(MIN(G223*$D$10,IF($E$10="",9E+99,$E$10)),0),ROUNDUP(MIN(G223*$D$10,IF($E$10="",9E+99,$E$10)),0))))</f>
        <v/>
      </c>
      <c r="J223" s="20">
        <f>IF(G223="","",IF(OR($D$11="",$H$11="X",G223&lt;N($C$11)),0,IF(B223="G마켓",ROUNDDOWN(MIN(G223*$D$11,IF($E$11="",9E+99,$E$11)),0),ROUNDUP(MIN(G223*$D$11,IF($E$11="",9E+99,$E$11)),0))))</f>
        <v/>
      </c>
      <c r="K223" s="20">
        <f>IF(G223="","",IF(OR($D$12="",$H$12="X",G223&lt;N($C$12)),0,IF(B223="G마켓",ROUNDDOWN(MIN(G223*$D$12,IF($E$12="",9E+99,$E$12)),0),ROUNDUP(MIN(G223*$D$12,IF($E$12="",9E+99,$E$12)),0))))</f>
        <v/>
      </c>
      <c r="L223" s="19">
        <f>IF(G223="","",G223-MAX(I223:K223))</f>
        <v/>
      </c>
      <c r="M223" s="20">
        <f>IF(L223="","",IF(OR($D$16="",$H$16="X",L223&lt;N($C$16)),0,IF(B223="G마켓",ROUNDDOWN(MIN(L223*$D$16,IF($E$16="",9E+99,$E$16)),0),ROUNDUP(MIN(L223*$D$16,IF($E$16="",9E+99,$E$16)),0))))</f>
        <v/>
      </c>
      <c r="N223" s="20">
        <f>IF(L223="","",IF(OR($D$17="",$H$17="X",L223&lt;N($C$17)),0,IF(B223="G마켓",ROUNDDOWN(MIN(L223*$D$17,IF($E$17="",9E+99,$E$17)),0),ROUNDUP(MIN(L223*$D$17,IF($E$17="",9E+99,$E$17)),0))))</f>
        <v/>
      </c>
      <c r="O223" s="20">
        <f>IF(L223="","",IF(OR($D$18="",$H$18="X",L223&lt;N($C$18)),0,IF(B223="G마켓",ROUNDDOWN(MIN(L223*$D$18,IF($E$18="",9E+99,$E$18)),0),ROUNDUP(MIN(L223*$D$18,IF($E$18="",9E+99,$E$18)),0))))</f>
        <v/>
      </c>
      <c r="P223" s="20">
        <f>IF(L223="","",IF(OR($D$19="",$H$19="X",L223&lt;N($C$19)),0,IF(B223="G마켓",ROUNDDOWN(MIN(L223*$D$19,IF($E$19="",9E+99,$E$19)),0),ROUNDUP(MIN(L223*$D$19,IF($E$19="",9E+99,$E$19)),0))))</f>
        <v/>
      </c>
      <c r="Q223" s="19">
        <f>IF(G223="","",L223-MAX(M223:P223))</f>
        <v/>
      </c>
      <c r="R223" s="20">
        <f>IF(Q223="","",IF(OR($D$23="",Q223&lt;N($C$23)),0,IF(B223="G마켓",ROUNDDOWN(MIN(Q223*$D$23,IF($E$23="",9E+99,$E$23)),0),ROUNDUP(MIN(Q223*$D$23,IF($E$23="",9E+99,$E$23)),0))))</f>
        <v/>
      </c>
      <c r="S223" s="20">
        <f>IF(Q223="","",IF(OR($D$24="",Q223&lt;N($C$24)),0,IF(B223="G마켓",ROUNDDOWN(MIN(Q223*$D$24,IF($E$24="",9E+99,$E$24)),0),ROUNDUP(MIN(Q223*$D$24,IF($E$24="",9E+99,$E$24)),0))))</f>
        <v/>
      </c>
      <c r="T223" s="20">
        <f>IF(Q223="","",IF(OR($D$25="",Q223&lt;N($C$25)),0,IF(B223="G마켓",ROUNDDOWN(MIN(Q223*$D$25,IF($E$25="",9E+99,$E$25)),0),ROUNDUP(MIN(Q223*$D$25,IF($E$25="",9E+99,$E$25)),0))))</f>
        <v/>
      </c>
      <c r="U223" s="19">
        <f>IF(G223="","",MAX(R223:T223))</f>
        <v/>
      </c>
      <c r="V223" s="21">
        <f>IF(G223="","",Q223-U223)</f>
        <v/>
      </c>
      <c r="W223" s="19">
        <f>IF(G223="","",IF(B223="G마켓",ROUNDDOWN(MAX(I223*N($G$10),J223*N($G$11),K223*N($G$12))+MAX(M223*N($G$16),N223*N($G$17),O223*N($G$18),P223*N($G$19))+MAX(R223*N($G$23),S223*N($G$24),T223*N($G$25)),0),ROUNDUP(MAX(I223*N($G$10),J223*N($G$11),K223*N($G$12))+MAX(M223*N($G$16),N223*N($G$17),O223*N($G$18),P223*N($G$19))+MAX(R223*N($G$23),S223*N($G$24),T223*N($G$25)),0)))</f>
        <v/>
      </c>
      <c r="X223" s="21">
        <f>IF(G223="","",IF(B223="G마켓",ROUNDDOWN(G223-G223*$Q$6-W223,0),ROUNDUP(G223-G223*$Q$6-W223,0)))</f>
        <v/>
      </c>
    </row>
    <row r="224">
      <c r="B224" s="7" t="n"/>
      <c r="C224" s="7" t="n"/>
      <c r="D224" s="22" t="n"/>
      <c r="E224" s="23" t="n"/>
      <c r="F224" s="23" t="n"/>
      <c r="G224" s="19">
        <f>IF(E224="","",E224-N(F224))</f>
        <v/>
      </c>
      <c r="I224" s="20">
        <f>IF(G224="","",IF(OR($D$10="",$H$10="X",G224&lt;N($C$10)),0,IF(B224="G마켓",ROUNDDOWN(MIN(G224*$D$10,IF($E$10="",9E+99,$E$10)),0),ROUNDUP(MIN(G224*$D$10,IF($E$10="",9E+99,$E$10)),0))))</f>
        <v/>
      </c>
      <c r="J224" s="20">
        <f>IF(G224="","",IF(OR($D$11="",$H$11="X",G224&lt;N($C$11)),0,IF(B224="G마켓",ROUNDDOWN(MIN(G224*$D$11,IF($E$11="",9E+99,$E$11)),0),ROUNDUP(MIN(G224*$D$11,IF($E$11="",9E+99,$E$11)),0))))</f>
        <v/>
      </c>
      <c r="K224" s="20">
        <f>IF(G224="","",IF(OR($D$12="",$H$12="X",G224&lt;N($C$12)),0,IF(B224="G마켓",ROUNDDOWN(MIN(G224*$D$12,IF($E$12="",9E+99,$E$12)),0),ROUNDUP(MIN(G224*$D$12,IF($E$12="",9E+99,$E$12)),0))))</f>
        <v/>
      </c>
      <c r="L224" s="19">
        <f>IF(G224="","",G224-MAX(I224:K224))</f>
        <v/>
      </c>
      <c r="M224" s="20">
        <f>IF(L224="","",IF(OR($D$16="",$H$16="X",L224&lt;N($C$16)),0,IF(B224="G마켓",ROUNDDOWN(MIN(L224*$D$16,IF($E$16="",9E+99,$E$16)),0),ROUNDUP(MIN(L224*$D$16,IF($E$16="",9E+99,$E$16)),0))))</f>
        <v/>
      </c>
      <c r="N224" s="20">
        <f>IF(L224="","",IF(OR($D$17="",$H$17="X",L224&lt;N($C$17)),0,IF(B224="G마켓",ROUNDDOWN(MIN(L224*$D$17,IF($E$17="",9E+99,$E$17)),0),ROUNDUP(MIN(L224*$D$17,IF($E$17="",9E+99,$E$17)),0))))</f>
        <v/>
      </c>
      <c r="O224" s="20">
        <f>IF(L224="","",IF(OR($D$18="",$H$18="X",L224&lt;N($C$18)),0,IF(B224="G마켓",ROUNDDOWN(MIN(L224*$D$18,IF($E$18="",9E+99,$E$18)),0),ROUNDUP(MIN(L224*$D$18,IF($E$18="",9E+99,$E$18)),0))))</f>
        <v/>
      </c>
      <c r="P224" s="20">
        <f>IF(L224="","",IF(OR($D$19="",$H$19="X",L224&lt;N($C$19)),0,IF(B224="G마켓",ROUNDDOWN(MIN(L224*$D$19,IF($E$19="",9E+99,$E$19)),0),ROUNDUP(MIN(L224*$D$19,IF($E$19="",9E+99,$E$19)),0))))</f>
        <v/>
      </c>
      <c r="Q224" s="19">
        <f>IF(G224="","",L224-MAX(M224:P224))</f>
        <v/>
      </c>
      <c r="R224" s="20">
        <f>IF(Q224="","",IF(OR($D$23="",Q224&lt;N($C$23)),0,IF(B224="G마켓",ROUNDDOWN(MIN(Q224*$D$23,IF($E$23="",9E+99,$E$23)),0),ROUNDUP(MIN(Q224*$D$23,IF($E$23="",9E+99,$E$23)),0))))</f>
        <v/>
      </c>
      <c r="S224" s="20">
        <f>IF(Q224="","",IF(OR($D$24="",Q224&lt;N($C$24)),0,IF(B224="G마켓",ROUNDDOWN(MIN(Q224*$D$24,IF($E$24="",9E+99,$E$24)),0),ROUNDUP(MIN(Q224*$D$24,IF($E$24="",9E+99,$E$24)),0))))</f>
        <v/>
      </c>
      <c r="T224" s="20">
        <f>IF(Q224="","",IF(OR($D$25="",Q224&lt;N($C$25)),0,IF(B224="G마켓",ROUNDDOWN(MIN(Q224*$D$25,IF($E$25="",9E+99,$E$25)),0),ROUNDUP(MIN(Q224*$D$25,IF($E$25="",9E+99,$E$25)),0))))</f>
        <v/>
      </c>
      <c r="U224" s="19">
        <f>IF(G224="","",MAX(R224:T224))</f>
        <v/>
      </c>
      <c r="V224" s="21">
        <f>IF(G224="","",Q224-U224)</f>
        <v/>
      </c>
      <c r="W224" s="19">
        <f>IF(G224="","",IF(B224="G마켓",ROUNDDOWN(MAX(I224*N($G$10),J224*N($G$11),K224*N($G$12))+MAX(M224*N($G$16),N224*N($G$17),O224*N($G$18),P224*N($G$19))+MAX(R224*N($G$23),S224*N($G$24),T224*N($G$25)),0),ROUNDUP(MAX(I224*N($G$10),J224*N($G$11),K224*N($G$12))+MAX(M224*N($G$16),N224*N($G$17),O224*N($G$18),P224*N($G$19))+MAX(R224*N($G$23),S224*N($G$24),T224*N($G$25)),0)))</f>
        <v/>
      </c>
      <c r="X224" s="21">
        <f>IF(G224="","",IF(B224="G마켓",ROUNDDOWN(G224-G224*$Q$6-W224,0),ROUNDUP(G224-G224*$Q$6-W224,0)))</f>
        <v/>
      </c>
    </row>
    <row r="225">
      <c r="B225" s="7" t="n"/>
      <c r="C225" s="7" t="n"/>
      <c r="D225" s="22" t="n"/>
      <c r="E225" s="23" t="n"/>
      <c r="F225" s="23" t="n"/>
      <c r="G225" s="19">
        <f>IF(E225="","",E225-N(F225))</f>
        <v/>
      </c>
      <c r="I225" s="20">
        <f>IF(G225="","",IF(OR($D$10="",$H$10="X",G225&lt;N($C$10)),0,IF(B225="G마켓",ROUNDDOWN(MIN(G225*$D$10,IF($E$10="",9E+99,$E$10)),0),ROUNDUP(MIN(G225*$D$10,IF($E$10="",9E+99,$E$10)),0))))</f>
        <v/>
      </c>
      <c r="J225" s="20">
        <f>IF(G225="","",IF(OR($D$11="",$H$11="X",G225&lt;N($C$11)),0,IF(B225="G마켓",ROUNDDOWN(MIN(G225*$D$11,IF($E$11="",9E+99,$E$11)),0),ROUNDUP(MIN(G225*$D$11,IF($E$11="",9E+99,$E$11)),0))))</f>
        <v/>
      </c>
      <c r="K225" s="20">
        <f>IF(G225="","",IF(OR($D$12="",$H$12="X",G225&lt;N($C$12)),0,IF(B225="G마켓",ROUNDDOWN(MIN(G225*$D$12,IF($E$12="",9E+99,$E$12)),0),ROUNDUP(MIN(G225*$D$12,IF($E$12="",9E+99,$E$12)),0))))</f>
        <v/>
      </c>
      <c r="L225" s="19">
        <f>IF(G225="","",G225-MAX(I225:K225))</f>
        <v/>
      </c>
      <c r="M225" s="20">
        <f>IF(L225="","",IF(OR($D$16="",$H$16="X",L225&lt;N($C$16)),0,IF(B225="G마켓",ROUNDDOWN(MIN(L225*$D$16,IF($E$16="",9E+99,$E$16)),0),ROUNDUP(MIN(L225*$D$16,IF($E$16="",9E+99,$E$16)),0))))</f>
        <v/>
      </c>
      <c r="N225" s="20">
        <f>IF(L225="","",IF(OR($D$17="",$H$17="X",L225&lt;N($C$17)),0,IF(B225="G마켓",ROUNDDOWN(MIN(L225*$D$17,IF($E$17="",9E+99,$E$17)),0),ROUNDUP(MIN(L225*$D$17,IF($E$17="",9E+99,$E$17)),0))))</f>
        <v/>
      </c>
      <c r="O225" s="20">
        <f>IF(L225="","",IF(OR($D$18="",$H$18="X",L225&lt;N($C$18)),0,IF(B225="G마켓",ROUNDDOWN(MIN(L225*$D$18,IF($E$18="",9E+99,$E$18)),0),ROUNDUP(MIN(L225*$D$18,IF($E$18="",9E+99,$E$18)),0))))</f>
        <v/>
      </c>
      <c r="P225" s="20">
        <f>IF(L225="","",IF(OR($D$19="",$H$19="X",L225&lt;N($C$19)),0,IF(B225="G마켓",ROUNDDOWN(MIN(L225*$D$19,IF($E$19="",9E+99,$E$19)),0),ROUNDUP(MIN(L225*$D$19,IF($E$19="",9E+99,$E$19)),0))))</f>
        <v/>
      </c>
      <c r="Q225" s="19">
        <f>IF(G225="","",L225-MAX(M225:P225))</f>
        <v/>
      </c>
      <c r="R225" s="20">
        <f>IF(Q225="","",IF(OR($D$23="",Q225&lt;N($C$23)),0,IF(B225="G마켓",ROUNDDOWN(MIN(Q225*$D$23,IF($E$23="",9E+99,$E$23)),0),ROUNDUP(MIN(Q225*$D$23,IF($E$23="",9E+99,$E$23)),0))))</f>
        <v/>
      </c>
      <c r="S225" s="20">
        <f>IF(Q225="","",IF(OR($D$24="",Q225&lt;N($C$24)),0,IF(B225="G마켓",ROUNDDOWN(MIN(Q225*$D$24,IF($E$24="",9E+99,$E$24)),0),ROUNDUP(MIN(Q225*$D$24,IF($E$24="",9E+99,$E$24)),0))))</f>
        <v/>
      </c>
      <c r="T225" s="20">
        <f>IF(Q225="","",IF(OR($D$25="",Q225&lt;N($C$25)),0,IF(B225="G마켓",ROUNDDOWN(MIN(Q225*$D$25,IF($E$25="",9E+99,$E$25)),0),ROUNDUP(MIN(Q225*$D$25,IF($E$25="",9E+99,$E$25)),0))))</f>
        <v/>
      </c>
      <c r="U225" s="19">
        <f>IF(G225="","",MAX(R225:T225))</f>
        <v/>
      </c>
      <c r="V225" s="21">
        <f>IF(G225="","",Q225-U225)</f>
        <v/>
      </c>
      <c r="W225" s="19">
        <f>IF(G225="","",IF(B225="G마켓",ROUNDDOWN(MAX(I225*N($G$10),J225*N($G$11),K225*N($G$12))+MAX(M225*N($G$16),N225*N($G$17),O225*N($G$18),P225*N($G$19))+MAX(R225*N($G$23),S225*N($G$24),T225*N($G$25)),0),ROUNDUP(MAX(I225*N($G$10),J225*N($G$11),K225*N($G$12))+MAX(M225*N($G$16),N225*N($G$17),O225*N($G$18),P225*N($G$19))+MAX(R225*N($G$23),S225*N($G$24),T225*N($G$25)),0)))</f>
        <v/>
      </c>
      <c r="X225" s="21">
        <f>IF(G225="","",IF(B225="G마켓",ROUNDDOWN(G225-G225*$Q$6-W225,0),ROUNDUP(G225-G225*$Q$6-W225,0)))</f>
        <v/>
      </c>
    </row>
    <row r="226">
      <c r="B226" s="7" t="n"/>
      <c r="C226" s="7" t="n"/>
      <c r="D226" s="22" t="n"/>
      <c r="E226" s="23" t="n"/>
      <c r="F226" s="23" t="n"/>
      <c r="G226" s="19">
        <f>IF(E226="","",E226-N(F226))</f>
        <v/>
      </c>
      <c r="I226" s="20">
        <f>IF(G226="","",IF(OR($D$10="",$H$10="X",G226&lt;N($C$10)),0,IF(B226="G마켓",ROUNDDOWN(MIN(G226*$D$10,IF($E$10="",9E+99,$E$10)),0),ROUNDUP(MIN(G226*$D$10,IF($E$10="",9E+99,$E$10)),0))))</f>
        <v/>
      </c>
      <c r="J226" s="20">
        <f>IF(G226="","",IF(OR($D$11="",$H$11="X",G226&lt;N($C$11)),0,IF(B226="G마켓",ROUNDDOWN(MIN(G226*$D$11,IF($E$11="",9E+99,$E$11)),0),ROUNDUP(MIN(G226*$D$11,IF($E$11="",9E+99,$E$11)),0))))</f>
        <v/>
      </c>
      <c r="K226" s="20">
        <f>IF(G226="","",IF(OR($D$12="",$H$12="X",G226&lt;N($C$12)),0,IF(B226="G마켓",ROUNDDOWN(MIN(G226*$D$12,IF($E$12="",9E+99,$E$12)),0),ROUNDUP(MIN(G226*$D$12,IF($E$12="",9E+99,$E$12)),0))))</f>
        <v/>
      </c>
      <c r="L226" s="19">
        <f>IF(G226="","",G226-MAX(I226:K226))</f>
        <v/>
      </c>
      <c r="M226" s="20">
        <f>IF(L226="","",IF(OR($D$16="",$H$16="X",L226&lt;N($C$16)),0,IF(B226="G마켓",ROUNDDOWN(MIN(L226*$D$16,IF($E$16="",9E+99,$E$16)),0),ROUNDUP(MIN(L226*$D$16,IF($E$16="",9E+99,$E$16)),0))))</f>
        <v/>
      </c>
      <c r="N226" s="20">
        <f>IF(L226="","",IF(OR($D$17="",$H$17="X",L226&lt;N($C$17)),0,IF(B226="G마켓",ROUNDDOWN(MIN(L226*$D$17,IF($E$17="",9E+99,$E$17)),0),ROUNDUP(MIN(L226*$D$17,IF($E$17="",9E+99,$E$17)),0))))</f>
        <v/>
      </c>
      <c r="O226" s="20">
        <f>IF(L226="","",IF(OR($D$18="",$H$18="X",L226&lt;N($C$18)),0,IF(B226="G마켓",ROUNDDOWN(MIN(L226*$D$18,IF($E$18="",9E+99,$E$18)),0),ROUNDUP(MIN(L226*$D$18,IF($E$18="",9E+99,$E$18)),0))))</f>
        <v/>
      </c>
      <c r="P226" s="20">
        <f>IF(L226="","",IF(OR($D$19="",$H$19="X",L226&lt;N($C$19)),0,IF(B226="G마켓",ROUNDDOWN(MIN(L226*$D$19,IF($E$19="",9E+99,$E$19)),0),ROUNDUP(MIN(L226*$D$19,IF($E$19="",9E+99,$E$19)),0))))</f>
        <v/>
      </c>
      <c r="Q226" s="19">
        <f>IF(G226="","",L226-MAX(M226:P226))</f>
        <v/>
      </c>
      <c r="R226" s="20">
        <f>IF(Q226="","",IF(OR($D$23="",Q226&lt;N($C$23)),0,IF(B226="G마켓",ROUNDDOWN(MIN(Q226*$D$23,IF($E$23="",9E+99,$E$23)),0),ROUNDUP(MIN(Q226*$D$23,IF($E$23="",9E+99,$E$23)),0))))</f>
        <v/>
      </c>
      <c r="S226" s="20">
        <f>IF(Q226="","",IF(OR($D$24="",Q226&lt;N($C$24)),0,IF(B226="G마켓",ROUNDDOWN(MIN(Q226*$D$24,IF($E$24="",9E+99,$E$24)),0),ROUNDUP(MIN(Q226*$D$24,IF($E$24="",9E+99,$E$24)),0))))</f>
        <v/>
      </c>
      <c r="T226" s="20">
        <f>IF(Q226="","",IF(OR($D$25="",Q226&lt;N($C$25)),0,IF(B226="G마켓",ROUNDDOWN(MIN(Q226*$D$25,IF($E$25="",9E+99,$E$25)),0),ROUNDUP(MIN(Q226*$D$25,IF($E$25="",9E+99,$E$25)),0))))</f>
        <v/>
      </c>
      <c r="U226" s="19">
        <f>IF(G226="","",MAX(R226:T226))</f>
        <v/>
      </c>
      <c r="V226" s="21">
        <f>IF(G226="","",Q226-U226)</f>
        <v/>
      </c>
      <c r="W226" s="19">
        <f>IF(G226="","",IF(B226="G마켓",ROUNDDOWN(MAX(I226*N($G$10),J226*N($G$11),K226*N($G$12))+MAX(M226*N($G$16),N226*N($G$17),O226*N($G$18),P226*N($G$19))+MAX(R226*N($G$23),S226*N($G$24),T226*N($G$25)),0),ROUNDUP(MAX(I226*N($G$10),J226*N($G$11),K226*N($G$12))+MAX(M226*N($G$16),N226*N($G$17),O226*N($G$18),P226*N($G$19))+MAX(R226*N($G$23),S226*N($G$24),T226*N($G$25)),0)))</f>
        <v/>
      </c>
      <c r="X226" s="21">
        <f>IF(G226="","",IF(B226="G마켓",ROUNDDOWN(G226-G226*$Q$6-W226,0),ROUNDUP(G226-G226*$Q$6-W226,0)))</f>
        <v/>
      </c>
    </row>
    <row r="227">
      <c r="B227" s="7" t="n"/>
      <c r="C227" s="7" t="n"/>
      <c r="D227" s="22" t="n"/>
      <c r="E227" s="23" t="n"/>
      <c r="F227" s="23" t="n"/>
      <c r="G227" s="19">
        <f>IF(E227="","",E227-N(F227))</f>
        <v/>
      </c>
      <c r="I227" s="20">
        <f>IF(G227="","",IF(OR($D$10="",$H$10="X",G227&lt;N($C$10)),0,IF(B227="G마켓",ROUNDDOWN(MIN(G227*$D$10,IF($E$10="",9E+99,$E$10)),0),ROUNDUP(MIN(G227*$D$10,IF($E$10="",9E+99,$E$10)),0))))</f>
        <v/>
      </c>
      <c r="J227" s="20">
        <f>IF(G227="","",IF(OR($D$11="",$H$11="X",G227&lt;N($C$11)),0,IF(B227="G마켓",ROUNDDOWN(MIN(G227*$D$11,IF($E$11="",9E+99,$E$11)),0),ROUNDUP(MIN(G227*$D$11,IF($E$11="",9E+99,$E$11)),0))))</f>
        <v/>
      </c>
      <c r="K227" s="20">
        <f>IF(G227="","",IF(OR($D$12="",$H$12="X",G227&lt;N($C$12)),0,IF(B227="G마켓",ROUNDDOWN(MIN(G227*$D$12,IF($E$12="",9E+99,$E$12)),0),ROUNDUP(MIN(G227*$D$12,IF($E$12="",9E+99,$E$12)),0))))</f>
        <v/>
      </c>
      <c r="L227" s="19">
        <f>IF(G227="","",G227-MAX(I227:K227))</f>
        <v/>
      </c>
      <c r="M227" s="20">
        <f>IF(L227="","",IF(OR($D$16="",$H$16="X",L227&lt;N($C$16)),0,IF(B227="G마켓",ROUNDDOWN(MIN(L227*$D$16,IF($E$16="",9E+99,$E$16)),0),ROUNDUP(MIN(L227*$D$16,IF($E$16="",9E+99,$E$16)),0))))</f>
        <v/>
      </c>
      <c r="N227" s="20">
        <f>IF(L227="","",IF(OR($D$17="",$H$17="X",L227&lt;N($C$17)),0,IF(B227="G마켓",ROUNDDOWN(MIN(L227*$D$17,IF($E$17="",9E+99,$E$17)),0),ROUNDUP(MIN(L227*$D$17,IF($E$17="",9E+99,$E$17)),0))))</f>
        <v/>
      </c>
      <c r="O227" s="20">
        <f>IF(L227="","",IF(OR($D$18="",$H$18="X",L227&lt;N($C$18)),0,IF(B227="G마켓",ROUNDDOWN(MIN(L227*$D$18,IF($E$18="",9E+99,$E$18)),0),ROUNDUP(MIN(L227*$D$18,IF($E$18="",9E+99,$E$18)),0))))</f>
        <v/>
      </c>
      <c r="P227" s="20">
        <f>IF(L227="","",IF(OR($D$19="",$H$19="X",L227&lt;N($C$19)),0,IF(B227="G마켓",ROUNDDOWN(MIN(L227*$D$19,IF($E$19="",9E+99,$E$19)),0),ROUNDUP(MIN(L227*$D$19,IF($E$19="",9E+99,$E$19)),0))))</f>
        <v/>
      </c>
      <c r="Q227" s="19">
        <f>IF(G227="","",L227-MAX(M227:P227))</f>
        <v/>
      </c>
      <c r="R227" s="20">
        <f>IF(Q227="","",IF(OR($D$23="",Q227&lt;N($C$23)),0,IF(B227="G마켓",ROUNDDOWN(MIN(Q227*$D$23,IF($E$23="",9E+99,$E$23)),0),ROUNDUP(MIN(Q227*$D$23,IF($E$23="",9E+99,$E$23)),0))))</f>
        <v/>
      </c>
      <c r="S227" s="20">
        <f>IF(Q227="","",IF(OR($D$24="",Q227&lt;N($C$24)),0,IF(B227="G마켓",ROUNDDOWN(MIN(Q227*$D$24,IF($E$24="",9E+99,$E$24)),0),ROUNDUP(MIN(Q227*$D$24,IF($E$24="",9E+99,$E$24)),0))))</f>
        <v/>
      </c>
      <c r="T227" s="20">
        <f>IF(Q227="","",IF(OR($D$25="",Q227&lt;N($C$25)),0,IF(B227="G마켓",ROUNDDOWN(MIN(Q227*$D$25,IF($E$25="",9E+99,$E$25)),0),ROUNDUP(MIN(Q227*$D$25,IF($E$25="",9E+99,$E$25)),0))))</f>
        <v/>
      </c>
      <c r="U227" s="19">
        <f>IF(G227="","",MAX(R227:T227))</f>
        <v/>
      </c>
      <c r="V227" s="21">
        <f>IF(G227="","",Q227-U227)</f>
        <v/>
      </c>
      <c r="W227" s="19">
        <f>IF(G227="","",IF(B227="G마켓",ROUNDDOWN(MAX(I227*N($G$10),J227*N($G$11),K227*N($G$12))+MAX(M227*N($G$16),N227*N($G$17),O227*N($G$18),P227*N($G$19))+MAX(R227*N($G$23),S227*N($G$24),T227*N($G$25)),0),ROUNDUP(MAX(I227*N($G$10),J227*N($G$11),K227*N($G$12))+MAX(M227*N($G$16),N227*N($G$17),O227*N($G$18),P227*N($G$19))+MAX(R227*N($G$23),S227*N($G$24),T227*N($G$25)),0)))</f>
        <v/>
      </c>
      <c r="X227" s="21">
        <f>IF(G227="","",IF(B227="G마켓",ROUNDDOWN(G227-G227*$Q$6-W227,0),ROUNDUP(G227-G227*$Q$6-W227,0)))</f>
        <v/>
      </c>
    </row>
    <row r="228">
      <c r="B228" s="7" t="n"/>
      <c r="C228" s="7" t="n"/>
      <c r="D228" s="22" t="n"/>
      <c r="E228" s="23" t="n"/>
      <c r="F228" s="23" t="n"/>
      <c r="G228" s="19">
        <f>IF(E228="","",E228-N(F228))</f>
        <v/>
      </c>
      <c r="I228" s="20">
        <f>IF(G228="","",IF(OR($D$10="",$H$10="X",G228&lt;N($C$10)),0,IF(B228="G마켓",ROUNDDOWN(MIN(G228*$D$10,IF($E$10="",9E+99,$E$10)),0),ROUNDUP(MIN(G228*$D$10,IF($E$10="",9E+99,$E$10)),0))))</f>
        <v/>
      </c>
      <c r="J228" s="20">
        <f>IF(G228="","",IF(OR($D$11="",$H$11="X",G228&lt;N($C$11)),0,IF(B228="G마켓",ROUNDDOWN(MIN(G228*$D$11,IF($E$11="",9E+99,$E$11)),0),ROUNDUP(MIN(G228*$D$11,IF($E$11="",9E+99,$E$11)),0))))</f>
        <v/>
      </c>
      <c r="K228" s="20">
        <f>IF(G228="","",IF(OR($D$12="",$H$12="X",G228&lt;N($C$12)),0,IF(B228="G마켓",ROUNDDOWN(MIN(G228*$D$12,IF($E$12="",9E+99,$E$12)),0),ROUNDUP(MIN(G228*$D$12,IF($E$12="",9E+99,$E$12)),0))))</f>
        <v/>
      </c>
      <c r="L228" s="19">
        <f>IF(G228="","",G228-MAX(I228:K228))</f>
        <v/>
      </c>
      <c r="M228" s="20">
        <f>IF(L228="","",IF(OR($D$16="",$H$16="X",L228&lt;N($C$16)),0,IF(B228="G마켓",ROUNDDOWN(MIN(L228*$D$16,IF($E$16="",9E+99,$E$16)),0),ROUNDUP(MIN(L228*$D$16,IF($E$16="",9E+99,$E$16)),0))))</f>
        <v/>
      </c>
      <c r="N228" s="20">
        <f>IF(L228="","",IF(OR($D$17="",$H$17="X",L228&lt;N($C$17)),0,IF(B228="G마켓",ROUNDDOWN(MIN(L228*$D$17,IF($E$17="",9E+99,$E$17)),0),ROUNDUP(MIN(L228*$D$17,IF($E$17="",9E+99,$E$17)),0))))</f>
        <v/>
      </c>
      <c r="O228" s="20">
        <f>IF(L228="","",IF(OR($D$18="",$H$18="X",L228&lt;N($C$18)),0,IF(B228="G마켓",ROUNDDOWN(MIN(L228*$D$18,IF($E$18="",9E+99,$E$18)),0),ROUNDUP(MIN(L228*$D$18,IF($E$18="",9E+99,$E$18)),0))))</f>
        <v/>
      </c>
      <c r="P228" s="20">
        <f>IF(L228="","",IF(OR($D$19="",$H$19="X",L228&lt;N($C$19)),0,IF(B228="G마켓",ROUNDDOWN(MIN(L228*$D$19,IF($E$19="",9E+99,$E$19)),0),ROUNDUP(MIN(L228*$D$19,IF($E$19="",9E+99,$E$19)),0))))</f>
        <v/>
      </c>
      <c r="Q228" s="19">
        <f>IF(G228="","",L228-MAX(M228:P228))</f>
        <v/>
      </c>
      <c r="R228" s="20">
        <f>IF(Q228="","",IF(OR($D$23="",Q228&lt;N($C$23)),0,IF(B228="G마켓",ROUNDDOWN(MIN(Q228*$D$23,IF($E$23="",9E+99,$E$23)),0),ROUNDUP(MIN(Q228*$D$23,IF($E$23="",9E+99,$E$23)),0))))</f>
        <v/>
      </c>
      <c r="S228" s="20">
        <f>IF(Q228="","",IF(OR($D$24="",Q228&lt;N($C$24)),0,IF(B228="G마켓",ROUNDDOWN(MIN(Q228*$D$24,IF($E$24="",9E+99,$E$24)),0),ROUNDUP(MIN(Q228*$D$24,IF($E$24="",9E+99,$E$24)),0))))</f>
        <v/>
      </c>
      <c r="T228" s="20">
        <f>IF(Q228="","",IF(OR($D$25="",Q228&lt;N($C$25)),0,IF(B228="G마켓",ROUNDDOWN(MIN(Q228*$D$25,IF($E$25="",9E+99,$E$25)),0),ROUNDUP(MIN(Q228*$D$25,IF($E$25="",9E+99,$E$25)),0))))</f>
        <v/>
      </c>
      <c r="U228" s="19">
        <f>IF(G228="","",MAX(R228:T228))</f>
        <v/>
      </c>
      <c r="V228" s="21">
        <f>IF(G228="","",Q228-U228)</f>
        <v/>
      </c>
      <c r="W228" s="19">
        <f>IF(G228="","",IF(B228="G마켓",ROUNDDOWN(MAX(I228*N($G$10),J228*N($G$11),K228*N($G$12))+MAX(M228*N($G$16),N228*N($G$17),O228*N($G$18),P228*N($G$19))+MAX(R228*N($G$23),S228*N($G$24),T228*N($G$25)),0),ROUNDUP(MAX(I228*N($G$10),J228*N($G$11),K228*N($G$12))+MAX(M228*N($G$16),N228*N($G$17),O228*N($G$18),P228*N($G$19))+MAX(R228*N($G$23),S228*N($G$24),T228*N($G$25)),0)))</f>
        <v/>
      </c>
      <c r="X228" s="21">
        <f>IF(G228="","",IF(B228="G마켓",ROUNDDOWN(G228-G228*$Q$6-W228,0),ROUNDUP(G228-G228*$Q$6-W228,0)))</f>
        <v/>
      </c>
    </row>
  </sheetData>
  <mergeCells count="30">
    <mergeCell ref="B4:O4"/>
    <mergeCell ref="Q5:S5"/>
    <mergeCell ref="I23:X23"/>
    <mergeCell ref="O6:P6"/>
    <mergeCell ref="I17:X17"/>
    <mergeCell ref="E5:F5"/>
    <mergeCell ref="I10:X10"/>
    <mergeCell ref="Q6:S6"/>
    <mergeCell ref="K6:N6"/>
    <mergeCell ref="I19:X19"/>
    <mergeCell ref="O5:P5"/>
    <mergeCell ref="I9:X9"/>
    <mergeCell ref="K5:N5"/>
    <mergeCell ref="I15:X15"/>
    <mergeCell ref="I27:L27"/>
    <mergeCell ref="R27:V27"/>
    <mergeCell ref="E6:F6"/>
    <mergeCell ref="I11:X11"/>
    <mergeCell ref="M27:Q27"/>
    <mergeCell ref="W27:X27"/>
    <mergeCell ref="I16:X16"/>
    <mergeCell ref="I25:X25"/>
    <mergeCell ref="G6:J6"/>
    <mergeCell ref="B6:C6"/>
    <mergeCell ref="I22:X22"/>
    <mergeCell ref="B5:C5"/>
    <mergeCell ref="I18:X18"/>
    <mergeCell ref="I12:X12"/>
    <mergeCell ref="G5:J5"/>
    <mergeCell ref="I24:X24"/>
  </mergeCells>
  <dataValidations count="2">
    <dataValidation sqref="H10 H11 H12 H16 H17 H18 H19" showDropDown="0" showInputMessage="0" showErrorMessage="0" allowBlank="1" type="list">
      <formula1>"O,X"</formula1>
    </dataValidation>
    <dataValidation sqref="B29:B228" showDropDown="0" showInputMessage="0" showErrorMessage="0" allowBlank="1" type="list">
      <formula1>"G마켓,옥션"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2026-10-01T07:34:26Z</dcterms:created>
  <dcterms:modified xmlns:dcterms="http://purl.org/dc/terms/" xmlns:xsi="http://www.w3.org/2001/XMLSchema-instance" xsi:type="dcterms:W3CDTF">2026-10-01T07:34:26Z</dcterms:modified>
</cp:coreProperties>
</file>