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첫세일 프로모션" sheetId="1" state="visible" r:id="rId1"/>
  </sheets>
  <definedNames>
    <definedName name="_xlnm.Print_Titles" localSheetId="0">'월첫세일 프로모션'!$27:$27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11">
    <font>
      <name val="Calibri"/>
      <family val="2"/>
      <color theme="1"/>
      <sz val="11"/>
      <scheme val="minor"/>
    </font>
    <font>
      <name val="맑은 고딕"/>
      <b val="1"/>
      <color rgb="00000000"/>
      <sz val="16"/>
    </font>
    <font>
      <name val="맑은 고딕"/>
      <color rgb="005B6477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color rgb="00000000"/>
      <sz val="9"/>
    </font>
    <font>
      <name val="맑은 고딕"/>
      <color rgb="005B6477"/>
      <sz val="9"/>
    </font>
    <font>
      <name val="맑은 고딕"/>
      <b val="1"/>
      <color rgb="007F6000"/>
      <sz val="9"/>
    </font>
    <font>
      <name val="맑은 고딕"/>
      <b val="1"/>
      <color rgb="001D4ED8"/>
      <sz val="9"/>
    </font>
    <font>
      <name val="맑은 고딕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EEF3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 indent="1"/>
    </xf>
    <xf numFmtId="3" fontId="10" fillId="3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 indent="1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227"/>
  <sheetViews>
    <sheetView showGridLines="0" workbookViewId="0">
      <pane xSplit="4" ySplit="27" topLeftCell="E2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4" customWidth="1" min="3" max="3"/>
    <col width="26" customWidth="1" min="4" max="4"/>
    <col width="13" customWidth="1" min="5" max="5"/>
    <col width="22" customWidth="1" min="6" max="6"/>
    <col width="15" customWidth="1" min="7" max="7"/>
    <col width="2" customWidth="1" min="8" max="8"/>
    <col width="13" customWidth="1" min="9" max="9"/>
    <col width="13" customWidth="1" min="10" max="10"/>
    <col width="14" customWidth="1" min="11" max="11"/>
    <col width="13" customWidth="1" min="12" max="12"/>
    <col width="2" customWidth="1" min="13" max="13"/>
    <col width="12" customWidth="1" min="14" max="14"/>
    <col width="13" customWidth="1" min="15" max="15"/>
    <col width="2" customWidth="1" min="16" max="16"/>
    <col width="11" customWidth="1" min="17" max="17"/>
    <col width="11" customWidth="1" min="18" max="18"/>
    <col width="11" customWidth="1" min="19" max="19"/>
    <col width="12" customWidth="1" min="20" max="20"/>
    <col width="13" customWidth="1" min="21" max="21"/>
    <col width="13" customWidth="1" min="22" max="22"/>
    <col width="14" customWidth="1" min="23" max="23"/>
  </cols>
  <sheetData>
    <row r="2">
      <c r="B2" s="1" t="inlineStr">
        <is>
          <t>지마켓·옥션 월첫세일 프로모션 행사 견적서</t>
        </is>
      </c>
    </row>
    <row r="3">
      <c r="B3" s="2" t="inlineStr">
        <is>
          <t>노란 칸만 입력해 주세요. 파란 칸은 자동 계산됩니다.</t>
        </is>
      </c>
    </row>
    <row r="5" ht="32" customHeight="1">
      <c r="B5" s="3" t="inlineStr">
        <is>
          <t>G마켓ID</t>
        </is>
      </c>
      <c r="C5" s="4" t="n"/>
      <c r="D5" s="3" t="inlineStr">
        <is>
          <t>옥션ID</t>
        </is>
      </c>
      <c r="E5" s="3" t="inlineStr">
        <is>
          <t>담당자+직함</t>
        </is>
      </c>
      <c r="F5" s="4" t="n"/>
      <c r="G5" s="3" t="inlineStr">
        <is>
          <t>휴대전화</t>
        </is>
      </c>
      <c r="H5" s="5" t="n"/>
      <c r="I5" s="4" t="n"/>
      <c r="J5" s="3" t="inlineStr">
        <is>
          <t>메일</t>
        </is>
      </c>
      <c r="K5" s="5" t="n"/>
      <c r="L5" s="4" t="n"/>
      <c r="N5" s="3" t="inlineStr">
        <is>
          <t>네이트온</t>
        </is>
      </c>
      <c r="O5" s="4" t="n"/>
      <c r="Q5" s="3" t="inlineStr">
        <is>
          <t>적용 수수료율
(프로모션 수수료 2% 포함)</t>
        </is>
      </c>
      <c r="R5" s="5" t="n"/>
      <c r="S5" s="4" t="n"/>
    </row>
    <row r="6" ht="22" customHeight="1">
      <c r="B6" s="6" t="n"/>
      <c r="C6" s="4" t="n"/>
      <c r="D6" s="6" t="n"/>
      <c r="E6" s="6" t="n"/>
      <c r="F6" s="4" t="n"/>
      <c r="G6" s="6" t="n"/>
      <c r="H6" s="5" t="n"/>
      <c r="I6" s="4" t="n"/>
      <c r="J6" s="6" t="n"/>
      <c r="K6" s="5" t="n"/>
      <c r="L6" s="4" t="n"/>
      <c r="N6" s="6" t="n"/>
      <c r="O6" s="4" t="n"/>
      <c r="Q6" s="7" t="n">
        <v>0.15</v>
      </c>
      <c r="R6" s="5" t="n"/>
      <c r="S6" s="4" t="n"/>
    </row>
    <row r="8">
      <c r="B8" s="8" t="inlineStr">
        <is>
          <t>■ 월첫세일 쿠폰 (전액 당사 부담)</t>
        </is>
      </c>
    </row>
    <row r="9">
      <c r="B9" s="3" t="inlineStr">
        <is>
          <t>구분</t>
        </is>
      </c>
      <c r="C9" s="3" t="inlineStr">
        <is>
          <t>최저 구매</t>
        </is>
      </c>
      <c r="D9" s="3" t="inlineStr">
        <is>
          <t>할인율</t>
        </is>
      </c>
      <c r="E9" s="3" t="inlineStr">
        <is>
          <t>최대 할인</t>
        </is>
      </c>
      <c r="F9" s="3" t="inlineStr">
        <is>
          <t>발급 / 분담</t>
        </is>
      </c>
      <c r="G9" s="3" t="inlineStr">
        <is>
          <t>비고</t>
        </is>
      </c>
      <c r="H9" s="5" t="n"/>
      <c r="I9" s="5" t="n"/>
      <c r="J9" s="5" t="n"/>
      <c r="K9" s="5" t="n"/>
      <c r="L9" s="4" t="n"/>
    </row>
    <row r="10" ht="22" customHeight="1">
      <c r="B10" s="9" t="inlineStr">
        <is>
          <t>B2</t>
        </is>
      </c>
      <c r="C10" s="10" t="n">
        <v>1</v>
      </c>
      <c r="D10" s="11" t="n">
        <v>0.05</v>
      </c>
      <c r="E10" s="10" t="n">
        <v>2000</v>
      </c>
      <c r="F10" s="12" t="inlineStr">
        <is>
          <t>매일 ID당 3장 / 당사 100%</t>
        </is>
      </c>
      <c r="G10" s="13" t="inlineStr">
        <is>
          <t>전사 Cat. 웹폼 참여 셀러</t>
        </is>
      </c>
      <c r="H10" s="5" t="n"/>
      <c r="I10" s="5" t="n"/>
      <c r="J10" s="5" t="n"/>
      <c r="K10" s="5" t="n"/>
      <c r="L10" s="4" t="n"/>
    </row>
    <row r="11" ht="22" customHeight="1">
      <c r="B11" s="9" t="inlineStr">
        <is>
          <t>B2</t>
        </is>
      </c>
      <c r="C11" s="10" t="n">
        <v>50000</v>
      </c>
      <c r="D11" s="11" t="n">
        <v>0.05</v>
      </c>
      <c r="E11" s="10" t="n">
        <v>10000</v>
      </c>
      <c r="F11" s="12" t="inlineStr">
        <is>
          <t>매일 ID당 3장 / 당사 100%</t>
        </is>
      </c>
      <c r="G11" s="13" t="inlineStr">
        <is>
          <t>전사 Cat. 웹폼 참여 셀러</t>
        </is>
      </c>
      <c r="H11" s="5" t="n"/>
      <c r="I11" s="5" t="n"/>
      <c r="J11" s="5" t="n"/>
      <c r="K11" s="5" t="n"/>
      <c r="L11" s="4" t="n"/>
    </row>
    <row r="12" ht="22" customHeight="1">
      <c r="B12" s="9" t="inlineStr">
        <is>
          <t>B2</t>
        </is>
      </c>
      <c r="C12" s="10" t="n">
        <v>250000</v>
      </c>
      <c r="D12" s="11" t="n">
        <v>0.05</v>
      </c>
      <c r="E12" s="10" t="n">
        <v>30000</v>
      </c>
      <c r="F12" s="12" t="inlineStr">
        <is>
          <t>매일 ID당 3장 / 당사 100%</t>
        </is>
      </c>
      <c r="G12" s="13" t="inlineStr">
        <is>
          <t>전사 Cat. 웹폼 참여 셀러</t>
        </is>
      </c>
      <c r="H12" s="5" t="n"/>
      <c r="I12" s="5" t="n"/>
      <c r="J12" s="5" t="n"/>
      <c r="K12" s="5" t="n"/>
      <c r="L12" s="4" t="n"/>
    </row>
    <row r="13" ht="22" customHeight="1">
      <c r="B13" s="9" t="inlineStr">
        <is>
          <t>B1(인서트)</t>
        </is>
      </c>
      <c r="C13" s="10" t="n">
        <v>10000</v>
      </c>
      <c r="D13" s="11" t="n">
        <v>0.14</v>
      </c>
      <c r="E13" s="10" t="n">
        <v>5000</v>
      </c>
      <c r="F13" s="12" t="inlineStr">
        <is>
          <t>기간 중 1회 / 당사 100%</t>
        </is>
      </c>
      <c r="G13" s="13" t="inlineStr">
        <is>
          <t>26/08/01~08/05 구매 &amp; 08/06~09/27 구매 이력 없는 고객</t>
        </is>
      </c>
      <c r="H13" s="5" t="n"/>
      <c r="I13" s="5" t="n"/>
      <c r="J13" s="5" t="n"/>
      <c r="K13" s="5" t="n"/>
      <c r="L13" s="4" t="n"/>
    </row>
    <row r="15">
      <c r="B15" s="8" t="inlineStr">
        <is>
          <t>■ 카드 결제할인</t>
        </is>
      </c>
    </row>
    <row r="16">
      <c r="B16" s="3" t="inlineStr">
        <is>
          <t>구분</t>
        </is>
      </c>
      <c r="C16" s="3" t="inlineStr">
        <is>
          <t>최저 결제</t>
        </is>
      </c>
      <c r="D16" s="3" t="inlineStr">
        <is>
          <t>할인율</t>
        </is>
      </c>
      <c r="E16" s="3" t="inlineStr">
        <is>
          <t>최대 할인</t>
        </is>
      </c>
      <c r="F16" s="3" t="inlineStr">
        <is>
          <t>당사 분담</t>
        </is>
      </c>
      <c r="G16" s="3" t="inlineStr">
        <is>
          <t>셀러 분담</t>
        </is>
      </c>
      <c r="H16" s="3" t="inlineStr">
        <is>
          <t>카드사 분담</t>
        </is>
      </c>
      <c r="I16" s="4" t="n"/>
      <c r="J16" s="3" t="inlineStr">
        <is>
          <t>대상 카드사</t>
        </is>
      </c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4" t="n"/>
    </row>
    <row r="17" ht="22" customHeight="1">
      <c r="B17" s="9" t="inlineStr">
        <is>
          <t>오늘만</t>
        </is>
      </c>
      <c r="C17" s="10" t="n">
        <v>10000</v>
      </c>
      <c r="D17" s="11" t="n">
        <v>0.12</v>
      </c>
      <c r="E17" s="10" t="n">
        <v>5000</v>
      </c>
      <c r="F17" s="11" t="n">
        <v>0.21</v>
      </c>
      <c r="G17" s="11" t="n">
        <v>0.5</v>
      </c>
      <c r="H17" s="11" t="n">
        <v>0.29</v>
      </c>
      <c r="I17" s="4" t="n"/>
      <c r="J17" s="13" t="inlineStr">
        <is>
          <t>10/1 NH·KB·우리·IBK   |   10/2 롯데·비씨·하나   |   10/3 삼성   |   10/4 스마일   |   10/5 삼성</t>
        </is>
      </c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4" t="n"/>
    </row>
    <row r="18" ht="22" customHeight="1">
      <c r="B18" s="9" t="inlineStr">
        <is>
          <t>매일</t>
        </is>
      </c>
      <c r="C18" s="10" t="n">
        <v>10000</v>
      </c>
      <c r="D18" s="11" t="n">
        <v>0.07000000000000001</v>
      </c>
      <c r="E18" s="10" t="n">
        <v>20000</v>
      </c>
      <c r="F18" s="11" t="n">
        <v>0</v>
      </c>
      <c r="G18" s="11" t="n">
        <v>0.5</v>
      </c>
      <c r="H18" s="11" t="n">
        <v>0.5</v>
      </c>
      <c r="I18" s="4" t="n"/>
      <c r="J18" s="13" t="inlineStr">
        <is>
          <t>꼭현대 · 스마일 · 삼성 · G삼성 · KB · NH · 우리 · IBK · 하나 · 롯데 · 비씨</t>
        </is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4" t="n"/>
    </row>
    <row r="19" ht="22" customHeight="1">
      <c r="B19" s="9" t="inlineStr">
        <is>
          <t>기타</t>
        </is>
      </c>
      <c r="C19" s="10" t="n">
        <v>10000</v>
      </c>
      <c r="D19" s="11" t="n">
        <v>0.15</v>
      </c>
      <c r="E19" s="10" t="n">
        <v>10000</v>
      </c>
      <c r="F19" s="11" t="n">
        <v>0</v>
      </c>
      <c r="G19" s="11" t="n">
        <v>0.4</v>
      </c>
      <c r="H19" s="11" t="n">
        <v>0.6</v>
      </c>
      <c r="I19" s="4" t="n"/>
      <c r="J19" s="13" t="inlineStr">
        <is>
          <t>꼭현대 · G삼성</t>
        </is>
      </c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4" t="n"/>
    </row>
    <row r="21">
      <c r="B21" s="14" t="inlineStr">
        <is>
          <t>※ 쿠폰은 전액 당사 부담이라 정산에서 차감되지 않습니다. 카드할인은 셀러 분담분만 차감됩니다 (최대 분담 카드 기준, 보수적 산출).</t>
        </is>
      </c>
    </row>
    <row r="22">
      <c r="B22" s="14" t="inlineStr">
        <is>
          <t>※ 쿠폰은 중복 사용 불가로 가정해, 적용 가능한 쿠폰 중 할인액이 가장 큰 1개만 반영합니다.</t>
        </is>
      </c>
    </row>
    <row r="23">
      <c r="B23" s="14" t="inlineStr">
        <is>
          <t>※ 상품코드는 G마켓/옥션 상품번호를 입력해 주세요 (그룹코드·마스터코드 X).</t>
        </is>
      </c>
    </row>
    <row r="25">
      <c r="I25" s="15" t="inlineStr">
        <is>
          <t>마케팅 쿠폰 (당사 100%)</t>
        </is>
      </c>
      <c r="J25" s="5" t="n"/>
      <c r="K25" s="5" t="n"/>
      <c r="L25" s="4" t="n"/>
      <c r="N25" s="15" t="inlineStr">
        <is>
          <t>쿠폰 적용</t>
        </is>
      </c>
      <c r="O25" s="4" t="n"/>
      <c r="Q25" s="15" t="inlineStr">
        <is>
          <t>카드 할인</t>
        </is>
      </c>
      <c r="R25" s="5" t="n"/>
      <c r="S25" s="5" t="n"/>
      <c r="T25" s="4" t="n"/>
      <c r="U25" s="15" t="inlineStr">
        <is>
          <t>최종 · 정산</t>
        </is>
      </c>
      <c r="V25" s="5" t="n"/>
      <c r="W25" s="4" t="n"/>
    </row>
    <row r="26">
      <c r="B26" s="16" t="inlineStr">
        <is>
          <t>입력</t>
        </is>
      </c>
      <c r="C26" s="16" t="inlineStr">
        <is>
          <t>입력</t>
        </is>
      </c>
      <c r="D26" s="16" t="inlineStr">
        <is>
          <t>입력</t>
        </is>
      </c>
      <c r="E26" s="16" t="inlineStr">
        <is>
          <t>입력</t>
        </is>
      </c>
      <c r="F26" s="16" t="inlineStr">
        <is>
          <t>입력</t>
        </is>
      </c>
      <c r="G26" s="17" t="inlineStr">
        <is>
          <t>자동</t>
        </is>
      </c>
      <c r="I26" s="17" t="inlineStr">
        <is>
          <t>자동</t>
        </is>
      </c>
      <c r="J26" s="17" t="inlineStr">
        <is>
          <t>자동</t>
        </is>
      </c>
      <c r="K26" s="17" t="inlineStr">
        <is>
          <t>자동</t>
        </is>
      </c>
      <c r="L26" s="17" t="inlineStr">
        <is>
          <t>자동</t>
        </is>
      </c>
      <c r="N26" s="17" t="inlineStr">
        <is>
          <t>자동</t>
        </is>
      </c>
      <c r="O26" s="17" t="inlineStr">
        <is>
          <t>자동</t>
        </is>
      </c>
      <c r="Q26" s="17" t="inlineStr">
        <is>
          <t>자동</t>
        </is>
      </c>
      <c r="R26" s="17" t="inlineStr">
        <is>
          <t>자동</t>
        </is>
      </c>
      <c r="S26" s="17" t="inlineStr">
        <is>
          <t>자동</t>
        </is>
      </c>
      <c r="T26" s="17" t="inlineStr">
        <is>
          <t>자동</t>
        </is>
      </c>
      <c r="U26" s="17" t="inlineStr">
        <is>
          <t>자동</t>
        </is>
      </c>
      <c r="V26" s="17" t="inlineStr">
        <is>
          <t>자동</t>
        </is>
      </c>
      <c r="W26" s="17" t="inlineStr">
        <is>
          <t>자동</t>
        </is>
      </c>
    </row>
    <row r="27" ht="40" customHeight="1">
      <c r="B27" s="3" t="inlineStr">
        <is>
          <t>사이트</t>
        </is>
      </c>
      <c r="C27" s="3" t="inlineStr">
        <is>
          <t>상품코드</t>
        </is>
      </c>
      <c r="D27" s="3" t="inlineStr">
        <is>
          <t>상품명</t>
        </is>
      </c>
      <c r="E27" s="3" t="inlineStr">
        <is>
          <t>정상 소비자가</t>
        </is>
      </c>
      <c r="F27" s="3" t="inlineStr">
        <is>
          <t>판매자 할인</t>
        </is>
      </c>
      <c r="G27" s="3" t="inlineStr">
        <is>
          <t>판매자 할인
적용가</t>
        </is>
      </c>
      <c r="I27" s="3">
        <f>B10&amp;" "&amp;TEXT(D10,"0%")&amp;CHAR(10)&amp;TEXT(C10,"#,##0")&amp;"원↑"</f>
        <v/>
      </c>
      <c r="J27" s="3">
        <f>B11&amp;" "&amp;TEXT(D11,"0%")&amp;CHAR(10)&amp;TEXT(C11,"#,##0")&amp;"원↑"</f>
        <v/>
      </c>
      <c r="K27" s="3">
        <f>B12&amp;" "&amp;TEXT(D12,"0%")&amp;CHAR(10)&amp;TEXT(C12,"#,##0")&amp;"원↑"</f>
        <v/>
      </c>
      <c r="L27" s="3">
        <f>B13&amp;" "&amp;TEXT(D13,"0%")</f>
        <v/>
      </c>
      <c r="N27" s="3" t="inlineStr">
        <is>
          <t>최대 쿠폰</t>
        </is>
      </c>
      <c r="O27" s="3" t="inlineStr">
        <is>
          <t>쿠폰 적용가</t>
        </is>
      </c>
      <c r="Q27" s="3">
        <f>"오늘만 "&amp;TEXT(D17,"0%")</f>
        <v/>
      </c>
      <c r="R27" s="3">
        <f>"매일 "&amp;TEXT(D18,"0%")</f>
        <v/>
      </c>
      <c r="S27" s="3">
        <f>"기타 "&amp;TEXT(D19,"0%")</f>
        <v/>
      </c>
      <c r="T27" s="3" t="inlineStr">
        <is>
          <t>최대
카드할인</t>
        </is>
      </c>
      <c r="U27" s="3" t="inlineStr">
        <is>
          <t>최종 혜택가</t>
        </is>
      </c>
      <c r="V27" s="3" t="inlineStr">
        <is>
          <t>셀러 카드분담
(최대)</t>
        </is>
      </c>
      <c r="W27" s="3" t="inlineStr">
        <is>
          <t>예상 정산금액</t>
        </is>
      </c>
    </row>
    <row r="28">
      <c r="B28" s="18" t="inlineStr">
        <is>
          <t>G마켓</t>
        </is>
      </c>
      <c r="C28" s="18" t="inlineStr">
        <is>
          <t>예시001</t>
        </is>
      </c>
      <c r="D28" s="19" t="inlineStr">
        <is>
          <t>(예시) 스테인리스 텀블러</t>
        </is>
      </c>
      <c r="E28" s="20" t="n">
        <v>32000</v>
      </c>
      <c r="F28" s="20" t="n">
        <v>2000</v>
      </c>
      <c r="G28" s="21">
        <f>IF(E28="","",E28-N(F28))</f>
        <v/>
      </c>
      <c r="I28" s="22">
        <f>IF(G28="","",IF(G28&gt;=$C$10,IF(B28="G마켓",ROUNDDOWN(MIN(G28*$D$10,$E$10),0),ROUNDUP(MIN(G28*$D$10,$E$10),0)),0))</f>
        <v/>
      </c>
      <c r="J28" s="22">
        <f>IF(G28="","",IF(G28&gt;=$C$11,IF(B28="G마켓",ROUNDDOWN(MIN(G28*$D$11,$E$11),0),ROUNDUP(MIN(G28*$D$11,$E$11),0)),0))</f>
        <v/>
      </c>
      <c r="K28" s="22">
        <f>IF(G28="","",IF(G28&gt;=$C$12,IF(B28="G마켓",ROUNDDOWN(MIN(G28*$D$12,$E$12),0),ROUNDUP(MIN(G28*$D$12,$E$12),0)),0))</f>
        <v/>
      </c>
      <c r="L28" s="22">
        <f>IF(G28="","",IF(G28&gt;=$C$13,IF(B28="G마켓",ROUNDDOWN(MIN(G28*$D$13,$E$13),0),ROUNDUP(MIN(G28*$D$13,$E$13),0)),0))</f>
        <v/>
      </c>
      <c r="N28" s="21">
        <f>IF(G28="","",MAX(I28,J28,K28,L28))</f>
        <v/>
      </c>
      <c r="O28" s="21">
        <f>IF(G28="","",G28-N28)</f>
        <v/>
      </c>
      <c r="Q28" s="22">
        <f>IF(O28="","",IF(O28&gt;=$C$17,IF(B28="G마켓",ROUNDDOWN(MIN(O28*$D$17,$E$17),0),ROUNDUP(MIN(O28*$D$17,$E$17),0)),0))</f>
        <v/>
      </c>
      <c r="R28" s="22">
        <f>IF(O28="","",IF(O28&gt;=$C$18,IF(B28="G마켓",ROUNDDOWN(MIN(O28*$D$18,$E$18),0),ROUNDUP(MIN(O28*$D$18,$E$18),0)),0))</f>
        <v/>
      </c>
      <c r="S28" s="22">
        <f>IF(O28="","",IF(O28&gt;=$C$19,IF(B28="G마켓",ROUNDDOWN(MIN(O28*$D$19,$E$19),0),ROUNDUP(MIN(O28*$D$19,$E$19),0)),0))</f>
        <v/>
      </c>
      <c r="T28" s="21">
        <f>IF(O28="","",MAX(Q28,R28,S28))</f>
        <v/>
      </c>
      <c r="U28" s="23">
        <f>IF(O28="","",O28-T28)</f>
        <v/>
      </c>
      <c r="V28" s="22">
        <f>IF(O28="","",IF(B28="G마켓",ROUNDDOWN(MAX(Q28*$G$17,R28*$G$18,S28*$G$19),0),ROUNDUP(MAX(Q28*$G$17,R28*$G$18,S28*$G$19),0)))</f>
        <v/>
      </c>
      <c r="W28" s="23">
        <f>IF(G28="","",IF(B28="G마켓",ROUNDDOWN(G28-G28*$Q$6-V28,0),ROUNDUP(G28-G28*$Q$6-V28,0)))</f>
        <v/>
      </c>
    </row>
    <row r="29">
      <c r="B29" s="18" t="inlineStr">
        <is>
          <t>옥션</t>
        </is>
      </c>
      <c r="C29" s="18" t="inlineStr">
        <is>
          <t>예시002</t>
        </is>
      </c>
      <c r="D29" s="19" t="inlineStr">
        <is>
          <t>(예시) 무선청소기</t>
        </is>
      </c>
      <c r="E29" s="20" t="n">
        <v>299000</v>
      </c>
      <c r="F29" s="20" t="n">
        <v>20000</v>
      </c>
      <c r="G29" s="21">
        <f>IF(E29="","",E29-N(F29))</f>
        <v/>
      </c>
      <c r="I29" s="22">
        <f>IF(G29="","",IF(G29&gt;=$C$10,IF(B29="G마켓",ROUNDDOWN(MIN(G29*$D$10,$E$10),0),ROUNDUP(MIN(G29*$D$10,$E$10),0)),0))</f>
        <v/>
      </c>
      <c r="J29" s="22">
        <f>IF(G29="","",IF(G29&gt;=$C$11,IF(B29="G마켓",ROUNDDOWN(MIN(G29*$D$11,$E$11),0),ROUNDUP(MIN(G29*$D$11,$E$11),0)),0))</f>
        <v/>
      </c>
      <c r="K29" s="22">
        <f>IF(G29="","",IF(G29&gt;=$C$12,IF(B29="G마켓",ROUNDDOWN(MIN(G29*$D$12,$E$12),0),ROUNDUP(MIN(G29*$D$12,$E$12),0)),0))</f>
        <v/>
      </c>
      <c r="L29" s="22">
        <f>IF(G29="","",IF(G29&gt;=$C$13,IF(B29="G마켓",ROUNDDOWN(MIN(G29*$D$13,$E$13),0),ROUNDUP(MIN(G29*$D$13,$E$13),0)),0))</f>
        <v/>
      </c>
      <c r="N29" s="21">
        <f>IF(G29="","",MAX(I29,J29,K29,L29))</f>
        <v/>
      </c>
      <c r="O29" s="21">
        <f>IF(G29="","",G29-N29)</f>
        <v/>
      </c>
      <c r="Q29" s="22">
        <f>IF(O29="","",IF(O29&gt;=$C$17,IF(B29="G마켓",ROUNDDOWN(MIN(O29*$D$17,$E$17),0),ROUNDUP(MIN(O29*$D$17,$E$17),0)),0))</f>
        <v/>
      </c>
      <c r="R29" s="22">
        <f>IF(O29="","",IF(O29&gt;=$C$18,IF(B29="G마켓",ROUNDDOWN(MIN(O29*$D$18,$E$18),0),ROUNDUP(MIN(O29*$D$18,$E$18),0)),0))</f>
        <v/>
      </c>
      <c r="S29" s="22">
        <f>IF(O29="","",IF(O29&gt;=$C$19,IF(B29="G마켓",ROUNDDOWN(MIN(O29*$D$19,$E$19),0),ROUNDUP(MIN(O29*$D$19,$E$19),0)),0))</f>
        <v/>
      </c>
      <c r="T29" s="21">
        <f>IF(O29="","",MAX(Q29,R29,S29))</f>
        <v/>
      </c>
      <c r="U29" s="23">
        <f>IF(O29="","",O29-T29)</f>
        <v/>
      </c>
      <c r="V29" s="22">
        <f>IF(O29="","",IF(B29="G마켓",ROUNDDOWN(MAX(Q29*$G$17,R29*$G$18,S29*$G$19),0),ROUNDUP(MAX(Q29*$G$17,R29*$G$18,S29*$G$19),0)))</f>
        <v/>
      </c>
      <c r="W29" s="23">
        <f>IF(G29="","",IF(B29="G마켓",ROUNDDOWN(G29-G29*$Q$6-V29,0),ROUNDUP(G29-G29*$Q$6-V29,0)))</f>
        <v/>
      </c>
    </row>
    <row r="30">
      <c r="B30" s="6" t="n"/>
      <c r="C30" s="6" t="n"/>
      <c r="D30" s="24" t="n"/>
      <c r="E30" s="25" t="n"/>
      <c r="F30" s="25" t="n"/>
      <c r="G30" s="21">
        <f>IF(E30="","",E30-N(F30))</f>
        <v/>
      </c>
      <c r="I30" s="22">
        <f>IF(G30="","",IF(G30&gt;=$C$10,IF(B30="G마켓",ROUNDDOWN(MIN(G30*$D$10,$E$10),0),ROUNDUP(MIN(G30*$D$10,$E$10),0)),0))</f>
        <v/>
      </c>
      <c r="J30" s="22">
        <f>IF(G30="","",IF(G30&gt;=$C$11,IF(B30="G마켓",ROUNDDOWN(MIN(G30*$D$11,$E$11),0),ROUNDUP(MIN(G30*$D$11,$E$11),0)),0))</f>
        <v/>
      </c>
      <c r="K30" s="22">
        <f>IF(G30="","",IF(G30&gt;=$C$12,IF(B30="G마켓",ROUNDDOWN(MIN(G30*$D$12,$E$12),0),ROUNDUP(MIN(G30*$D$12,$E$12),0)),0))</f>
        <v/>
      </c>
      <c r="L30" s="22">
        <f>IF(G30="","",IF(G30&gt;=$C$13,IF(B30="G마켓",ROUNDDOWN(MIN(G30*$D$13,$E$13),0),ROUNDUP(MIN(G30*$D$13,$E$13),0)),0))</f>
        <v/>
      </c>
      <c r="N30" s="21">
        <f>IF(G30="","",MAX(I30,J30,K30,L30))</f>
        <v/>
      </c>
      <c r="O30" s="21">
        <f>IF(G30="","",G30-N30)</f>
        <v/>
      </c>
      <c r="Q30" s="22">
        <f>IF(O30="","",IF(O30&gt;=$C$17,IF(B30="G마켓",ROUNDDOWN(MIN(O30*$D$17,$E$17),0),ROUNDUP(MIN(O30*$D$17,$E$17),0)),0))</f>
        <v/>
      </c>
      <c r="R30" s="22">
        <f>IF(O30="","",IF(O30&gt;=$C$18,IF(B30="G마켓",ROUNDDOWN(MIN(O30*$D$18,$E$18),0),ROUNDUP(MIN(O30*$D$18,$E$18),0)),0))</f>
        <v/>
      </c>
      <c r="S30" s="22">
        <f>IF(O30="","",IF(O30&gt;=$C$19,IF(B30="G마켓",ROUNDDOWN(MIN(O30*$D$19,$E$19),0),ROUNDUP(MIN(O30*$D$19,$E$19),0)),0))</f>
        <v/>
      </c>
      <c r="T30" s="21">
        <f>IF(O30="","",MAX(Q30,R30,S30))</f>
        <v/>
      </c>
      <c r="U30" s="23">
        <f>IF(O30="","",O30-T30)</f>
        <v/>
      </c>
      <c r="V30" s="22">
        <f>IF(O30="","",IF(B30="G마켓",ROUNDDOWN(MAX(Q30*$G$17,R30*$G$18,S30*$G$19),0),ROUNDUP(MAX(Q30*$G$17,R30*$G$18,S30*$G$19),0)))</f>
        <v/>
      </c>
      <c r="W30" s="23">
        <f>IF(G30="","",IF(B30="G마켓",ROUNDDOWN(G30-G30*$Q$6-V30,0),ROUNDUP(G30-G30*$Q$6-V30,0)))</f>
        <v/>
      </c>
    </row>
    <row r="31">
      <c r="B31" s="6" t="n"/>
      <c r="C31" s="6" t="n"/>
      <c r="D31" s="24" t="n"/>
      <c r="E31" s="25" t="n"/>
      <c r="F31" s="25" t="n"/>
      <c r="G31" s="21">
        <f>IF(E31="","",E31-N(F31))</f>
        <v/>
      </c>
      <c r="I31" s="22">
        <f>IF(G31="","",IF(G31&gt;=$C$10,IF(B31="G마켓",ROUNDDOWN(MIN(G31*$D$10,$E$10),0),ROUNDUP(MIN(G31*$D$10,$E$10),0)),0))</f>
        <v/>
      </c>
      <c r="J31" s="22">
        <f>IF(G31="","",IF(G31&gt;=$C$11,IF(B31="G마켓",ROUNDDOWN(MIN(G31*$D$11,$E$11),0),ROUNDUP(MIN(G31*$D$11,$E$11),0)),0))</f>
        <v/>
      </c>
      <c r="K31" s="22">
        <f>IF(G31="","",IF(G31&gt;=$C$12,IF(B31="G마켓",ROUNDDOWN(MIN(G31*$D$12,$E$12),0),ROUNDUP(MIN(G31*$D$12,$E$12),0)),0))</f>
        <v/>
      </c>
      <c r="L31" s="22">
        <f>IF(G31="","",IF(G31&gt;=$C$13,IF(B31="G마켓",ROUNDDOWN(MIN(G31*$D$13,$E$13),0),ROUNDUP(MIN(G31*$D$13,$E$13),0)),0))</f>
        <v/>
      </c>
      <c r="N31" s="21">
        <f>IF(G31="","",MAX(I31,J31,K31,L31))</f>
        <v/>
      </c>
      <c r="O31" s="21">
        <f>IF(G31="","",G31-N31)</f>
        <v/>
      </c>
      <c r="Q31" s="22">
        <f>IF(O31="","",IF(O31&gt;=$C$17,IF(B31="G마켓",ROUNDDOWN(MIN(O31*$D$17,$E$17),0),ROUNDUP(MIN(O31*$D$17,$E$17),0)),0))</f>
        <v/>
      </c>
      <c r="R31" s="22">
        <f>IF(O31="","",IF(O31&gt;=$C$18,IF(B31="G마켓",ROUNDDOWN(MIN(O31*$D$18,$E$18),0),ROUNDUP(MIN(O31*$D$18,$E$18),0)),0))</f>
        <v/>
      </c>
      <c r="S31" s="22">
        <f>IF(O31="","",IF(O31&gt;=$C$19,IF(B31="G마켓",ROUNDDOWN(MIN(O31*$D$19,$E$19),0),ROUNDUP(MIN(O31*$D$19,$E$19),0)),0))</f>
        <v/>
      </c>
      <c r="T31" s="21">
        <f>IF(O31="","",MAX(Q31,R31,S31))</f>
        <v/>
      </c>
      <c r="U31" s="23">
        <f>IF(O31="","",O31-T31)</f>
        <v/>
      </c>
      <c r="V31" s="22">
        <f>IF(O31="","",IF(B31="G마켓",ROUNDDOWN(MAX(Q31*$G$17,R31*$G$18,S31*$G$19),0),ROUNDUP(MAX(Q31*$G$17,R31*$G$18,S31*$G$19),0)))</f>
        <v/>
      </c>
      <c r="W31" s="23">
        <f>IF(G31="","",IF(B31="G마켓",ROUNDDOWN(G31-G31*$Q$6-V31,0),ROUNDUP(G31-G31*$Q$6-V31,0)))</f>
        <v/>
      </c>
    </row>
    <row r="32">
      <c r="B32" s="6" t="n"/>
      <c r="C32" s="6" t="n"/>
      <c r="D32" s="24" t="n"/>
      <c r="E32" s="25" t="n"/>
      <c r="F32" s="25" t="n"/>
      <c r="G32" s="21">
        <f>IF(E32="","",E32-N(F32))</f>
        <v/>
      </c>
      <c r="I32" s="22">
        <f>IF(G32="","",IF(G32&gt;=$C$10,IF(B32="G마켓",ROUNDDOWN(MIN(G32*$D$10,$E$10),0),ROUNDUP(MIN(G32*$D$10,$E$10),0)),0))</f>
        <v/>
      </c>
      <c r="J32" s="22">
        <f>IF(G32="","",IF(G32&gt;=$C$11,IF(B32="G마켓",ROUNDDOWN(MIN(G32*$D$11,$E$11),0),ROUNDUP(MIN(G32*$D$11,$E$11),0)),0))</f>
        <v/>
      </c>
      <c r="K32" s="22">
        <f>IF(G32="","",IF(G32&gt;=$C$12,IF(B32="G마켓",ROUNDDOWN(MIN(G32*$D$12,$E$12),0),ROUNDUP(MIN(G32*$D$12,$E$12),0)),0))</f>
        <v/>
      </c>
      <c r="L32" s="22">
        <f>IF(G32="","",IF(G32&gt;=$C$13,IF(B32="G마켓",ROUNDDOWN(MIN(G32*$D$13,$E$13),0),ROUNDUP(MIN(G32*$D$13,$E$13),0)),0))</f>
        <v/>
      </c>
      <c r="N32" s="21">
        <f>IF(G32="","",MAX(I32,J32,K32,L32))</f>
        <v/>
      </c>
      <c r="O32" s="21">
        <f>IF(G32="","",G32-N32)</f>
        <v/>
      </c>
      <c r="Q32" s="22">
        <f>IF(O32="","",IF(O32&gt;=$C$17,IF(B32="G마켓",ROUNDDOWN(MIN(O32*$D$17,$E$17),0),ROUNDUP(MIN(O32*$D$17,$E$17),0)),0))</f>
        <v/>
      </c>
      <c r="R32" s="22">
        <f>IF(O32="","",IF(O32&gt;=$C$18,IF(B32="G마켓",ROUNDDOWN(MIN(O32*$D$18,$E$18),0),ROUNDUP(MIN(O32*$D$18,$E$18),0)),0))</f>
        <v/>
      </c>
      <c r="S32" s="22">
        <f>IF(O32="","",IF(O32&gt;=$C$19,IF(B32="G마켓",ROUNDDOWN(MIN(O32*$D$19,$E$19),0),ROUNDUP(MIN(O32*$D$19,$E$19),0)),0))</f>
        <v/>
      </c>
      <c r="T32" s="21">
        <f>IF(O32="","",MAX(Q32,R32,S32))</f>
        <v/>
      </c>
      <c r="U32" s="23">
        <f>IF(O32="","",O32-T32)</f>
        <v/>
      </c>
      <c r="V32" s="22">
        <f>IF(O32="","",IF(B32="G마켓",ROUNDDOWN(MAX(Q32*$G$17,R32*$G$18,S32*$G$19),0),ROUNDUP(MAX(Q32*$G$17,R32*$G$18,S32*$G$19),0)))</f>
        <v/>
      </c>
      <c r="W32" s="23">
        <f>IF(G32="","",IF(B32="G마켓",ROUNDDOWN(G32-G32*$Q$6-V32,0),ROUNDUP(G32-G32*$Q$6-V32,0)))</f>
        <v/>
      </c>
    </row>
    <row r="33">
      <c r="B33" s="6" t="n"/>
      <c r="C33" s="6" t="n"/>
      <c r="D33" s="24" t="n"/>
      <c r="E33" s="25" t="n"/>
      <c r="F33" s="25" t="n"/>
      <c r="G33" s="21">
        <f>IF(E33="","",E33-N(F33))</f>
        <v/>
      </c>
      <c r="I33" s="22">
        <f>IF(G33="","",IF(G33&gt;=$C$10,IF(B33="G마켓",ROUNDDOWN(MIN(G33*$D$10,$E$10),0),ROUNDUP(MIN(G33*$D$10,$E$10),0)),0))</f>
        <v/>
      </c>
      <c r="J33" s="22">
        <f>IF(G33="","",IF(G33&gt;=$C$11,IF(B33="G마켓",ROUNDDOWN(MIN(G33*$D$11,$E$11),0),ROUNDUP(MIN(G33*$D$11,$E$11),0)),0))</f>
        <v/>
      </c>
      <c r="K33" s="22">
        <f>IF(G33="","",IF(G33&gt;=$C$12,IF(B33="G마켓",ROUNDDOWN(MIN(G33*$D$12,$E$12),0),ROUNDUP(MIN(G33*$D$12,$E$12),0)),0))</f>
        <v/>
      </c>
      <c r="L33" s="22">
        <f>IF(G33="","",IF(G33&gt;=$C$13,IF(B33="G마켓",ROUNDDOWN(MIN(G33*$D$13,$E$13),0),ROUNDUP(MIN(G33*$D$13,$E$13),0)),0))</f>
        <v/>
      </c>
      <c r="N33" s="21">
        <f>IF(G33="","",MAX(I33,J33,K33,L33))</f>
        <v/>
      </c>
      <c r="O33" s="21">
        <f>IF(G33="","",G33-N33)</f>
        <v/>
      </c>
      <c r="Q33" s="22">
        <f>IF(O33="","",IF(O33&gt;=$C$17,IF(B33="G마켓",ROUNDDOWN(MIN(O33*$D$17,$E$17),0),ROUNDUP(MIN(O33*$D$17,$E$17),0)),0))</f>
        <v/>
      </c>
      <c r="R33" s="22">
        <f>IF(O33="","",IF(O33&gt;=$C$18,IF(B33="G마켓",ROUNDDOWN(MIN(O33*$D$18,$E$18),0),ROUNDUP(MIN(O33*$D$18,$E$18),0)),0))</f>
        <v/>
      </c>
      <c r="S33" s="22">
        <f>IF(O33="","",IF(O33&gt;=$C$19,IF(B33="G마켓",ROUNDDOWN(MIN(O33*$D$19,$E$19),0),ROUNDUP(MIN(O33*$D$19,$E$19),0)),0))</f>
        <v/>
      </c>
      <c r="T33" s="21">
        <f>IF(O33="","",MAX(Q33,R33,S33))</f>
        <v/>
      </c>
      <c r="U33" s="23">
        <f>IF(O33="","",O33-T33)</f>
        <v/>
      </c>
      <c r="V33" s="22">
        <f>IF(O33="","",IF(B33="G마켓",ROUNDDOWN(MAX(Q33*$G$17,R33*$G$18,S33*$G$19),0),ROUNDUP(MAX(Q33*$G$17,R33*$G$18,S33*$G$19),0)))</f>
        <v/>
      </c>
      <c r="W33" s="23">
        <f>IF(G33="","",IF(B33="G마켓",ROUNDDOWN(G33-G33*$Q$6-V33,0),ROUNDUP(G33-G33*$Q$6-V33,0)))</f>
        <v/>
      </c>
    </row>
    <row r="34">
      <c r="B34" s="6" t="n"/>
      <c r="C34" s="6" t="n"/>
      <c r="D34" s="24" t="n"/>
      <c r="E34" s="25" t="n"/>
      <c r="F34" s="25" t="n"/>
      <c r="G34" s="21">
        <f>IF(E34="","",E34-N(F34))</f>
        <v/>
      </c>
      <c r="I34" s="22">
        <f>IF(G34="","",IF(G34&gt;=$C$10,IF(B34="G마켓",ROUNDDOWN(MIN(G34*$D$10,$E$10),0),ROUNDUP(MIN(G34*$D$10,$E$10),0)),0))</f>
        <v/>
      </c>
      <c r="J34" s="22">
        <f>IF(G34="","",IF(G34&gt;=$C$11,IF(B34="G마켓",ROUNDDOWN(MIN(G34*$D$11,$E$11),0),ROUNDUP(MIN(G34*$D$11,$E$11),0)),0))</f>
        <v/>
      </c>
      <c r="K34" s="22">
        <f>IF(G34="","",IF(G34&gt;=$C$12,IF(B34="G마켓",ROUNDDOWN(MIN(G34*$D$12,$E$12),0),ROUNDUP(MIN(G34*$D$12,$E$12),0)),0))</f>
        <v/>
      </c>
      <c r="L34" s="22">
        <f>IF(G34="","",IF(G34&gt;=$C$13,IF(B34="G마켓",ROUNDDOWN(MIN(G34*$D$13,$E$13),0),ROUNDUP(MIN(G34*$D$13,$E$13),0)),0))</f>
        <v/>
      </c>
      <c r="N34" s="21">
        <f>IF(G34="","",MAX(I34,J34,K34,L34))</f>
        <v/>
      </c>
      <c r="O34" s="21">
        <f>IF(G34="","",G34-N34)</f>
        <v/>
      </c>
      <c r="Q34" s="22">
        <f>IF(O34="","",IF(O34&gt;=$C$17,IF(B34="G마켓",ROUNDDOWN(MIN(O34*$D$17,$E$17),0),ROUNDUP(MIN(O34*$D$17,$E$17),0)),0))</f>
        <v/>
      </c>
      <c r="R34" s="22">
        <f>IF(O34="","",IF(O34&gt;=$C$18,IF(B34="G마켓",ROUNDDOWN(MIN(O34*$D$18,$E$18),0),ROUNDUP(MIN(O34*$D$18,$E$18),0)),0))</f>
        <v/>
      </c>
      <c r="S34" s="22">
        <f>IF(O34="","",IF(O34&gt;=$C$19,IF(B34="G마켓",ROUNDDOWN(MIN(O34*$D$19,$E$19),0),ROUNDUP(MIN(O34*$D$19,$E$19),0)),0))</f>
        <v/>
      </c>
      <c r="T34" s="21">
        <f>IF(O34="","",MAX(Q34,R34,S34))</f>
        <v/>
      </c>
      <c r="U34" s="23">
        <f>IF(O34="","",O34-T34)</f>
        <v/>
      </c>
      <c r="V34" s="22">
        <f>IF(O34="","",IF(B34="G마켓",ROUNDDOWN(MAX(Q34*$G$17,R34*$G$18,S34*$G$19),0),ROUNDUP(MAX(Q34*$G$17,R34*$G$18,S34*$G$19),0)))</f>
        <v/>
      </c>
      <c r="W34" s="23">
        <f>IF(G34="","",IF(B34="G마켓",ROUNDDOWN(G34-G34*$Q$6-V34,0),ROUNDUP(G34-G34*$Q$6-V34,0)))</f>
        <v/>
      </c>
    </row>
    <row r="35">
      <c r="B35" s="6" t="n"/>
      <c r="C35" s="6" t="n"/>
      <c r="D35" s="24" t="n"/>
      <c r="E35" s="25" t="n"/>
      <c r="F35" s="25" t="n"/>
      <c r="G35" s="21">
        <f>IF(E35="","",E35-N(F35))</f>
        <v/>
      </c>
      <c r="I35" s="22">
        <f>IF(G35="","",IF(G35&gt;=$C$10,IF(B35="G마켓",ROUNDDOWN(MIN(G35*$D$10,$E$10),0),ROUNDUP(MIN(G35*$D$10,$E$10),0)),0))</f>
        <v/>
      </c>
      <c r="J35" s="22">
        <f>IF(G35="","",IF(G35&gt;=$C$11,IF(B35="G마켓",ROUNDDOWN(MIN(G35*$D$11,$E$11),0),ROUNDUP(MIN(G35*$D$11,$E$11),0)),0))</f>
        <v/>
      </c>
      <c r="K35" s="22">
        <f>IF(G35="","",IF(G35&gt;=$C$12,IF(B35="G마켓",ROUNDDOWN(MIN(G35*$D$12,$E$12),0),ROUNDUP(MIN(G35*$D$12,$E$12),0)),0))</f>
        <v/>
      </c>
      <c r="L35" s="22">
        <f>IF(G35="","",IF(G35&gt;=$C$13,IF(B35="G마켓",ROUNDDOWN(MIN(G35*$D$13,$E$13),0),ROUNDUP(MIN(G35*$D$13,$E$13),0)),0))</f>
        <v/>
      </c>
      <c r="N35" s="21">
        <f>IF(G35="","",MAX(I35,J35,K35,L35))</f>
        <v/>
      </c>
      <c r="O35" s="21">
        <f>IF(G35="","",G35-N35)</f>
        <v/>
      </c>
      <c r="Q35" s="22">
        <f>IF(O35="","",IF(O35&gt;=$C$17,IF(B35="G마켓",ROUNDDOWN(MIN(O35*$D$17,$E$17),0),ROUNDUP(MIN(O35*$D$17,$E$17),0)),0))</f>
        <v/>
      </c>
      <c r="R35" s="22">
        <f>IF(O35="","",IF(O35&gt;=$C$18,IF(B35="G마켓",ROUNDDOWN(MIN(O35*$D$18,$E$18),0),ROUNDUP(MIN(O35*$D$18,$E$18),0)),0))</f>
        <v/>
      </c>
      <c r="S35" s="22">
        <f>IF(O35="","",IF(O35&gt;=$C$19,IF(B35="G마켓",ROUNDDOWN(MIN(O35*$D$19,$E$19),0),ROUNDUP(MIN(O35*$D$19,$E$19),0)),0))</f>
        <v/>
      </c>
      <c r="T35" s="21">
        <f>IF(O35="","",MAX(Q35,R35,S35))</f>
        <v/>
      </c>
      <c r="U35" s="23">
        <f>IF(O35="","",O35-T35)</f>
        <v/>
      </c>
      <c r="V35" s="22">
        <f>IF(O35="","",IF(B35="G마켓",ROUNDDOWN(MAX(Q35*$G$17,R35*$G$18,S35*$G$19),0),ROUNDUP(MAX(Q35*$G$17,R35*$G$18,S35*$G$19),0)))</f>
        <v/>
      </c>
      <c r="W35" s="23">
        <f>IF(G35="","",IF(B35="G마켓",ROUNDDOWN(G35-G35*$Q$6-V35,0),ROUNDUP(G35-G35*$Q$6-V35,0)))</f>
        <v/>
      </c>
    </row>
    <row r="36">
      <c r="B36" s="6" t="n"/>
      <c r="C36" s="6" t="n"/>
      <c r="D36" s="24" t="n"/>
      <c r="E36" s="25" t="n"/>
      <c r="F36" s="25" t="n"/>
      <c r="G36" s="21">
        <f>IF(E36="","",E36-N(F36))</f>
        <v/>
      </c>
      <c r="I36" s="22">
        <f>IF(G36="","",IF(G36&gt;=$C$10,IF(B36="G마켓",ROUNDDOWN(MIN(G36*$D$10,$E$10),0),ROUNDUP(MIN(G36*$D$10,$E$10),0)),0))</f>
        <v/>
      </c>
      <c r="J36" s="22">
        <f>IF(G36="","",IF(G36&gt;=$C$11,IF(B36="G마켓",ROUNDDOWN(MIN(G36*$D$11,$E$11),0),ROUNDUP(MIN(G36*$D$11,$E$11),0)),0))</f>
        <v/>
      </c>
      <c r="K36" s="22">
        <f>IF(G36="","",IF(G36&gt;=$C$12,IF(B36="G마켓",ROUNDDOWN(MIN(G36*$D$12,$E$12),0),ROUNDUP(MIN(G36*$D$12,$E$12),0)),0))</f>
        <v/>
      </c>
      <c r="L36" s="22">
        <f>IF(G36="","",IF(G36&gt;=$C$13,IF(B36="G마켓",ROUNDDOWN(MIN(G36*$D$13,$E$13),0),ROUNDUP(MIN(G36*$D$13,$E$13),0)),0))</f>
        <v/>
      </c>
      <c r="N36" s="21">
        <f>IF(G36="","",MAX(I36,J36,K36,L36))</f>
        <v/>
      </c>
      <c r="O36" s="21">
        <f>IF(G36="","",G36-N36)</f>
        <v/>
      </c>
      <c r="Q36" s="22">
        <f>IF(O36="","",IF(O36&gt;=$C$17,IF(B36="G마켓",ROUNDDOWN(MIN(O36*$D$17,$E$17),0),ROUNDUP(MIN(O36*$D$17,$E$17),0)),0))</f>
        <v/>
      </c>
      <c r="R36" s="22">
        <f>IF(O36="","",IF(O36&gt;=$C$18,IF(B36="G마켓",ROUNDDOWN(MIN(O36*$D$18,$E$18),0),ROUNDUP(MIN(O36*$D$18,$E$18),0)),0))</f>
        <v/>
      </c>
      <c r="S36" s="22">
        <f>IF(O36="","",IF(O36&gt;=$C$19,IF(B36="G마켓",ROUNDDOWN(MIN(O36*$D$19,$E$19),0),ROUNDUP(MIN(O36*$D$19,$E$19),0)),0))</f>
        <v/>
      </c>
      <c r="T36" s="21">
        <f>IF(O36="","",MAX(Q36,R36,S36))</f>
        <v/>
      </c>
      <c r="U36" s="23">
        <f>IF(O36="","",O36-T36)</f>
        <v/>
      </c>
      <c r="V36" s="22">
        <f>IF(O36="","",IF(B36="G마켓",ROUNDDOWN(MAX(Q36*$G$17,R36*$G$18,S36*$G$19),0),ROUNDUP(MAX(Q36*$G$17,R36*$G$18,S36*$G$19),0)))</f>
        <v/>
      </c>
      <c r="W36" s="23">
        <f>IF(G36="","",IF(B36="G마켓",ROUNDDOWN(G36-G36*$Q$6-V36,0),ROUNDUP(G36-G36*$Q$6-V36,0)))</f>
        <v/>
      </c>
    </row>
    <row r="37">
      <c r="B37" s="6" t="n"/>
      <c r="C37" s="6" t="n"/>
      <c r="D37" s="24" t="n"/>
      <c r="E37" s="25" t="n"/>
      <c r="F37" s="25" t="n"/>
      <c r="G37" s="21">
        <f>IF(E37="","",E37-N(F37))</f>
        <v/>
      </c>
      <c r="I37" s="22">
        <f>IF(G37="","",IF(G37&gt;=$C$10,IF(B37="G마켓",ROUNDDOWN(MIN(G37*$D$10,$E$10),0),ROUNDUP(MIN(G37*$D$10,$E$10),0)),0))</f>
        <v/>
      </c>
      <c r="J37" s="22">
        <f>IF(G37="","",IF(G37&gt;=$C$11,IF(B37="G마켓",ROUNDDOWN(MIN(G37*$D$11,$E$11),0),ROUNDUP(MIN(G37*$D$11,$E$11),0)),0))</f>
        <v/>
      </c>
      <c r="K37" s="22">
        <f>IF(G37="","",IF(G37&gt;=$C$12,IF(B37="G마켓",ROUNDDOWN(MIN(G37*$D$12,$E$12),0),ROUNDUP(MIN(G37*$D$12,$E$12),0)),0))</f>
        <v/>
      </c>
      <c r="L37" s="22">
        <f>IF(G37="","",IF(G37&gt;=$C$13,IF(B37="G마켓",ROUNDDOWN(MIN(G37*$D$13,$E$13),0),ROUNDUP(MIN(G37*$D$13,$E$13),0)),0))</f>
        <v/>
      </c>
      <c r="N37" s="21">
        <f>IF(G37="","",MAX(I37,J37,K37,L37))</f>
        <v/>
      </c>
      <c r="O37" s="21">
        <f>IF(G37="","",G37-N37)</f>
        <v/>
      </c>
      <c r="Q37" s="22">
        <f>IF(O37="","",IF(O37&gt;=$C$17,IF(B37="G마켓",ROUNDDOWN(MIN(O37*$D$17,$E$17),0),ROUNDUP(MIN(O37*$D$17,$E$17),0)),0))</f>
        <v/>
      </c>
      <c r="R37" s="22">
        <f>IF(O37="","",IF(O37&gt;=$C$18,IF(B37="G마켓",ROUNDDOWN(MIN(O37*$D$18,$E$18),0),ROUNDUP(MIN(O37*$D$18,$E$18),0)),0))</f>
        <v/>
      </c>
      <c r="S37" s="22">
        <f>IF(O37="","",IF(O37&gt;=$C$19,IF(B37="G마켓",ROUNDDOWN(MIN(O37*$D$19,$E$19),0),ROUNDUP(MIN(O37*$D$19,$E$19),0)),0))</f>
        <v/>
      </c>
      <c r="T37" s="21">
        <f>IF(O37="","",MAX(Q37,R37,S37))</f>
        <v/>
      </c>
      <c r="U37" s="23">
        <f>IF(O37="","",O37-T37)</f>
        <v/>
      </c>
      <c r="V37" s="22">
        <f>IF(O37="","",IF(B37="G마켓",ROUNDDOWN(MAX(Q37*$G$17,R37*$G$18,S37*$G$19),0),ROUNDUP(MAX(Q37*$G$17,R37*$G$18,S37*$G$19),0)))</f>
        <v/>
      </c>
      <c r="W37" s="23">
        <f>IF(G37="","",IF(B37="G마켓",ROUNDDOWN(G37-G37*$Q$6-V37,0),ROUNDUP(G37-G37*$Q$6-V37,0)))</f>
        <v/>
      </c>
    </row>
    <row r="38">
      <c r="B38" s="6" t="n"/>
      <c r="C38" s="6" t="n"/>
      <c r="D38" s="24" t="n"/>
      <c r="E38" s="25" t="n"/>
      <c r="F38" s="25" t="n"/>
      <c r="G38" s="21">
        <f>IF(E38="","",E38-N(F38))</f>
        <v/>
      </c>
      <c r="I38" s="22">
        <f>IF(G38="","",IF(G38&gt;=$C$10,IF(B38="G마켓",ROUNDDOWN(MIN(G38*$D$10,$E$10),0),ROUNDUP(MIN(G38*$D$10,$E$10),0)),0))</f>
        <v/>
      </c>
      <c r="J38" s="22">
        <f>IF(G38="","",IF(G38&gt;=$C$11,IF(B38="G마켓",ROUNDDOWN(MIN(G38*$D$11,$E$11),0),ROUNDUP(MIN(G38*$D$11,$E$11),0)),0))</f>
        <v/>
      </c>
      <c r="K38" s="22">
        <f>IF(G38="","",IF(G38&gt;=$C$12,IF(B38="G마켓",ROUNDDOWN(MIN(G38*$D$12,$E$12),0),ROUNDUP(MIN(G38*$D$12,$E$12),0)),0))</f>
        <v/>
      </c>
      <c r="L38" s="22">
        <f>IF(G38="","",IF(G38&gt;=$C$13,IF(B38="G마켓",ROUNDDOWN(MIN(G38*$D$13,$E$13),0),ROUNDUP(MIN(G38*$D$13,$E$13),0)),0))</f>
        <v/>
      </c>
      <c r="N38" s="21">
        <f>IF(G38="","",MAX(I38,J38,K38,L38))</f>
        <v/>
      </c>
      <c r="O38" s="21">
        <f>IF(G38="","",G38-N38)</f>
        <v/>
      </c>
      <c r="Q38" s="22">
        <f>IF(O38="","",IF(O38&gt;=$C$17,IF(B38="G마켓",ROUNDDOWN(MIN(O38*$D$17,$E$17),0),ROUNDUP(MIN(O38*$D$17,$E$17),0)),0))</f>
        <v/>
      </c>
      <c r="R38" s="22">
        <f>IF(O38="","",IF(O38&gt;=$C$18,IF(B38="G마켓",ROUNDDOWN(MIN(O38*$D$18,$E$18),0),ROUNDUP(MIN(O38*$D$18,$E$18),0)),0))</f>
        <v/>
      </c>
      <c r="S38" s="22">
        <f>IF(O38="","",IF(O38&gt;=$C$19,IF(B38="G마켓",ROUNDDOWN(MIN(O38*$D$19,$E$19),0),ROUNDUP(MIN(O38*$D$19,$E$19),0)),0))</f>
        <v/>
      </c>
      <c r="T38" s="21">
        <f>IF(O38="","",MAX(Q38,R38,S38))</f>
        <v/>
      </c>
      <c r="U38" s="23">
        <f>IF(O38="","",O38-T38)</f>
        <v/>
      </c>
      <c r="V38" s="22">
        <f>IF(O38="","",IF(B38="G마켓",ROUNDDOWN(MAX(Q38*$G$17,R38*$G$18,S38*$G$19),0),ROUNDUP(MAX(Q38*$G$17,R38*$G$18,S38*$G$19),0)))</f>
        <v/>
      </c>
      <c r="W38" s="23">
        <f>IF(G38="","",IF(B38="G마켓",ROUNDDOWN(G38-G38*$Q$6-V38,0),ROUNDUP(G38-G38*$Q$6-V38,0)))</f>
        <v/>
      </c>
    </row>
    <row r="39">
      <c r="B39" s="6" t="n"/>
      <c r="C39" s="6" t="n"/>
      <c r="D39" s="24" t="n"/>
      <c r="E39" s="25" t="n"/>
      <c r="F39" s="25" t="n"/>
      <c r="G39" s="21">
        <f>IF(E39="","",E39-N(F39))</f>
        <v/>
      </c>
      <c r="I39" s="22">
        <f>IF(G39="","",IF(G39&gt;=$C$10,IF(B39="G마켓",ROUNDDOWN(MIN(G39*$D$10,$E$10),0),ROUNDUP(MIN(G39*$D$10,$E$10),0)),0))</f>
        <v/>
      </c>
      <c r="J39" s="22">
        <f>IF(G39="","",IF(G39&gt;=$C$11,IF(B39="G마켓",ROUNDDOWN(MIN(G39*$D$11,$E$11),0),ROUNDUP(MIN(G39*$D$11,$E$11),0)),0))</f>
        <v/>
      </c>
      <c r="K39" s="22">
        <f>IF(G39="","",IF(G39&gt;=$C$12,IF(B39="G마켓",ROUNDDOWN(MIN(G39*$D$12,$E$12),0),ROUNDUP(MIN(G39*$D$12,$E$12),0)),0))</f>
        <v/>
      </c>
      <c r="L39" s="22">
        <f>IF(G39="","",IF(G39&gt;=$C$13,IF(B39="G마켓",ROUNDDOWN(MIN(G39*$D$13,$E$13),0),ROUNDUP(MIN(G39*$D$13,$E$13),0)),0))</f>
        <v/>
      </c>
      <c r="N39" s="21">
        <f>IF(G39="","",MAX(I39,J39,K39,L39))</f>
        <v/>
      </c>
      <c r="O39" s="21">
        <f>IF(G39="","",G39-N39)</f>
        <v/>
      </c>
      <c r="Q39" s="22">
        <f>IF(O39="","",IF(O39&gt;=$C$17,IF(B39="G마켓",ROUNDDOWN(MIN(O39*$D$17,$E$17),0),ROUNDUP(MIN(O39*$D$17,$E$17),0)),0))</f>
        <v/>
      </c>
      <c r="R39" s="22">
        <f>IF(O39="","",IF(O39&gt;=$C$18,IF(B39="G마켓",ROUNDDOWN(MIN(O39*$D$18,$E$18),0),ROUNDUP(MIN(O39*$D$18,$E$18),0)),0))</f>
        <v/>
      </c>
      <c r="S39" s="22">
        <f>IF(O39="","",IF(O39&gt;=$C$19,IF(B39="G마켓",ROUNDDOWN(MIN(O39*$D$19,$E$19),0),ROUNDUP(MIN(O39*$D$19,$E$19),0)),0))</f>
        <v/>
      </c>
      <c r="T39" s="21">
        <f>IF(O39="","",MAX(Q39,R39,S39))</f>
        <v/>
      </c>
      <c r="U39" s="23">
        <f>IF(O39="","",O39-T39)</f>
        <v/>
      </c>
      <c r="V39" s="22">
        <f>IF(O39="","",IF(B39="G마켓",ROUNDDOWN(MAX(Q39*$G$17,R39*$G$18,S39*$G$19),0),ROUNDUP(MAX(Q39*$G$17,R39*$G$18,S39*$G$19),0)))</f>
        <v/>
      </c>
      <c r="W39" s="23">
        <f>IF(G39="","",IF(B39="G마켓",ROUNDDOWN(G39-G39*$Q$6-V39,0),ROUNDUP(G39-G39*$Q$6-V39,0)))</f>
        <v/>
      </c>
    </row>
    <row r="40">
      <c r="B40" s="6" t="n"/>
      <c r="C40" s="6" t="n"/>
      <c r="D40" s="24" t="n"/>
      <c r="E40" s="25" t="n"/>
      <c r="F40" s="25" t="n"/>
      <c r="G40" s="21">
        <f>IF(E40="","",E40-N(F40))</f>
        <v/>
      </c>
      <c r="I40" s="22">
        <f>IF(G40="","",IF(G40&gt;=$C$10,IF(B40="G마켓",ROUNDDOWN(MIN(G40*$D$10,$E$10),0),ROUNDUP(MIN(G40*$D$10,$E$10),0)),0))</f>
        <v/>
      </c>
      <c r="J40" s="22">
        <f>IF(G40="","",IF(G40&gt;=$C$11,IF(B40="G마켓",ROUNDDOWN(MIN(G40*$D$11,$E$11),0),ROUNDUP(MIN(G40*$D$11,$E$11),0)),0))</f>
        <v/>
      </c>
      <c r="K40" s="22">
        <f>IF(G40="","",IF(G40&gt;=$C$12,IF(B40="G마켓",ROUNDDOWN(MIN(G40*$D$12,$E$12),0),ROUNDUP(MIN(G40*$D$12,$E$12),0)),0))</f>
        <v/>
      </c>
      <c r="L40" s="22">
        <f>IF(G40="","",IF(G40&gt;=$C$13,IF(B40="G마켓",ROUNDDOWN(MIN(G40*$D$13,$E$13),0),ROUNDUP(MIN(G40*$D$13,$E$13),0)),0))</f>
        <v/>
      </c>
      <c r="N40" s="21">
        <f>IF(G40="","",MAX(I40,J40,K40,L40))</f>
        <v/>
      </c>
      <c r="O40" s="21">
        <f>IF(G40="","",G40-N40)</f>
        <v/>
      </c>
      <c r="Q40" s="22">
        <f>IF(O40="","",IF(O40&gt;=$C$17,IF(B40="G마켓",ROUNDDOWN(MIN(O40*$D$17,$E$17),0),ROUNDUP(MIN(O40*$D$17,$E$17),0)),0))</f>
        <v/>
      </c>
      <c r="R40" s="22">
        <f>IF(O40="","",IF(O40&gt;=$C$18,IF(B40="G마켓",ROUNDDOWN(MIN(O40*$D$18,$E$18),0),ROUNDUP(MIN(O40*$D$18,$E$18),0)),0))</f>
        <v/>
      </c>
      <c r="S40" s="22">
        <f>IF(O40="","",IF(O40&gt;=$C$19,IF(B40="G마켓",ROUNDDOWN(MIN(O40*$D$19,$E$19),0),ROUNDUP(MIN(O40*$D$19,$E$19),0)),0))</f>
        <v/>
      </c>
      <c r="T40" s="21">
        <f>IF(O40="","",MAX(Q40,R40,S40))</f>
        <v/>
      </c>
      <c r="U40" s="23">
        <f>IF(O40="","",O40-T40)</f>
        <v/>
      </c>
      <c r="V40" s="22">
        <f>IF(O40="","",IF(B40="G마켓",ROUNDDOWN(MAX(Q40*$G$17,R40*$G$18,S40*$G$19),0),ROUNDUP(MAX(Q40*$G$17,R40*$G$18,S40*$G$19),0)))</f>
        <v/>
      </c>
      <c r="W40" s="23">
        <f>IF(G40="","",IF(B40="G마켓",ROUNDDOWN(G40-G40*$Q$6-V40,0),ROUNDUP(G40-G40*$Q$6-V40,0)))</f>
        <v/>
      </c>
    </row>
    <row r="41">
      <c r="B41" s="6" t="n"/>
      <c r="C41" s="6" t="n"/>
      <c r="D41" s="24" t="n"/>
      <c r="E41" s="25" t="n"/>
      <c r="F41" s="25" t="n"/>
      <c r="G41" s="21">
        <f>IF(E41="","",E41-N(F41))</f>
        <v/>
      </c>
      <c r="I41" s="22">
        <f>IF(G41="","",IF(G41&gt;=$C$10,IF(B41="G마켓",ROUNDDOWN(MIN(G41*$D$10,$E$10),0),ROUNDUP(MIN(G41*$D$10,$E$10),0)),0))</f>
        <v/>
      </c>
      <c r="J41" s="22">
        <f>IF(G41="","",IF(G41&gt;=$C$11,IF(B41="G마켓",ROUNDDOWN(MIN(G41*$D$11,$E$11),0),ROUNDUP(MIN(G41*$D$11,$E$11),0)),0))</f>
        <v/>
      </c>
      <c r="K41" s="22">
        <f>IF(G41="","",IF(G41&gt;=$C$12,IF(B41="G마켓",ROUNDDOWN(MIN(G41*$D$12,$E$12),0),ROUNDUP(MIN(G41*$D$12,$E$12),0)),0))</f>
        <v/>
      </c>
      <c r="L41" s="22">
        <f>IF(G41="","",IF(G41&gt;=$C$13,IF(B41="G마켓",ROUNDDOWN(MIN(G41*$D$13,$E$13),0),ROUNDUP(MIN(G41*$D$13,$E$13),0)),0))</f>
        <v/>
      </c>
      <c r="N41" s="21">
        <f>IF(G41="","",MAX(I41,J41,K41,L41))</f>
        <v/>
      </c>
      <c r="O41" s="21">
        <f>IF(G41="","",G41-N41)</f>
        <v/>
      </c>
      <c r="Q41" s="22">
        <f>IF(O41="","",IF(O41&gt;=$C$17,IF(B41="G마켓",ROUNDDOWN(MIN(O41*$D$17,$E$17),0),ROUNDUP(MIN(O41*$D$17,$E$17),0)),0))</f>
        <v/>
      </c>
      <c r="R41" s="22">
        <f>IF(O41="","",IF(O41&gt;=$C$18,IF(B41="G마켓",ROUNDDOWN(MIN(O41*$D$18,$E$18),0),ROUNDUP(MIN(O41*$D$18,$E$18),0)),0))</f>
        <v/>
      </c>
      <c r="S41" s="22">
        <f>IF(O41="","",IF(O41&gt;=$C$19,IF(B41="G마켓",ROUNDDOWN(MIN(O41*$D$19,$E$19),0),ROUNDUP(MIN(O41*$D$19,$E$19),0)),0))</f>
        <v/>
      </c>
      <c r="T41" s="21">
        <f>IF(O41="","",MAX(Q41,R41,S41))</f>
        <v/>
      </c>
      <c r="U41" s="23">
        <f>IF(O41="","",O41-T41)</f>
        <v/>
      </c>
      <c r="V41" s="22">
        <f>IF(O41="","",IF(B41="G마켓",ROUNDDOWN(MAX(Q41*$G$17,R41*$G$18,S41*$G$19),0),ROUNDUP(MAX(Q41*$G$17,R41*$G$18,S41*$G$19),0)))</f>
        <v/>
      </c>
      <c r="W41" s="23">
        <f>IF(G41="","",IF(B41="G마켓",ROUNDDOWN(G41-G41*$Q$6-V41,0),ROUNDUP(G41-G41*$Q$6-V41,0)))</f>
        <v/>
      </c>
    </row>
    <row r="42">
      <c r="B42" s="6" t="n"/>
      <c r="C42" s="6" t="n"/>
      <c r="D42" s="24" t="n"/>
      <c r="E42" s="25" t="n"/>
      <c r="F42" s="25" t="n"/>
      <c r="G42" s="21">
        <f>IF(E42="","",E42-N(F42))</f>
        <v/>
      </c>
      <c r="I42" s="22">
        <f>IF(G42="","",IF(G42&gt;=$C$10,IF(B42="G마켓",ROUNDDOWN(MIN(G42*$D$10,$E$10),0),ROUNDUP(MIN(G42*$D$10,$E$10),0)),0))</f>
        <v/>
      </c>
      <c r="J42" s="22">
        <f>IF(G42="","",IF(G42&gt;=$C$11,IF(B42="G마켓",ROUNDDOWN(MIN(G42*$D$11,$E$11),0),ROUNDUP(MIN(G42*$D$11,$E$11),0)),0))</f>
        <v/>
      </c>
      <c r="K42" s="22">
        <f>IF(G42="","",IF(G42&gt;=$C$12,IF(B42="G마켓",ROUNDDOWN(MIN(G42*$D$12,$E$12),0),ROUNDUP(MIN(G42*$D$12,$E$12),0)),0))</f>
        <v/>
      </c>
      <c r="L42" s="22">
        <f>IF(G42="","",IF(G42&gt;=$C$13,IF(B42="G마켓",ROUNDDOWN(MIN(G42*$D$13,$E$13),0),ROUNDUP(MIN(G42*$D$13,$E$13),0)),0))</f>
        <v/>
      </c>
      <c r="N42" s="21">
        <f>IF(G42="","",MAX(I42,J42,K42,L42))</f>
        <v/>
      </c>
      <c r="O42" s="21">
        <f>IF(G42="","",G42-N42)</f>
        <v/>
      </c>
      <c r="Q42" s="22">
        <f>IF(O42="","",IF(O42&gt;=$C$17,IF(B42="G마켓",ROUNDDOWN(MIN(O42*$D$17,$E$17),0),ROUNDUP(MIN(O42*$D$17,$E$17),0)),0))</f>
        <v/>
      </c>
      <c r="R42" s="22">
        <f>IF(O42="","",IF(O42&gt;=$C$18,IF(B42="G마켓",ROUNDDOWN(MIN(O42*$D$18,$E$18),0),ROUNDUP(MIN(O42*$D$18,$E$18),0)),0))</f>
        <v/>
      </c>
      <c r="S42" s="22">
        <f>IF(O42="","",IF(O42&gt;=$C$19,IF(B42="G마켓",ROUNDDOWN(MIN(O42*$D$19,$E$19),0),ROUNDUP(MIN(O42*$D$19,$E$19),0)),0))</f>
        <v/>
      </c>
      <c r="T42" s="21">
        <f>IF(O42="","",MAX(Q42,R42,S42))</f>
        <v/>
      </c>
      <c r="U42" s="23">
        <f>IF(O42="","",O42-T42)</f>
        <v/>
      </c>
      <c r="V42" s="22">
        <f>IF(O42="","",IF(B42="G마켓",ROUNDDOWN(MAX(Q42*$G$17,R42*$G$18,S42*$G$19),0),ROUNDUP(MAX(Q42*$G$17,R42*$G$18,S42*$G$19),0)))</f>
        <v/>
      </c>
      <c r="W42" s="23">
        <f>IF(G42="","",IF(B42="G마켓",ROUNDDOWN(G42-G42*$Q$6-V42,0),ROUNDUP(G42-G42*$Q$6-V42,0)))</f>
        <v/>
      </c>
    </row>
    <row r="43">
      <c r="B43" s="6" t="n"/>
      <c r="C43" s="6" t="n"/>
      <c r="D43" s="24" t="n"/>
      <c r="E43" s="25" t="n"/>
      <c r="F43" s="25" t="n"/>
      <c r="G43" s="21">
        <f>IF(E43="","",E43-N(F43))</f>
        <v/>
      </c>
      <c r="I43" s="22">
        <f>IF(G43="","",IF(G43&gt;=$C$10,IF(B43="G마켓",ROUNDDOWN(MIN(G43*$D$10,$E$10),0),ROUNDUP(MIN(G43*$D$10,$E$10),0)),0))</f>
        <v/>
      </c>
      <c r="J43" s="22">
        <f>IF(G43="","",IF(G43&gt;=$C$11,IF(B43="G마켓",ROUNDDOWN(MIN(G43*$D$11,$E$11),0),ROUNDUP(MIN(G43*$D$11,$E$11),0)),0))</f>
        <v/>
      </c>
      <c r="K43" s="22">
        <f>IF(G43="","",IF(G43&gt;=$C$12,IF(B43="G마켓",ROUNDDOWN(MIN(G43*$D$12,$E$12),0),ROUNDUP(MIN(G43*$D$12,$E$12),0)),0))</f>
        <v/>
      </c>
      <c r="L43" s="22">
        <f>IF(G43="","",IF(G43&gt;=$C$13,IF(B43="G마켓",ROUNDDOWN(MIN(G43*$D$13,$E$13),0),ROUNDUP(MIN(G43*$D$13,$E$13),0)),0))</f>
        <v/>
      </c>
      <c r="N43" s="21">
        <f>IF(G43="","",MAX(I43,J43,K43,L43))</f>
        <v/>
      </c>
      <c r="O43" s="21">
        <f>IF(G43="","",G43-N43)</f>
        <v/>
      </c>
      <c r="Q43" s="22">
        <f>IF(O43="","",IF(O43&gt;=$C$17,IF(B43="G마켓",ROUNDDOWN(MIN(O43*$D$17,$E$17),0),ROUNDUP(MIN(O43*$D$17,$E$17),0)),0))</f>
        <v/>
      </c>
      <c r="R43" s="22">
        <f>IF(O43="","",IF(O43&gt;=$C$18,IF(B43="G마켓",ROUNDDOWN(MIN(O43*$D$18,$E$18),0),ROUNDUP(MIN(O43*$D$18,$E$18),0)),0))</f>
        <v/>
      </c>
      <c r="S43" s="22">
        <f>IF(O43="","",IF(O43&gt;=$C$19,IF(B43="G마켓",ROUNDDOWN(MIN(O43*$D$19,$E$19),0),ROUNDUP(MIN(O43*$D$19,$E$19),0)),0))</f>
        <v/>
      </c>
      <c r="T43" s="21">
        <f>IF(O43="","",MAX(Q43,R43,S43))</f>
        <v/>
      </c>
      <c r="U43" s="23">
        <f>IF(O43="","",O43-T43)</f>
        <v/>
      </c>
      <c r="V43" s="22">
        <f>IF(O43="","",IF(B43="G마켓",ROUNDDOWN(MAX(Q43*$G$17,R43*$G$18,S43*$G$19),0),ROUNDUP(MAX(Q43*$G$17,R43*$G$18,S43*$G$19),0)))</f>
        <v/>
      </c>
      <c r="W43" s="23">
        <f>IF(G43="","",IF(B43="G마켓",ROUNDDOWN(G43-G43*$Q$6-V43,0),ROUNDUP(G43-G43*$Q$6-V43,0)))</f>
        <v/>
      </c>
    </row>
    <row r="44">
      <c r="B44" s="6" t="n"/>
      <c r="C44" s="6" t="n"/>
      <c r="D44" s="24" t="n"/>
      <c r="E44" s="25" t="n"/>
      <c r="F44" s="25" t="n"/>
      <c r="G44" s="21">
        <f>IF(E44="","",E44-N(F44))</f>
        <v/>
      </c>
      <c r="I44" s="22">
        <f>IF(G44="","",IF(G44&gt;=$C$10,IF(B44="G마켓",ROUNDDOWN(MIN(G44*$D$10,$E$10),0),ROUNDUP(MIN(G44*$D$10,$E$10),0)),0))</f>
        <v/>
      </c>
      <c r="J44" s="22">
        <f>IF(G44="","",IF(G44&gt;=$C$11,IF(B44="G마켓",ROUNDDOWN(MIN(G44*$D$11,$E$11),0),ROUNDUP(MIN(G44*$D$11,$E$11),0)),0))</f>
        <v/>
      </c>
      <c r="K44" s="22">
        <f>IF(G44="","",IF(G44&gt;=$C$12,IF(B44="G마켓",ROUNDDOWN(MIN(G44*$D$12,$E$12),0),ROUNDUP(MIN(G44*$D$12,$E$12),0)),0))</f>
        <v/>
      </c>
      <c r="L44" s="22">
        <f>IF(G44="","",IF(G44&gt;=$C$13,IF(B44="G마켓",ROUNDDOWN(MIN(G44*$D$13,$E$13),0),ROUNDUP(MIN(G44*$D$13,$E$13),0)),0))</f>
        <v/>
      </c>
      <c r="N44" s="21">
        <f>IF(G44="","",MAX(I44,J44,K44,L44))</f>
        <v/>
      </c>
      <c r="O44" s="21">
        <f>IF(G44="","",G44-N44)</f>
        <v/>
      </c>
      <c r="Q44" s="22">
        <f>IF(O44="","",IF(O44&gt;=$C$17,IF(B44="G마켓",ROUNDDOWN(MIN(O44*$D$17,$E$17),0),ROUNDUP(MIN(O44*$D$17,$E$17),0)),0))</f>
        <v/>
      </c>
      <c r="R44" s="22">
        <f>IF(O44="","",IF(O44&gt;=$C$18,IF(B44="G마켓",ROUNDDOWN(MIN(O44*$D$18,$E$18),0),ROUNDUP(MIN(O44*$D$18,$E$18),0)),0))</f>
        <v/>
      </c>
      <c r="S44" s="22">
        <f>IF(O44="","",IF(O44&gt;=$C$19,IF(B44="G마켓",ROUNDDOWN(MIN(O44*$D$19,$E$19),0),ROUNDUP(MIN(O44*$D$19,$E$19),0)),0))</f>
        <v/>
      </c>
      <c r="T44" s="21">
        <f>IF(O44="","",MAX(Q44,R44,S44))</f>
        <v/>
      </c>
      <c r="U44" s="23">
        <f>IF(O44="","",O44-T44)</f>
        <v/>
      </c>
      <c r="V44" s="22">
        <f>IF(O44="","",IF(B44="G마켓",ROUNDDOWN(MAX(Q44*$G$17,R44*$G$18,S44*$G$19),0),ROUNDUP(MAX(Q44*$G$17,R44*$G$18,S44*$G$19),0)))</f>
        <v/>
      </c>
      <c r="W44" s="23">
        <f>IF(G44="","",IF(B44="G마켓",ROUNDDOWN(G44-G44*$Q$6-V44,0),ROUNDUP(G44-G44*$Q$6-V44,0)))</f>
        <v/>
      </c>
    </row>
    <row r="45">
      <c r="B45" s="6" t="n"/>
      <c r="C45" s="6" t="n"/>
      <c r="D45" s="24" t="n"/>
      <c r="E45" s="25" t="n"/>
      <c r="F45" s="25" t="n"/>
      <c r="G45" s="21">
        <f>IF(E45="","",E45-N(F45))</f>
        <v/>
      </c>
      <c r="I45" s="22">
        <f>IF(G45="","",IF(G45&gt;=$C$10,IF(B45="G마켓",ROUNDDOWN(MIN(G45*$D$10,$E$10),0),ROUNDUP(MIN(G45*$D$10,$E$10),0)),0))</f>
        <v/>
      </c>
      <c r="J45" s="22">
        <f>IF(G45="","",IF(G45&gt;=$C$11,IF(B45="G마켓",ROUNDDOWN(MIN(G45*$D$11,$E$11),0),ROUNDUP(MIN(G45*$D$11,$E$11),0)),0))</f>
        <v/>
      </c>
      <c r="K45" s="22">
        <f>IF(G45="","",IF(G45&gt;=$C$12,IF(B45="G마켓",ROUNDDOWN(MIN(G45*$D$12,$E$12),0),ROUNDUP(MIN(G45*$D$12,$E$12),0)),0))</f>
        <v/>
      </c>
      <c r="L45" s="22">
        <f>IF(G45="","",IF(G45&gt;=$C$13,IF(B45="G마켓",ROUNDDOWN(MIN(G45*$D$13,$E$13),0),ROUNDUP(MIN(G45*$D$13,$E$13),0)),0))</f>
        <v/>
      </c>
      <c r="N45" s="21">
        <f>IF(G45="","",MAX(I45,J45,K45,L45))</f>
        <v/>
      </c>
      <c r="O45" s="21">
        <f>IF(G45="","",G45-N45)</f>
        <v/>
      </c>
      <c r="Q45" s="22">
        <f>IF(O45="","",IF(O45&gt;=$C$17,IF(B45="G마켓",ROUNDDOWN(MIN(O45*$D$17,$E$17),0),ROUNDUP(MIN(O45*$D$17,$E$17),0)),0))</f>
        <v/>
      </c>
      <c r="R45" s="22">
        <f>IF(O45="","",IF(O45&gt;=$C$18,IF(B45="G마켓",ROUNDDOWN(MIN(O45*$D$18,$E$18),0),ROUNDUP(MIN(O45*$D$18,$E$18),0)),0))</f>
        <v/>
      </c>
      <c r="S45" s="22">
        <f>IF(O45="","",IF(O45&gt;=$C$19,IF(B45="G마켓",ROUNDDOWN(MIN(O45*$D$19,$E$19),0),ROUNDUP(MIN(O45*$D$19,$E$19),0)),0))</f>
        <v/>
      </c>
      <c r="T45" s="21">
        <f>IF(O45="","",MAX(Q45,R45,S45))</f>
        <v/>
      </c>
      <c r="U45" s="23">
        <f>IF(O45="","",O45-T45)</f>
        <v/>
      </c>
      <c r="V45" s="22">
        <f>IF(O45="","",IF(B45="G마켓",ROUNDDOWN(MAX(Q45*$G$17,R45*$G$18,S45*$G$19),0),ROUNDUP(MAX(Q45*$G$17,R45*$G$18,S45*$G$19),0)))</f>
        <v/>
      </c>
      <c r="W45" s="23">
        <f>IF(G45="","",IF(B45="G마켓",ROUNDDOWN(G45-G45*$Q$6-V45,0),ROUNDUP(G45-G45*$Q$6-V45,0)))</f>
        <v/>
      </c>
    </row>
    <row r="46">
      <c r="B46" s="6" t="n"/>
      <c r="C46" s="6" t="n"/>
      <c r="D46" s="24" t="n"/>
      <c r="E46" s="25" t="n"/>
      <c r="F46" s="25" t="n"/>
      <c r="G46" s="21">
        <f>IF(E46="","",E46-N(F46))</f>
        <v/>
      </c>
      <c r="I46" s="22">
        <f>IF(G46="","",IF(G46&gt;=$C$10,IF(B46="G마켓",ROUNDDOWN(MIN(G46*$D$10,$E$10),0),ROUNDUP(MIN(G46*$D$10,$E$10),0)),0))</f>
        <v/>
      </c>
      <c r="J46" s="22">
        <f>IF(G46="","",IF(G46&gt;=$C$11,IF(B46="G마켓",ROUNDDOWN(MIN(G46*$D$11,$E$11),0),ROUNDUP(MIN(G46*$D$11,$E$11),0)),0))</f>
        <v/>
      </c>
      <c r="K46" s="22">
        <f>IF(G46="","",IF(G46&gt;=$C$12,IF(B46="G마켓",ROUNDDOWN(MIN(G46*$D$12,$E$12),0),ROUNDUP(MIN(G46*$D$12,$E$12),0)),0))</f>
        <v/>
      </c>
      <c r="L46" s="22">
        <f>IF(G46="","",IF(G46&gt;=$C$13,IF(B46="G마켓",ROUNDDOWN(MIN(G46*$D$13,$E$13),0),ROUNDUP(MIN(G46*$D$13,$E$13),0)),0))</f>
        <v/>
      </c>
      <c r="N46" s="21">
        <f>IF(G46="","",MAX(I46,J46,K46,L46))</f>
        <v/>
      </c>
      <c r="O46" s="21">
        <f>IF(G46="","",G46-N46)</f>
        <v/>
      </c>
      <c r="Q46" s="22">
        <f>IF(O46="","",IF(O46&gt;=$C$17,IF(B46="G마켓",ROUNDDOWN(MIN(O46*$D$17,$E$17),0),ROUNDUP(MIN(O46*$D$17,$E$17),0)),0))</f>
        <v/>
      </c>
      <c r="R46" s="22">
        <f>IF(O46="","",IF(O46&gt;=$C$18,IF(B46="G마켓",ROUNDDOWN(MIN(O46*$D$18,$E$18),0),ROUNDUP(MIN(O46*$D$18,$E$18),0)),0))</f>
        <v/>
      </c>
      <c r="S46" s="22">
        <f>IF(O46="","",IF(O46&gt;=$C$19,IF(B46="G마켓",ROUNDDOWN(MIN(O46*$D$19,$E$19),0),ROUNDUP(MIN(O46*$D$19,$E$19),0)),0))</f>
        <v/>
      </c>
      <c r="T46" s="21">
        <f>IF(O46="","",MAX(Q46,R46,S46))</f>
        <v/>
      </c>
      <c r="U46" s="23">
        <f>IF(O46="","",O46-T46)</f>
        <v/>
      </c>
      <c r="V46" s="22">
        <f>IF(O46="","",IF(B46="G마켓",ROUNDDOWN(MAX(Q46*$G$17,R46*$G$18,S46*$G$19),0),ROUNDUP(MAX(Q46*$G$17,R46*$G$18,S46*$G$19),0)))</f>
        <v/>
      </c>
      <c r="W46" s="23">
        <f>IF(G46="","",IF(B46="G마켓",ROUNDDOWN(G46-G46*$Q$6-V46,0),ROUNDUP(G46-G46*$Q$6-V46,0)))</f>
        <v/>
      </c>
    </row>
    <row r="47">
      <c r="B47" s="6" t="n"/>
      <c r="C47" s="6" t="n"/>
      <c r="D47" s="24" t="n"/>
      <c r="E47" s="25" t="n"/>
      <c r="F47" s="25" t="n"/>
      <c r="G47" s="21">
        <f>IF(E47="","",E47-N(F47))</f>
        <v/>
      </c>
      <c r="I47" s="22">
        <f>IF(G47="","",IF(G47&gt;=$C$10,IF(B47="G마켓",ROUNDDOWN(MIN(G47*$D$10,$E$10),0),ROUNDUP(MIN(G47*$D$10,$E$10),0)),0))</f>
        <v/>
      </c>
      <c r="J47" s="22">
        <f>IF(G47="","",IF(G47&gt;=$C$11,IF(B47="G마켓",ROUNDDOWN(MIN(G47*$D$11,$E$11),0),ROUNDUP(MIN(G47*$D$11,$E$11),0)),0))</f>
        <v/>
      </c>
      <c r="K47" s="22">
        <f>IF(G47="","",IF(G47&gt;=$C$12,IF(B47="G마켓",ROUNDDOWN(MIN(G47*$D$12,$E$12),0),ROUNDUP(MIN(G47*$D$12,$E$12),0)),0))</f>
        <v/>
      </c>
      <c r="L47" s="22">
        <f>IF(G47="","",IF(G47&gt;=$C$13,IF(B47="G마켓",ROUNDDOWN(MIN(G47*$D$13,$E$13),0),ROUNDUP(MIN(G47*$D$13,$E$13),0)),0))</f>
        <v/>
      </c>
      <c r="N47" s="21">
        <f>IF(G47="","",MAX(I47,J47,K47,L47))</f>
        <v/>
      </c>
      <c r="O47" s="21">
        <f>IF(G47="","",G47-N47)</f>
        <v/>
      </c>
      <c r="Q47" s="22">
        <f>IF(O47="","",IF(O47&gt;=$C$17,IF(B47="G마켓",ROUNDDOWN(MIN(O47*$D$17,$E$17),0),ROUNDUP(MIN(O47*$D$17,$E$17),0)),0))</f>
        <v/>
      </c>
      <c r="R47" s="22">
        <f>IF(O47="","",IF(O47&gt;=$C$18,IF(B47="G마켓",ROUNDDOWN(MIN(O47*$D$18,$E$18),0),ROUNDUP(MIN(O47*$D$18,$E$18),0)),0))</f>
        <v/>
      </c>
      <c r="S47" s="22">
        <f>IF(O47="","",IF(O47&gt;=$C$19,IF(B47="G마켓",ROUNDDOWN(MIN(O47*$D$19,$E$19),0),ROUNDUP(MIN(O47*$D$19,$E$19),0)),0))</f>
        <v/>
      </c>
      <c r="T47" s="21">
        <f>IF(O47="","",MAX(Q47,R47,S47))</f>
        <v/>
      </c>
      <c r="U47" s="23">
        <f>IF(O47="","",O47-T47)</f>
        <v/>
      </c>
      <c r="V47" s="22">
        <f>IF(O47="","",IF(B47="G마켓",ROUNDDOWN(MAX(Q47*$G$17,R47*$G$18,S47*$G$19),0),ROUNDUP(MAX(Q47*$G$17,R47*$G$18,S47*$G$19),0)))</f>
        <v/>
      </c>
      <c r="W47" s="23">
        <f>IF(G47="","",IF(B47="G마켓",ROUNDDOWN(G47-G47*$Q$6-V47,0),ROUNDUP(G47-G47*$Q$6-V47,0)))</f>
        <v/>
      </c>
    </row>
    <row r="48">
      <c r="B48" s="6" t="n"/>
      <c r="C48" s="6" t="n"/>
      <c r="D48" s="24" t="n"/>
      <c r="E48" s="25" t="n"/>
      <c r="F48" s="25" t="n"/>
      <c r="G48" s="21">
        <f>IF(E48="","",E48-N(F48))</f>
        <v/>
      </c>
      <c r="I48" s="22">
        <f>IF(G48="","",IF(G48&gt;=$C$10,IF(B48="G마켓",ROUNDDOWN(MIN(G48*$D$10,$E$10),0),ROUNDUP(MIN(G48*$D$10,$E$10),0)),0))</f>
        <v/>
      </c>
      <c r="J48" s="22">
        <f>IF(G48="","",IF(G48&gt;=$C$11,IF(B48="G마켓",ROUNDDOWN(MIN(G48*$D$11,$E$11),0),ROUNDUP(MIN(G48*$D$11,$E$11),0)),0))</f>
        <v/>
      </c>
      <c r="K48" s="22">
        <f>IF(G48="","",IF(G48&gt;=$C$12,IF(B48="G마켓",ROUNDDOWN(MIN(G48*$D$12,$E$12),0),ROUNDUP(MIN(G48*$D$12,$E$12),0)),0))</f>
        <v/>
      </c>
      <c r="L48" s="22">
        <f>IF(G48="","",IF(G48&gt;=$C$13,IF(B48="G마켓",ROUNDDOWN(MIN(G48*$D$13,$E$13),0),ROUNDUP(MIN(G48*$D$13,$E$13),0)),0))</f>
        <v/>
      </c>
      <c r="N48" s="21">
        <f>IF(G48="","",MAX(I48,J48,K48,L48))</f>
        <v/>
      </c>
      <c r="O48" s="21">
        <f>IF(G48="","",G48-N48)</f>
        <v/>
      </c>
      <c r="Q48" s="22">
        <f>IF(O48="","",IF(O48&gt;=$C$17,IF(B48="G마켓",ROUNDDOWN(MIN(O48*$D$17,$E$17),0),ROUNDUP(MIN(O48*$D$17,$E$17),0)),0))</f>
        <v/>
      </c>
      <c r="R48" s="22">
        <f>IF(O48="","",IF(O48&gt;=$C$18,IF(B48="G마켓",ROUNDDOWN(MIN(O48*$D$18,$E$18),0),ROUNDUP(MIN(O48*$D$18,$E$18),0)),0))</f>
        <v/>
      </c>
      <c r="S48" s="22">
        <f>IF(O48="","",IF(O48&gt;=$C$19,IF(B48="G마켓",ROUNDDOWN(MIN(O48*$D$19,$E$19),0),ROUNDUP(MIN(O48*$D$19,$E$19),0)),0))</f>
        <v/>
      </c>
      <c r="T48" s="21">
        <f>IF(O48="","",MAX(Q48,R48,S48))</f>
        <v/>
      </c>
      <c r="U48" s="23">
        <f>IF(O48="","",O48-T48)</f>
        <v/>
      </c>
      <c r="V48" s="22">
        <f>IF(O48="","",IF(B48="G마켓",ROUNDDOWN(MAX(Q48*$G$17,R48*$G$18,S48*$G$19),0),ROUNDUP(MAX(Q48*$G$17,R48*$G$18,S48*$G$19),0)))</f>
        <v/>
      </c>
      <c r="W48" s="23">
        <f>IF(G48="","",IF(B48="G마켓",ROUNDDOWN(G48-G48*$Q$6-V48,0),ROUNDUP(G48-G48*$Q$6-V48,0)))</f>
        <v/>
      </c>
    </row>
    <row r="49">
      <c r="B49" s="6" t="n"/>
      <c r="C49" s="6" t="n"/>
      <c r="D49" s="24" t="n"/>
      <c r="E49" s="25" t="n"/>
      <c r="F49" s="25" t="n"/>
      <c r="G49" s="21">
        <f>IF(E49="","",E49-N(F49))</f>
        <v/>
      </c>
      <c r="I49" s="22">
        <f>IF(G49="","",IF(G49&gt;=$C$10,IF(B49="G마켓",ROUNDDOWN(MIN(G49*$D$10,$E$10),0),ROUNDUP(MIN(G49*$D$10,$E$10),0)),0))</f>
        <v/>
      </c>
      <c r="J49" s="22">
        <f>IF(G49="","",IF(G49&gt;=$C$11,IF(B49="G마켓",ROUNDDOWN(MIN(G49*$D$11,$E$11),0),ROUNDUP(MIN(G49*$D$11,$E$11),0)),0))</f>
        <v/>
      </c>
      <c r="K49" s="22">
        <f>IF(G49="","",IF(G49&gt;=$C$12,IF(B49="G마켓",ROUNDDOWN(MIN(G49*$D$12,$E$12),0),ROUNDUP(MIN(G49*$D$12,$E$12),0)),0))</f>
        <v/>
      </c>
      <c r="L49" s="22">
        <f>IF(G49="","",IF(G49&gt;=$C$13,IF(B49="G마켓",ROUNDDOWN(MIN(G49*$D$13,$E$13),0),ROUNDUP(MIN(G49*$D$13,$E$13),0)),0))</f>
        <v/>
      </c>
      <c r="N49" s="21">
        <f>IF(G49="","",MAX(I49,J49,K49,L49))</f>
        <v/>
      </c>
      <c r="O49" s="21">
        <f>IF(G49="","",G49-N49)</f>
        <v/>
      </c>
      <c r="Q49" s="22">
        <f>IF(O49="","",IF(O49&gt;=$C$17,IF(B49="G마켓",ROUNDDOWN(MIN(O49*$D$17,$E$17),0),ROUNDUP(MIN(O49*$D$17,$E$17),0)),0))</f>
        <v/>
      </c>
      <c r="R49" s="22">
        <f>IF(O49="","",IF(O49&gt;=$C$18,IF(B49="G마켓",ROUNDDOWN(MIN(O49*$D$18,$E$18),0),ROUNDUP(MIN(O49*$D$18,$E$18),0)),0))</f>
        <v/>
      </c>
      <c r="S49" s="22">
        <f>IF(O49="","",IF(O49&gt;=$C$19,IF(B49="G마켓",ROUNDDOWN(MIN(O49*$D$19,$E$19),0),ROUNDUP(MIN(O49*$D$19,$E$19),0)),0))</f>
        <v/>
      </c>
      <c r="T49" s="21">
        <f>IF(O49="","",MAX(Q49,R49,S49))</f>
        <v/>
      </c>
      <c r="U49" s="23">
        <f>IF(O49="","",O49-T49)</f>
        <v/>
      </c>
      <c r="V49" s="22">
        <f>IF(O49="","",IF(B49="G마켓",ROUNDDOWN(MAX(Q49*$G$17,R49*$G$18,S49*$G$19),0),ROUNDUP(MAX(Q49*$G$17,R49*$G$18,S49*$G$19),0)))</f>
        <v/>
      </c>
      <c r="W49" s="23">
        <f>IF(G49="","",IF(B49="G마켓",ROUNDDOWN(G49-G49*$Q$6-V49,0),ROUNDUP(G49-G49*$Q$6-V49,0)))</f>
        <v/>
      </c>
    </row>
    <row r="50">
      <c r="B50" s="6" t="n"/>
      <c r="C50" s="6" t="n"/>
      <c r="D50" s="24" t="n"/>
      <c r="E50" s="25" t="n"/>
      <c r="F50" s="25" t="n"/>
      <c r="G50" s="21">
        <f>IF(E50="","",E50-N(F50))</f>
        <v/>
      </c>
      <c r="I50" s="22">
        <f>IF(G50="","",IF(G50&gt;=$C$10,IF(B50="G마켓",ROUNDDOWN(MIN(G50*$D$10,$E$10),0),ROUNDUP(MIN(G50*$D$10,$E$10),0)),0))</f>
        <v/>
      </c>
      <c r="J50" s="22">
        <f>IF(G50="","",IF(G50&gt;=$C$11,IF(B50="G마켓",ROUNDDOWN(MIN(G50*$D$11,$E$11),0),ROUNDUP(MIN(G50*$D$11,$E$11),0)),0))</f>
        <v/>
      </c>
      <c r="K50" s="22">
        <f>IF(G50="","",IF(G50&gt;=$C$12,IF(B50="G마켓",ROUNDDOWN(MIN(G50*$D$12,$E$12),0),ROUNDUP(MIN(G50*$D$12,$E$12),0)),0))</f>
        <v/>
      </c>
      <c r="L50" s="22">
        <f>IF(G50="","",IF(G50&gt;=$C$13,IF(B50="G마켓",ROUNDDOWN(MIN(G50*$D$13,$E$13),0),ROUNDUP(MIN(G50*$D$13,$E$13),0)),0))</f>
        <v/>
      </c>
      <c r="N50" s="21">
        <f>IF(G50="","",MAX(I50,J50,K50,L50))</f>
        <v/>
      </c>
      <c r="O50" s="21">
        <f>IF(G50="","",G50-N50)</f>
        <v/>
      </c>
      <c r="Q50" s="22">
        <f>IF(O50="","",IF(O50&gt;=$C$17,IF(B50="G마켓",ROUNDDOWN(MIN(O50*$D$17,$E$17),0),ROUNDUP(MIN(O50*$D$17,$E$17),0)),0))</f>
        <v/>
      </c>
      <c r="R50" s="22">
        <f>IF(O50="","",IF(O50&gt;=$C$18,IF(B50="G마켓",ROUNDDOWN(MIN(O50*$D$18,$E$18),0),ROUNDUP(MIN(O50*$D$18,$E$18),0)),0))</f>
        <v/>
      </c>
      <c r="S50" s="22">
        <f>IF(O50="","",IF(O50&gt;=$C$19,IF(B50="G마켓",ROUNDDOWN(MIN(O50*$D$19,$E$19),0),ROUNDUP(MIN(O50*$D$19,$E$19),0)),0))</f>
        <v/>
      </c>
      <c r="T50" s="21">
        <f>IF(O50="","",MAX(Q50,R50,S50))</f>
        <v/>
      </c>
      <c r="U50" s="23">
        <f>IF(O50="","",O50-T50)</f>
        <v/>
      </c>
      <c r="V50" s="22">
        <f>IF(O50="","",IF(B50="G마켓",ROUNDDOWN(MAX(Q50*$G$17,R50*$G$18,S50*$G$19),0),ROUNDUP(MAX(Q50*$G$17,R50*$G$18,S50*$G$19),0)))</f>
        <v/>
      </c>
      <c r="W50" s="23">
        <f>IF(G50="","",IF(B50="G마켓",ROUNDDOWN(G50-G50*$Q$6-V50,0),ROUNDUP(G50-G50*$Q$6-V50,0)))</f>
        <v/>
      </c>
    </row>
    <row r="51">
      <c r="B51" s="6" t="n"/>
      <c r="C51" s="6" t="n"/>
      <c r="D51" s="24" t="n"/>
      <c r="E51" s="25" t="n"/>
      <c r="F51" s="25" t="n"/>
      <c r="G51" s="21">
        <f>IF(E51="","",E51-N(F51))</f>
        <v/>
      </c>
      <c r="I51" s="22">
        <f>IF(G51="","",IF(G51&gt;=$C$10,IF(B51="G마켓",ROUNDDOWN(MIN(G51*$D$10,$E$10),0),ROUNDUP(MIN(G51*$D$10,$E$10),0)),0))</f>
        <v/>
      </c>
      <c r="J51" s="22">
        <f>IF(G51="","",IF(G51&gt;=$C$11,IF(B51="G마켓",ROUNDDOWN(MIN(G51*$D$11,$E$11),0),ROUNDUP(MIN(G51*$D$11,$E$11),0)),0))</f>
        <v/>
      </c>
      <c r="K51" s="22">
        <f>IF(G51="","",IF(G51&gt;=$C$12,IF(B51="G마켓",ROUNDDOWN(MIN(G51*$D$12,$E$12),0),ROUNDUP(MIN(G51*$D$12,$E$12),0)),0))</f>
        <v/>
      </c>
      <c r="L51" s="22">
        <f>IF(G51="","",IF(G51&gt;=$C$13,IF(B51="G마켓",ROUNDDOWN(MIN(G51*$D$13,$E$13),0),ROUNDUP(MIN(G51*$D$13,$E$13),0)),0))</f>
        <v/>
      </c>
      <c r="N51" s="21">
        <f>IF(G51="","",MAX(I51,J51,K51,L51))</f>
        <v/>
      </c>
      <c r="O51" s="21">
        <f>IF(G51="","",G51-N51)</f>
        <v/>
      </c>
      <c r="Q51" s="22">
        <f>IF(O51="","",IF(O51&gt;=$C$17,IF(B51="G마켓",ROUNDDOWN(MIN(O51*$D$17,$E$17),0),ROUNDUP(MIN(O51*$D$17,$E$17),0)),0))</f>
        <v/>
      </c>
      <c r="R51" s="22">
        <f>IF(O51="","",IF(O51&gt;=$C$18,IF(B51="G마켓",ROUNDDOWN(MIN(O51*$D$18,$E$18),0),ROUNDUP(MIN(O51*$D$18,$E$18),0)),0))</f>
        <v/>
      </c>
      <c r="S51" s="22">
        <f>IF(O51="","",IF(O51&gt;=$C$19,IF(B51="G마켓",ROUNDDOWN(MIN(O51*$D$19,$E$19),0),ROUNDUP(MIN(O51*$D$19,$E$19),0)),0))</f>
        <v/>
      </c>
      <c r="T51" s="21">
        <f>IF(O51="","",MAX(Q51,R51,S51))</f>
        <v/>
      </c>
      <c r="U51" s="23">
        <f>IF(O51="","",O51-T51)</f>
        <v/>
      </c>
      <c r="V51" s="22">
        <f>IF(O51="","",IF(B51="G마켓",ROUNDDOWN(MAX(Q51*$G$17,R51*$G$18,S51*$G$19),0),ROUNDUP(MAX(Q51*$G$17,R51*$G$18,S51*$G$19),0)))</f>
        <v/>
      </c>
      <c r="W51" s="23">
        <f>IF(G51="","",IF(B51="G마켓",ROUNDDOWN(G51-G51*$Q$6-V51,0),ROUNDUP(G51-G51*$Q$6-V51,0)))</f>
        <v/>
      </c>
    </row>
    <row r="52">
      <c r="B52" s="6" t="n"/>
      <c r="C52" s="6" t="n"/>
      <c r="D52" s="24" t="n"/>
      <c r="E52" s="25" t="n"/>
      <c r="F52" s="25" t="n"/>
      <c r="G52" s="21">
        <f>IF(E52="","",E52-N(F52))</f>
        <v/>
      </c>
      <c r="I52" s="22">
        <f>IF(G52="","",IF(G52&gt;=$C$10,IF(B52="G마켓",ROUNDDOWN(MIN(G52*$D$10,$E$10),0),ROUNDUP(MIN(G52*$D$10,$E$10),0)),0))</f>
        <v/>
      </c>
      <c r="J52" s="22">
        <f>IF(G52="","",IF(G52&gt;=$C$11,IF(B52="G마켓",ROUNDDOWN(MIN(G52*$D$11,$E$11),0),ROUNDUP(MIN(G52*$D$11,$E$11),0)),0))</f>
        <v/>
      </c>
      <c r="K52" s="22">
        <f>IF(G52="","",IF(G52&gt;=$C$12,IF(B52="G마켓",ROUNDDOWN(MIN(G52*$D$12,$E$12),0),ROUNDUP(MIN(G52*$D$12,$E$12),0)),0))</f>
        <v/>
      </c>
      <c r="L52" s="22">
        <f>IF(G52="","",IF(G52&gt;=$C$13,IF(B52="G마켓",ROUNDDOWN(MIN(G52*$D$13,$E$13),0),ROUNDUP(MIN(G52*$D$13,$E$13),0)),0))</f>
        <v/>
      </c>
      <c r="N52" s="21">
        <f>IF(G52="","",MAX(I52,J52,K52,L52))</f>
        <v/>
      </c>
      <c r="O52" s="21">
        <f>IF(G52="","",G52-N52)</f>
        <v/>
      </c>
      <c r="Q52" s="22">
        <f>IF(O52="","",IF(O52&gt;=$C$17,IF(B52="G마켓",ROUNDDOWN(MIN(O52*$D$17,$E$17),0),ROUNDUP(MIN(O52*$D$17,$E$17),0)),0))</f>
        <v/>
      </c>
      <c r="R52" s="22">
        <f>IF(O52="","",IF(O52&gt;=$C$18,IF(B52="G마켓",ROUNDDOWN(MIN(O52*$D$18,$E$18),0),ROUNDUP(MIN(O52*$D$18,$E$18),0)),0))</f>
        <v/>
      </c>
      <c r="S52" s="22">
        <f>IF(O52="","",IF(O52&gt;=$C$19,IF(B52="G마켓",ROUNDDOWN(MIN(O52*$D$19,$E$19),0),ROUNDUP(MIN(O52*$D$19,$E$19),0)),0))</f>
        <v/>
      </c>
      <c r="T52" s="21">
        <f>IF(O52="","",MAX(Q52,R52,S52))</f>
        <v/>
      </c>
      <c r="U52" s="23">
        <f>IF(O52="","",O52-T52)</f>
        <v/>
      </c>
      <c r="V52" s="22">
        <f>IF(O52="","",IF(B52="G마켓",ROUNDDOWN(MAX(Q52*$G$17,R52*$G$18,S52*$G$19),0),ROUNDUP(MAX(Q52*$G$17,R52*$G$18,S52*$G$19),0)))</f>
        <v/>
      </c>
      <c r="W52" s="23">
        <f>IF(G52="","",IF(B52="G마켓",ROUNDDOWN(G52-G52*$Q$6-V52,0),ROUNDUP(G52-G52*$Q$6-V52,0)))</f>
        <v/>
      </c>
    </row>
    <row r="53">
      <c r="B53" s="6" t="n"/>
      <c r="C53" s="6" t="n"/>
      <c r="D53" s="24" t="n"/>
      <c r="E53" s="25" t="n"/>
      <c r="F53" s="25" t="n"/>
      <c r="G53" s="21">
        <f>IF(E53="","",E53-N(F53))</f>
        <v/>
      </c>
      <c r="I53" s="22">
        <f>IF(G53="","",IF(G53&gt;=$C$10,IF(B53="G마켓",ROUNDDOWN(MIN(G53*$D$10,$E$10),0),ROUNDUP(MIN(G53*$D$10,$E$10),0)),0))</f>
        <v/>
      </c>
      <c r="J53" s="22">
        <f>IF(G53="","",IF(G53&gt;=$C$11,IF(B53="G마켓",ROUNDDOWN(MIN(G53*$D$11,$E$11),0),ROUNDUP(MIN(G53*$D$11,$E$11),0)),0))</f>
        <v/>
      </c>
      <c r="K53" s="22">
        <f>IF(G53="","",IF(G53&gt;=$C$12,IF(B53="G마켓",ROUNDDOWN(MIN(G53*$D$12,$E$12),0),ROUNDUP(MIN(G53*$D$12,$E$12),0)),0))</f>
        <v/>
      </c>
      <c r="L53" s="22">
        <f>IF(G53="","",IF(G53&gt;=$C$13,IF(B53="G마켓",ROUNDDOWN(MIN(G53*$D$13,$E$13),0),ROUNDUP(MIN(G53*$D$13,$E$13),0)),0))</f>
        <v/>
      </c>
      <c r="N53" s="21">
        <f>IF(G53="","",MAX(I53,J53,K53,L53))</f>
        <v/>
      </c>
      <c r="O53" s="21">
        <f>IF(G53="","",G53-N53)</f>
        <v/>
      </c>
      <c r="Q53" s="22">
        <f>IF(O53="","",IF(O53&gt;=$C$17,IF(B53="G마켓",ROUNDDOWN(MIN(O53*$D$17,$E$17),0),ROUNDUP(MIN(O53*$D$17,$E$17),0)),0))</f>
        <v/>
      </c>
      <c r="R53" s="22">
        <f>IF(O53="","",IF(O53&gt;=$C$18,IF(B53="G마켓",ROUNDDOWN(MIN(O53*$D$18,$E$18),0),ROUNDUP(MIN(O53*$D$18,$E$18),0)),0))</f>
        <v/>
      </c>
      <c r="S53" s="22">
        <f>IF(O53="","",IF(O53&gt;=$C$19,IF(B53="G마켓",ROUNDDOWN(MIN(O53*$D$19,$E$19),0),ROUNDUP(MIN(O53*$D$19,$E$19),0)),0))</f>
        <v/>
      </c>
      <c r="T53" s="21">
        <f>IF(O53="","",MAX(Q53,R53,S53))</f>
        <v/>
      </c>
      <c r="U53" s="23">
        <f>IF(O53="","",O53-T53)</f>
        <v/>
      </c>
      <c r="V53" s="22">
        <f>IF(O53="","",IF(B53="G마켓",ROUNDDOWN(MAX(Q53*$G$17,R53*$G$18,S53*$G$19),0),ROUNDUP(MAX(Q53*$G$17,R53*$G$18,S53*$G$19),0)))</f>
        <v/>
      </c>
      <c r="W53" s="23">
        <f>IF(G53="","",IF(B53="G마켓",ROUNDDOWN(G53-G53*$Q$6-V53,0),ROUNDUP(G53-G53*$Q$6-V53,0)))</f>
        <v/>
      </c>
    </row>
    <row r="54">
      <c r="B54" s="6" t="n"/>
      <c r="C54" s="6" t="n"/>
      <c r="D54" s="24" t="n"/>
      <c r="E54" s="25" t="n"/>
      <c r="F54" s="25" t="n"/>
      <c r="G54" s="21">
        <f>IF(E54="","",E54-N(F54))</f>
        <v/>
      </c>
      <c r="I54" s="22">
        <f>IF(G54="","",IF(G54&gt;=$C$10,IF(B54="G마켓",ROUNDDOWN(MIN(G54*$D$10,$E$10),0),ROUNDUP(MIN(G54*$D$10,$E$10),0)),0))</f>
        <v/>
      </c>
      <c r="J54" s="22">
        <f>IF(G54="","",IF(G54&gt;=$C$11,IF(B54="G마켓",ROUNDDOWN(MIN(G54*$D$11,$E$11),0),ROUNDUP(MIN(G54*$D$11,$E$11),0)),0))</f>
        <v/>
      </c>
      <c r="K54" s="22">
        <f>IF(G54="","",IF(G54&gt;=$C$12,IF(B54="G마켓",ROUNDDOWN(MIN(G54*$D$12,$E$12),0),ROUNDUP(MIN(G54*$D$12,$E$12),0)),0))</f>
        <v/>
      </c>
      <c r="L54" s="22">
        <f>IF(G54="","",IF(G54&gt;=$C$13,IF(B54="G마켓",ROUNDDOWN(MIN(G54*$D$13,$E$13),0),ROUNDUP(MIN(G54*$D$13,$E$13),0)),0))</f>
        <v/>
      </c>
      <c r="N54" s="21">
        <f>IF(G54="","",MAX(I54,J54,K54,L54))</f>
        <v/>
      </c>
      <c r="O54" s="21">
        <f>IF(G54="","",G54-N54)</f>
        <v/>
      </c>
      <c r="Q54" s="22">
        <f>IF(O54="","",IF(O54&gt;=$C$17,IF(B54="G마켓",ROUNDDOWN(MIN(O54*$D$17,$E$17),0),ROUNDUP(MIN(O54*$D$17,$E$17),0)),0))</f>
        <v/>
      </c>
      <c r="R54" s="22">
        <f>IF(O54="","",IF(O54&gt;=$C$18,IF(B54="G마켓",ROUNDDOWN(MIN(O54*$D$18,$E$18),0),ROUNDUP(MIN(O54*$D$18,$E$18),0)),0))</f>
        <v/>
      </c>
      <c r="S54" s="22">
        <f>IF(O54="","",IF(O54&gt;=$C$19,IF(B54="G마켓",ROUNDDOWN(MIN(O54*$D$19,$E$19),0),ROUNDUP(MIN(O54*$D$19,$E$19),0)),0))</f>
        <v/>
      </c>
      <c r="T54" s="21">
        <f>IF(O54="","",MAX(Q54,R54,S54))</f>
        <v/>
      </c>
      <c r="U54" s="23">
        <f>IF(O54="","",O54-T54)</f>
        <v/>
      </c>
      <c r="V54" s="22">
        <f>IF(O54="","",IF(B54="G마켓",ROUNDDOWN(MAX(Q54*$G$17,R54*$G$18,S54*$G$19),0),ROUNDUP(MAX(Q54*$G$17,R54*$G$18,S54*$G$19),0)))</f>
        <v/>
      </c>
      <c r="W54" s="23">
        <f>IF(G54="","",IF(B54="G마켓",ROUNDDOWN(G54-G54*$Q$6-V54,0),ROUNDUP(G54-G54*$Q$6-V54,0)))</f>
        <v/>
      </c>
    </row>
    <row r="55">
      <c r="B55" s="6" t="n"/>
      <c r="C55" s="6" t="n"/>
      <c r="D55" s="24" t="n"/>
      <c r="E55" s="25" t="n"/>
      <c r="F55" s="25" t="n"/>
      <c r="G55" s="21">
        <f>IF(E55="","",E55-N(F55))</f>
        <v/>
      </c>
      <c r="I55" s="22">
        <f>IF(G55="","",IF(G55&gt;=$C$10,IF(B55="G마켓",ROUNDDOWN(MIN(G55*$D$10,$E$10),0),ROUNDUP(MIN(G55*$D$10,$E$10),0)),0))</f>
        <v/>
      </c>
      <c r="J55" s="22">
        <f>IF(G55="","",IF(G55&gt;=$C$11,IF(B55="G마켓",ROUNDDOWN(MIN(G55*$D$11,$E$11),0),ROUNDUP(MIN(G55*$D$11,$E$11),0)),0))</f>
        <v/>
      </c>
      <c r="K55" s="22">
        <f>IF(G55="","",IF(G55&gt;=$C$12,IF(B55="G마켓",ROUNDDOWN(MIN(G55*$D$12,$E$12),0),ROUNDUP(MIN(G55*$D$12,$E$12),0)),0))</f>
        <v/>
      </c>
      <c r="L55" s="22">
        <f>IF(G55="","",IF(G55&gt;=$C$13,IF(B55="G마켓",ROUNDDOWN(MIN(G55*$D$13,$E$13),0),ROUNDUP(MIN(G55*$D$13,$E$13),0)),0))</f>
        <v/>
      </c>
      <c r="N55" s="21">
        <f>IF(G55="","",MAX(I55,J55,K55,L55))</f>
        <v/>
      </c>
      <c r="O55" s="21">
        <f>IF(G55="","",G55-N55)</f>
        <v/>
      </c>
      <c r="Q55" s="22">
        <f>IF(O55="","",IF(O55&gt;=$C$17,IF(B55="G마켓",ROUNDDOWN(MIN(O55*$D$17,$E$17),0),ROUNDUP(MIN(O55*$D$17,$E$17),0)),0))</f>
        <v/>
      </c>
      <c r="R55" s="22">
        <f>IF(O55="","",IF(O55&gt;=$C$18,IF(B55="G마켓",ROUNDDOWN(MIN(O55*$D$18,$E$18),0),ROUNDUP(MIN(O55*$D$18,$E$18),0)),0))</f>
        <v/>
      </c>
      <c r="S55" s="22">
        <f>IF(O55="","",IF(O55&gt;=$C$19,IF(B55="G마켓",ROUNDDOWN(MIN(O55*$D$19,$E$19),0),ROUNDUP(MIN(O55*$D$19,$E$19),0)),0))</f>
        <v/>
      </c>
      <c r="T55" s="21">
        <f>IF(O55="","",MAX(Q55,R55,S55))</f>
        <v/>
      </c>
      <c r="U55" s="23">
        <f>IF(O55="","",O55-T55)</f>
        <v/>
      </c>
      <c r="V55" s="22">
        <f>IF(O55="","",IF(B55="G마켓",ROUNDDOWN(MAX(Q55*$G$17,R55*$G$18,S55*$G$19),0),ROUNDUP(MAX(Q55*$G$17,R55*$G$18,S55*$G$19),0)))</f>
        <v/>
      </c>
      <c r="W55" s="23">
        <f>IF(G55="","",IF(B55="G마켓",ROUNDDOWN(G55-G55*$Q$6-V55,0),ROUNDUP(G55-G55*$Q$6-V55,0)))</f>
        <v/>
      </c>
    </row>
    <row r="56">
      <c r="B56" s="6" t="n"/>
      <c r="C56" s="6" t="n"/>
      <c r="D56" s="24" t="n"/>
      <c r="E56" s="25" t="n"/>
      <c r="F56" s="25" t="n"/>
      <c r="G56" s="21">
        <f>IF(E56="","",E56-N(F56))</f>
        <v/>
      </c>
      <c r="I56" s="22">
        <f>IF(G56="","",IF(G56&gt;=$C$10,IF(B56="G마켓",ROUNDDOWN(MIN(G56*$D$10,$E$10),0),ROUNDUP(MIN(G56*$D$10,$E$10),0)),0))</f>
        <v/>
      </c>
      <c r="J56" s="22">
        <f>IF(G56="","",IF(G56&gt;=$C$11,IF(B56="G마켓",ROUNDDOWN(MIN(G56*$D$11,$E$11),0),ROUNDUP(MIN(G56*$D$11,$E$11),0)),0))</f>
        <v/>
      </c>
      <c r="K56" s="22">
        <f>IF(G56="","",IF(G56&gt;=$C$12,IF(B56="G마켓",ROUNDDOWN(MIN(G56*$D$12,$E$12),0),ROUNDUP(MIN(G56*$D$12,$E$12),0)),0))</f>
        <v/>
      </c>
      <c r="L56" s="22">
        <f>IF(G56="","",IF(G56&gt;=$C$13,IF(B56="G마켓",ROUNDDOWN(MIN(G56*$D$13,$E$13),0),ROUNDUP(MIN(G56*$D$13,$E$13),0)),0))</f>
        <v/>
      </c>
      <c r="N56" s="21">
        <f>IF(G56="","",MAX(I56,J56,K56,L56))</f>
        <v/>
      </c>
      <c r="O56" s="21">
        <f>IF(G56="","",G56-N56)</f>
        <v/>
      </c>
      <c r="Q56" s="22">
        <f>IF(O56="","",IF(O56&gt;=$C$17,IF(B56="G마켓",ROUNDDOWN(MIN(O56*$D$17,$E$17),0),ROUNDUP(MIN(O56*$D$17,$E$17),0)),0))</f>
        <v/>
      </c>
      <c r="R56" s="22">
        <f>IF(O56="","",IF(O56&gt;=$C$18,IF(B56="G마켓",ROUNDDOWN(MIN(O56*$D$18,$E$18),0),ROUNDUP(MIN(O56*$D$18,$E$18),0)),0))</f>
        <v/>
      </c>
      <c r="S56" s="22">
        <f>IF(O56="","",IF(O56&gt;=$C$19,IF(B56="G마켓",ROUNDDOWN(MIN(O56*$D$19,$E$19),0),ROUNDUP(MIN(O56*$D$19,$E$19),0)),0))</f>
        <v/>
      </c>
      <c r="T56" s="21">
        <f>IF(O56="","",MAX(Q56,R56,S56))</f>
        <v/>
      </c>
      <c r="U56" s="23">
        <f>IF(O56="","",O56-T56)</f>
        <v/>
      </c>
      <c r="V56" s="22">
        <f>IF(O56="","",IF(B56="G마켓",ROUNDDOWN(MAX(Q56*$G$17,R56*$G$18,S56*$G$19),0),ROUNDUP(MAX(Q56*$G$17,R56*$G$18,S56*$G$19),0)))</f>
        <v/>
      </c>
      <c r="W56" s="23">
        <f>IF(G56="","",IF(B56="G마켓",ROUNDDOWN(G56-G56*$Q$6-V56,0),ROUNDUP(G56-G56*$Q$6-V56,0)))</f>
        <v/>
      </c>
    </row>
    <row r="57">
      <c r="B57" s="6" t="n"/>
      <c r="C57" s="6" t="n"/>
      <c r="D57" s="24" t="n"/>
      <c r="E57" s="25" t="n"/>
      <c r="F57" s="25" t="n"/>
      <c r="G57" s="21">
        <f>IF(E57="","",E57-N(F57))</f>
        <v/>
      </c>
      <c r="I57" s="22">
        <f>IF(G57="","",IF(G57&gt;=$C$10,IF(B57="G마켓",ROUNDDOWN(MIN(G57*$D$10,$E$10),0),ROUNDUP(MIN(G57*$D$10,$E$10),0)),0))</f>
        <v/>
      </c>
      <c r="J57" s="22">
        <f>IF(G57="","",IF(G57&gt;=$C$11,IF(B57="G마켓",ROUNDDOWN(MIN(G57*$D$11,$E$11),0),ROUNDUP(MIN(G57*$D$11,$E$11),0)),0))</f>
        <v/>
      </c>
      <c r="K57" s="22">
        <f>IF(G57="","",IF(G57&gt;=$C$12,IF(B57="G마켓",ROUNDDOWN(MIN(G57*$D$12,$E$12),0),ROUNDUP(MIN(G57*$D$12,$E$12),0)),0))</f>
        <v/>
      </c>
      <c r="L57" s="22">
        <f>IF(G57="","",IF(G57&gt;=$C$13,IF(B57="G마켓",ROUNDDOWN(MIN(G57*$D$13,$E$13),0),ROUNDUP(MIN(G57*$D$13,$E$13),0)),0))</f>
        <v/>
      </c>
      <c r="N57" s="21">
        <f>IF(G57="","",MAX(I57,J57,K57,L57))</f>
        <v/>
      </c>
      <c r="O57" s="21">
        <f>IF(G57="","",G57-N57)</f>
        <v/>
      </c>
      <c r="Q57" s="22">
        <f>IF(O57="","",IF(O57&gt;=$C$17,IF(B57="G마켓",ROUNDDOWN(MIN(O57*$D$17,$E$17),0),ROUNDUP(MIN(O57*$D$17,$E$17),0)),0))</f>
        <v/>
      </c>
      <c r="R57" s="22">
        <f>IF(O57="","",IF(O57&gt;=$C$18,IF(B57="G마켓",ROUNDDOWN(MIN(O57*$D$18,$E$18),0),ROUNDUP(MIN(O57*$D$18,$E$18),0)),0))</f>
        <v/>
      </c>
      <c r="S57" s="22">
        <f>IF(O57="","",IF(O57&gt;=$C$19,IF(B57="G마켓",ROUNDDOWN(MIN(O57*$D$19,$E$19),0),ROUNDUP(MIN(O57*$D$19,$E$19),0)),0))</f>
        <v/>
      </c>
      <c r="T57" s="21">
        <f>IF(O57="","",MAX(Q57,R57,S57))</f>
        <v/>
      </c>
      <c r="U57" s="23">
        <f>IF(O57="","",O57-T57)</f>
        <v/>
      </c>
      <c r="V57" s="22">
        <f>IF(O57="","",IF(B57="G마켓",ROUNDDOWN(MAX(Q57*$G$17,R57*$G$18,S57*$G$19),0),ROUNDUP(MAX(Q57*$G$17,R57*$G$18,S57*$G$19),0)))</f>
        <v/>
      </c>
      <c r="W57" s="23">
        <f>IF(G57="","",IF(B57="G마켓",ROUNDDOWN(G57-G57*$Q$6-V57,0),ROUNDUP(G57-G57*$Q$6-V57,0)))</f>
        <v/>
      </c>
    </row>
    <row r="58">
      <c r="B58" s="6" t="n"/>
      <c r="C58" s="6" t="n"/>
      <c r="D58" s="24" t="n"/>
      <c r="E58" s="25" t="n"/>
      <c r="F58" s="25" t="n"/>
      <c r="G58" s="21">
        <f>IF(E58="","",E58-N(F58))</f>
        <v/>
      </c>
      <c r="I58" s="22">
        <f>IF(G58="","",IF(G58&gt;=$C$10,IF(B58="G마켓",ROUNDDOWN(MIN(G58*$D$10,$E$10),0),ROUNDUP(MIN(G58*$D$10,$E$10),0)),0))</f>
        <v/>
      </c>
      <c r="J58" s="22">
        <f>IF(G58="","",IF(G58&gt;=$C$11,IF(B58="G마켓",ROUNDDOWN(MIN(G58*$D$11,$E$11),0),ROUNDUP(MIN(G58*$D$11,$E$11),0)),0))</f>
        <v/>
      </c>
      <c r="K58" s="22">
        <f>IF(G58="","",IF(G58&gt;=$C$12,IF(B58="G마켓",ROUNDDOWN(MIN(G58*$D$12,$E$12),0),ROUNDUP(MIN(G58*$D$12,$E$12),0)),0))</f>
        <v/>
      </c>
      <c r="L58" s="22">
        <f>IF(G58="","",IF(G58&gt;=$C$13,IF(B58="G마켓",ROUNDDOWN(MIN(G58*$D$13,$E$13),0),ROUNDUP(MIN(G58*$D$13,$E$13),0)),0))</f>
        <v/>
      </c>
      <c r="N58" s="21">
        <f>IF(G58="","",MAX(I58,J58,K58,L58))</f>
        <v/>
      </c>
      <c r="O58" s="21">
        <f>IF(G58="","",G58-N58)</f>
        <v/>
      </c>
      <c r="Q58" s="22">
        <f>IF(O58="","",IF(O58&gt;=$C$17,IF(B58="G마켓",ROUNDDOWN(MIN(O58*$D$17,$E$17),0),ROUNDUP(MIN(O58*$D$17,$E$17),0)),0))</f>
        <v/>
      </c>
      <c r="R58" s="22">
        <f>IF(O58="","",IF(O58&gt;=$C$18,IF(B58="G마켓",ROUNDDOWN(MIN(O58*$D$18,$E$18),0),ROUNDUP(MIN(O58*$D$18,$E$18),0)),0))</f>
        <v/>
      </c>
      <c r="S58" s="22">
        <f>IF(O58="","",IF(O58&gt;=$C$19,IF(B58="G마켓",ROUNDDOWN(MIN(O58*$D$19,$E$19),0),ROUNDUP(MIN(O58*$D$19,$E$19),0)),0))</f>
        <v/>
      </c>
      <c r="T58" s="21">
        <f>IF(O58="","",MAX(Q58,R58,S58))</f>
        <v/>
      </c>
      <c r="U58" s="23">
        <f>IF(O58="","",O58-T58)</f>
        <v/>
      </c>
      <c r="V58" s="22">
        <f>IF(O58="","",IF(B58="G마켓",ROUNDDOWN(MAX(Q58*$G$17,R58*$G$18,S58*$G$19),0),ROUNDUP(MAX(Q58*$G$17,R58*$G$18,S58*$G$19),0)))</f>
        <v/>
      </c>
      <c r="W58" s="23">
        <f>IF(G58="","",IF(B58="G마켓",ROUNDDOWN(G58-G58*$Q$6-V58,0),ROUNDUP(G58-G58*$Q$6-V58,0)))</f>
        <v/>
      </c>
    </row>
    <row r="59">
      <c r="B59" s="6" t="n"/>
      <c r="C59" s="6" t="n"/>
      <c r="D59" s="24" t="n"/>
      <c r="E59" s="25" t="n"/>
      <c r="F59" s="25" t="n"/>
      <c r="G59" s="21">
        <f>IF(E59="","",E59-N(F59))</f>
        <v/>
      </c>
      <c r="I59" s="22">
        <f>IF(G59="","",IF(G59&gt;=$C$10,IF(B59="G마켓",ROUNDDOWN(MIN(G59*$D$10,$E$10),0),ROUNDUP(MIN(G59*$D$10,$E$10),0)),0))</f>
        <v/>
      </c>
      <c r="J59" s="22">
        <f>IF(G59="","",IF(G59&gt;=$C$11,IF(B59="G마켓",ROUNDDOWN(MIN(G59*$D$11,$E$11),0),ROUNDUP(MIN(G59*$D$11,$E$11),0)),0))</f>
        <v/>
      </c>
      <c r="K59" s="22">
        <f>IF(G59="","",IF(G59&gt;=$C$12,IF(B59="G마켓",ROUNDDOWN(MIN(G59*$D$12,$E$12),0),ROUNDUP(MIN(G59*$D$12,$E$12),0)),0))</f>
        <v/>
      </c>
      <c r="L59" s="22">
        <f>IF(G59="","",IF(G59&gt;=$C$13,IF(B59="G마켓",ROUNDDOWN(MIN(G59*$D$13,$E$13),0),ROUNDUP(MIN(G59*$D$13,$E$13),0)),0))</f>
        <v/>
      </c>
      <c r="N59" s="21">
        <f>IF(G59="","",MAX(I59,J59,K59,L59))</f>
        <v/>
      </c>
      <c r="O59" s="21">
        <f>IF(G59="","",G59-N59)</f>
        <v/>
      </c>
      <c r="Q59" s="22">
        <f>IF(O59="","",IF(O59&gt;=$C$17,IF(B59="G마켓",ROUNDDOWN(MIN(O59*$D$17,$E$17),0),ROUNDUP(MIN(O59*$D$17,$E$17),0)),0))</f>
        <v/>
      </c>
      <c r="R59" s="22">
        <f>IF(O59="","",IF(O59&gt;=$C$18,IF(B59="G마켓",ROUNDDOWN(MIN(O59*$D$18,$E$18),0),ROUNDUP(MIN(O59*$D$18,$E$18),0)),0))</f>
        <v/>
      </c>
      <c r="S59" s="22">
        <f>IF(O59="","",IF(O59&gt;=$C$19,IF(B59="G마켓",ROUNDDOWN(MIN(O59*$D$19,$E$19),0),ROUNDUP(MIN(O59*$D$19,$E$19),0)),0))</f>
        <v/>
      </c>
      <c r="T59" s="21">
        <f>IF(O59="","",MAX(Q59,R59,S59))</f>
        <v/>
      </c>
      <c r="U59" s="23">
        <f>IF(O59="","",O59-T59)</f>
        <v/>
      </c>
      <c r="V59" s="22">
        <f>IF(O59="","",IF(B59="G마켓",ROUNDDOWN(MAX(Q59*$G$17,R59*$G$18,S59*$G$19),0),ROUNDUP(MAX(Q59*$G$17,R59*$G$18,S59*$G$19),0)))</f>
        <v/>
      </c>
      <c r="W59" s="23">
        <f>IF(G59="","",IF(B59="G마켓",ROUNDDOWN(G59-G59*$Q$6-V59,0),ROUNDUP(G59-G59*$Q$6-V59,0)))</f>
        <v/>
      </c>
    </row>
    <row r="60">
      <c r="B60" s="6" t="n"/>
      <c r="C60" s="6" t="n"/>
      <c r="D60" s="24" t="n"/>
      <c r="E60" s="25" t="n"/>
      <c r="F60" s="25" t="n"/>
      <c r="G60" s="21">
        <f>IF(E60="","",E60-N(F60))</f>
        <v/>
      </c>
      <c r="I60" s="22">
        <f>IF(G60="","",IF(G60&gt;=$C$10,IF(B60="G마켓",ROUNDDOWN(MIN(G60*$D$10,$E$10),0),ROUNDUP(MIN(G60*$D$10,$E$10),0)),0))</f>
        <v/>
      </c>
      <c r="J60" s="22">
        <f>IF(G60="","",IF(G60&gt;=$C$11,IF(B60="G마켓",ROUNDDOWN(MIN(G60*$D$11,$E$11),0),ROUNDUP(MIN(G60*$D$11,$E$11),0)),0))</f>
        <v/>
      </c>
      <c r="K60" s="22">
        <f>IF(G60="","",IF(G60&gt;=$C$12,IF(B60="G마켓",ROUNDDOWN(MIN(G60*$D$12,$E$12),0),ROUNDUP(MIN(G60*$D$12,$E$12),0)),0))</f>
        <v/>
      </c>
      <c r="L60" s="22">
        <f>IF(G60="","",IF(G60&gt;=$C$13,IF(B60="G마켓",ROUNDDOWN(MIN(G60*$D$13,$E$13),0),ROUNDUP(MIN(G60*$D$13,$E$13),0)),0))</f>
        <v/>
      </c>
      <c r="N60" s="21">
        <f>IF(G60="","",MAX(I60,J60,K60,L60))</f>
        <v/>
      </c>
      <c r="O60" s="21">
        <f>IF(G60="","",G60-N60)</f>
        <v/>
      </c>
      <c r="Q60" s="22">
        <f>IF(O60="","",IF(O60&gt;=$C$17,IF(B60="G마켓",ROUNDDOWN(MIN(O60*$D$17,$E$17),0),ROUNDUP(MIN(O60*$D$17,$E$17),0)),0))</f>
        <v/>
      </c>
      <c r="R60" s="22">
        <f>IF(O60="","",IF(O60&gt;=$C$18,IF(B60="G마켓",ROUNDDOWN(MIN(O60*$D$18,$E$18),0),ROUNDUP(MIN(O60*$D$18,$E$18),0)),0))</f>
        <v/>
      </c>
      <c r="S60" s="22">
        <f>IF(O60="","",IF(O60&gt;=$C$19,IF(B60="G마켓",ROUNDDOWN(MIN(O60*$D$19,$E$19),0),ROUNDUP(MIN(O60*$D$19,$E$19),0)),0))</f>
        <v/>
      </c>
      <c r="T60" s="21">
        <f>IF(O60="","",MAX(Q60,R60,S60))</f>
        <v/>
      </c>
      <c r="U60" s="23">
        <f>IF(O60="","",O60-T60)</f>
        <v/>
      </c>
      <c r="V60" s="22">
        <f>IF(O60="","",IF(B60="G마켓",ROUNDDOWN(MAX(Q60*$G$17,R60*$G$18,S60*$G$19),0),ROUNDUP(MAX(Q60*$G$17,R60*$G$18,S60*$G$19),0)))</f>
        <v/>
      </c>
      <c r="W60" s="23">
        <f>IF(G60="","",IF(B60="G마켓",ROUNDDOWN(G60-G60*$Q$6-V60,0),ROUNDUP(G60-G60*$Q$6-V60,0)))</f>
        <v/>
      </c>
    </row>
    <row r="61">
      <c r="B61" s="6" t="n"/>
      <c r="C61" s="6" t="n"/>
      <c r="D61" s="24" t="n"/>
      <c r="E61" s="25" t="n"/>
      <c r="F61" s="25" t="n"/>
      <c r="G61" s="21">
        <f>IF(E61="","",E61-N(F61))</f>
        <v/>
      </c>
      <c r="I61" s="22">
        <f>IF(G61="","",IF(G61&gt;=$C$10,IF(B61="G마켓",ROUNDDOWN(MIN(G61*$D$10,$E$10),0),ROUNDUP(MIN(G61*$D$10,$E$10),0)),0))</f>
        <v/>
      </c>
      <c r="J61" s="22">
        <f>IF(G61="","",IF(G61&gt;=$C$11,IF(B61="G마켓",ROUNDDOWN(MIN(G61*$D$11,$E$11),0),ROUNDUP(MIN(G61*$D$11,$E$11),0)),0))</f>
        <v/>
      </c>
      <c r="K61" s="22">
        <f>IF(G61="","",IF(G61&gt;=$C$12,IF(B61="G마켓",ROUNDDOWN(MIN(G61*$D$12,$E$12),0),ROUNDUP(MIN(G61*$D$12,$E$12),0)),0))</f>
        <v/>
      </c>
      <c r="L61" s="22">
        <f>IF(G61="","",IF(G61&gt;=$C$13,IF(B61="G마켓",ROUNDDOWN(MIN(G61*$D$13,$E$13),0),ROUNDUP(MIN(G61*$D$13,$E$13),0)),0))</f>
        <v/>
      </c>
      <c r="N61" s="21">
        <f>IF(G61="","",MAX(I61,J61,K61,L61))</f>
        <v/>
      </c>
      <c r="O61" s="21">
        <f>IF(G61="","",G61-N61)</f>
        <v/>
      </c>
      <c r="Q61" s="22">
        <f>IF(O61="","",IF(O61&gt;=$C$17,IF(B61="G마켓",ROUNDDOWN(MIN(O61*$D$17,$E$17),0),ROUNDUP(MIN(O61*$D$17,$E$17),0)),0))</f>
        <v/>
      </c>
      <c r="R61" s="22">
        <f>IF(O61="","",IF(O61&gt;=$C$18,IF(B61="G마켓",ROUNDDOWN(MIN(O61*$D$18,$E$18),0),ROUNDUP(MIN(O61*$D$18,$E$18),0)),0))</f>
        <v/>
      </c>
      <c r="S61" s="22">
        <f>IF(O61="","",IF(O61&gt;=$C$19,IF(B61="G마켓",ROUNDDOWN(MIN(O61*$D$19,$E$19),0),ROUNDUP(MIN(O61*$D$19,$E$19),0)),0))</f>
        <v/>
      </c>
      <c r="T61" s="21">
        <f>IF(O61="","",MAX(Q61,R61,S61))</f>
        <v/>
      </c>
      <c r="U61" s="23">
        <f>IF(O61="","",O61-T61)</f>
        <v/>
      </c>
      <c r="V61" s="22">
        <f>IF(O61="","",IF(B61="G마켓",ROUNDDOWN(MAX(Q61*$G$17,R61*$G$18,S61*$G$19),0),ROUNDUP(MAX(Q61*$G$17,R61*$G$18,S61*$G$19),0)))</f>
        <v/>
      </c>
      <c r="W61" s="23">
        <f>IF(G61="","",IF(B61="G마켓",ROUNDDOWN(G61-G61*$Q$6-V61,0),ROUNDUP(G61-G61*$Q$6-V61,0)))</f>
        <v/>
      </c>
    </row>
    <row r="62">
      <c r="B62" s="6" t="n"/>
      <c r="C62" s="6" t="n"/>
      <c r="D62" s="24" t="n"/>
      <c r="E62" s="25" t="n"/>
      <c r="F62" s="25" t="n"/>
      <c r="G62" s="21">
        <f>IF(E62="","",E62-N(F62))</f>
        <v/>
      </c>
      <c r="I62" s="22">
        <f>IF(G62="","",IF(G62&gt;=$C$10,IF(B62="G마켓",ROUNDDOWN(MIN(G62*$D$10,$E$10),0),ROUNDUP(MIN(G62*$D$10,$E$10),0)),0))</f>
        <v/>
      </c>
      <c r="J62" s="22">
        <f>IF(G62="","",IF(G62&gt;=$C$11,IF(B62="G마켓",ROUNDDOWN(MIN(G62*$D$11,$E$11),0),ROUNDUP(MIN(G62*$D$11,$E$11),0)),0))</f>
        <v/>
      </c>
      <c r="K62" s="22">
        <f>IF(G62="","",IF(G62&gt;=$C$12,IF(B62="G마켓",ROUNDDOWN(MIN(G62*$D$12,$E$12),0),ROUNDUP(MIN(G62*$D$12,$E$12),0)),0))</f>
        <v/>
      </c>
      <c r="L62" s="22">
        <f>IF(G62="","",IF(G62&gt;=$C$13,IF(B62="G마켓",ROUNDDOWN(MIN(G62*$D$13,$E$13),0),ROUNDUP(MIN(G62*$D$13,$E$13),0)),0))</f>
        <v/>
      </c>
      <c r="N62" s="21">
        <f>IF(G62="","",MAX(I62,J62,K62,L62))</f>
        <v/>
      </c>
      <c r="O62" s="21">
        <f>IF(G62="","",G62-N62)</f>
        <v/>
      </c>
      <c r="Q62" s="22">
        <f>IF(O62="","",IF(O62&gt;=$C$17,IF(B62="G마켓",ROUNDDOWN(MIN(O62*$D$17,$E$17),0),ROUNDUP(MIN(O62*$D$17,$E$17),0)),0))</f>
        <v/>
      </c>
      <c r="R62" s="22">
        <f>IF(O62="","",IF(O62&gt;=$C$18,IF(B62="G마켓",ROUNDDOWN(MIN(O62*$D$18,$E$18),0),ROUNDUP(MIN(O62*$D$18,$E$18),0)),0))</f>
        <v/>
      </c>
      <c r="S62" s="22">
        <f>IF(O62="","",IF(O62&gt;=$C$19,IF(B62="G마켓",ROUNDDOWN(MIN(O62*$D$19,$E$19),0),ROUNDUP(MIN(O62*$D$19,$E$19),0)),0))</f>
        <v/>
      </c>
      <c r="T62" s="21">
        <f>IF(O62="","",MAX(Q62,R62,S62))</f>
        <v/>
      </c>
      <c r="U62" s="23">
        <f>IF(O62="","",O62-T62)</f>
        <v/>
      </c>
      <c r="V62" s="22">
        <f>IF(O62="","",IF(B62="G마켓",ROUNDDOWN(MAX(Q62*$G$17,R62*$G$18,S62*$G$19),0),ROUNDUP(MAX(Q62*$G$17,R62*$G$18,S62*$G$19),0)))</f>
        <v/>
      </c>
      <c r="W62" s="23">
        <f>IF(G62="","",IF(B62="G마켓",ROUNDDOWN(G62-G62*$Q$6-V62,0),ROUNDUP(G62-G62*$Q$6-V62,0)))</f>
        <v/>
      </c>
    </row>
    <row r="63">
      <c r="B63" s="6" t="n"/>
      <c r="C63" s="6" t="n"/>
      <c r="D63" s="24" t="n"/>
      <c r="E63" s="25" t="n"/>
      <c r="F63" s="25" t="n"/>
      <c r="G63" s="21">
        <f>IF(E63="","",E63-N(F63))</f>
        <v/>
      </c>
      <c r="I63" s="22">
        <f>IF(G63="","",IF(G63&gt;=$C$10,IF(B63="G마켓",ROUNDDOWN(MIN(G63*$D$10,$E$10),0),ROUNDUP(MIN(G63*$D$10,$E$10),0)),0))</f>
        <v/>
      </c>
      <c r="J63" s="22">
        <f>IF(G63="","",IF(G63&gt;=$C$11,IF(B63="G마켓",ROUNDDOWN(MIN(G63*$D$11,$E$11),0),ROUNDUP(MIN(G63*$D$11,$E$11),0)),0))</f>
        <v/>
      </c>
      <c r="K63" s="22">
        <f>IF(G63="","",IF(G63&gt;=$C$12,IF(B63="G마켓",ROUNDDOWN(MIN(G63*$D$12,$E$12),0),ROUNDUP(MIN(G63*$D$12,$E$12),0)),0))</f>
        <v/>
      </c>
      <c r="L63" s="22">
        <f>IF(G63="","",IF(G63&gt;=$C$13,IF(B63="G마켓",ROUNDDOWN(MIN(G63*$D$13,$E$13),0),ROUNDUP(MIN(G63*$D$13,$E$13),0)),0))</f>
        <v/>
      </c>
      <c r="N63" s="21">
        <f>IF(G63="","",MAX(I63,J63,K63,L63))</f>
        <v/>
      </c>
      <c r="O63" s="21">
        <f>IF(G63="","",G63-N63)</f>
        <v/>
      </c>
      <c r="Q63" s="22">
        <f>IF(O63="","",IF(O63&gt;=$C$17,IF(B63="G마켓",ROUNDDOWN(MIN(O63*$D$17,$E$17),0),ROUNDUP(MIN(O63*$D$17,$E$17),0)),0))</f>
        <v/>
      </c>
      <c r="R63" s="22">
        <f>IF(O63="","",IF(O63&gt;=$C$18,IF(B63="G마켓",ROUNDDOWN(MIN(O63*$D$18,$E$18),0),ROUNDUP(MIN(O63*$D$18,$E$18),0)),0))</f>
        <v/>
      </c>
      <c r="S63" s="22">
        <f>IF(O63="","",IF(O63&gt;=$C$19,IF(B63="G마켓",ROUNDDOWN(MIN(O63*$D$19,$E$19),0),ROUNDUP(MIN(O63*$D$19,$E$19),0)),0))</f>
        <v/>
      </c>
      <c r="T63" s="21">
        <f>IF(O63="","",MAX(Q63,R63,S63))</f>
        <v/>
      </c>
      <c r="U63" s="23">
        <f>IF(O63="","",O63-T63)</f>
        <v/>
      </c>
      <c r="V63" s="22">
        <f>IF(O63="","",IF(B63="G마켓",ROUNDDOWN(MAX(Q63*$G$17,R63*$G$18,S63*$G$19),0),ROUNDUP(MAX(Q63*$G$17,R63*$G$18,S63*$G$19),0)))</f>
        <v/>
      </c>
      <c r="W63" s="23">
        <f>IF(G63="","",IF(B63="G마켓",ROUNDDOWN(G63-G63*$Q$6-V63,0),ROUNDUP(G63-G63*$Q$6-V63,0)))</f>
        <v/>
      </c>
    </row>
    <row r="64">
      <c r="B64" s="6" t="n"/>
      <c r="C64" s="6" t="n"/>
      <c r="D64" s="24" t="n"/>
      <c r="E64" s="25" t="n"/>
      <c r="F64" s="25" t="n"/>
      <c r="G64" s="21">
        <f>IF(E64="","",E64-N(F64))</f>
        <v/>
      </c>
      <c r="I64" s="22">
        <f>IF(G64="","",IF(G64&gt;=$C$10,IF(B64="G마켓",ROUNDDOWN(MIN(G64*$D$10,$E$10),0),ROUNDUP(MIN(G64*$D$10,$E$10),0)),0))</f>
        <v/>
      </c>
      <c r="J64" s="22">
        <f>IF(G64="","",IF(G64&gt;=$C$11,IF(B64="G마켓",ROUNDDOWN(MIN(G64*$D$11,$E$11),0),ROUNDUP(MIN(G64*$D$11,$E$11),0)),0))</f>
        <v/>
      </c>
      <c r="K64" s="22">
        <f>IF(G64="","",IF(G64&gt;=$C$12,IF(B64="G마켓",ROUNDDOWN(MIN(G64*$D$12,$E$12),0),ROUNDUP(MIN(G64*$D$12,$E$12),0)),0))</f>
        <v/>
      </c>
      <c r="L64" s="22">
        <f>IF(G64="","",IF(G64&gt;=$C$13,IF(B64="G마켓",ROUNDDOWN(MIN(G64*$D$13,$E$13),0),ROUNDUP(MIN(G64*$D$13,$E$13),0)),0))</f>
        <v/>
      </c>
      <c r="N64" s="21">
        <f>IF(G64="","",MAX(I64,J64,K64,L64))</f>
        <v/>
      </c>
      <c r="O64" s="21">
        <f>IF(G64="","",G64-N64)</f>
        <v/>
      </c>
      <c r="Q64" s="22">
        <f>IF(O64="","",IF(O64&gt;=$C$17,IF(B64="G마켓",ROUNDDOWN(MIN(O64*$D$17,$E$17),0),ROUNDUP(MIN(O64*$D$17,$E$17),0)),0))</f>
        <v/>
      </c>
      <c r="R64" s="22">
        <f>IF(O64="","",IF(O64&gt;=$C$18,IF(B64="G마켓",ROUNDDOWN(MIN(O64*$D$18,$E$18),0),ROUNDUP(MIN(O64*$D$18,$E$18),0)),0))</f>
        <v/>
      </c>
      <c r="S64" s="22">
        <f>IF(O64="","",IF(O64&gt;=$C$19,IF(B64="G마켓",ROUNDDOWN(MIN(O64*$D$19,$E$19),0),ROUNDUP(MIN(O64*$D$19,$E$19),0)),0))</f>
        <v/>
      </c>
      <c r="T64" s="21">
        <f>IF(O64="","",MAX(Q64,R64,S64))</f>
        <v/>
      </c>
      <c r="U64" s="23">
        <f>IF(O64="","",O64-T64)</f>
        <v/>
      </c>
      <c r="V64" s="22">
        <f>IF(O64="","",IF(B64="G마켓",ROUNDDOWN(MAX(Q64*$G$17,R64*$G$18,S64*$G$19),0),ROUNDUP(MAX(Q64*$G$17,R64*$G$18,S64*$G$19),0)))</f>
        <v/>
      </c>
      <c r="W64" s="23">
        <f>IF(G64="","",IF(B64="G마켓",ROUNDDOWN(G64-G64*$Q$6-V64,0),ROUNDUP(G64-G64*$Q$6-V64,0)))</f>
        <v/>
      </c>
    </row>
    <row r="65">
      <c r="B65" s="6" t="n"/>
      <c r="C65" s="6" t="n"/>
      <c r="D65" s="24" t="n"/>
      <c r="E65" s="25" t="n"/>
      <c r="F65" s="25" t="n"/>
      <c r="G65" s="21">
        <f>IF(E65="","",E65-N(F65))</f>
        <v/>
      </c>
      <c r="I65" s="22">
        <f>IF(G65="","",IF(G65&gt;=$C$10,IF(B65="G마켓",ROUNDDOWN(MIN(G65*$D$10,$E$10),0),ROUNDUP(MIN(G65*$D$10,$E$10),0)),0))</f>
        <v/>
      </c>
      <c r="J65" s="22">
        <f>IF(G65="","",IF(G65&gt;=$C$11,IF(B65="G마켓",ROUNDDOWN(MIN(G65*$D$11,$E$11),0),ROUNDUP(MIN(G65*$D$11,$E$11),0)),0))</f>
        <v/>
      </c>
      <c r="K65" s="22">
        <f>IF(G65="","",IF(G65&gt;=$C$12,IF(B65="G마켓",ROUNDDOWN(MIN(G65*$D$12,$E$12),0),ROUNDUP(MIN(G65*$D$12,$E$12),0)),0))</f>
        <v/>
      </c>
      <c r="L65" s="22">
        <f>IF(G65="","",IF(G65&gt;=$C$13,IF(B65="G마켓",ROUNDDOWN(MIN(G65*$D$13,$E$13),0),ROUNDUP(MIN(G65*$D$13,$E$13),0)),0))</f>
        <v/>
      </c>
      <c r="N65" s="21">
        <f>IF(G65="","",MAX(I65,J65,K65,L65))</f>
        <v/>
      </c>
      <c r="O65" s="21">
        <f>IF(G65="","",G65-N65)</f>
        <v/>
      </c>
      <c r="Q65" s="22">
        <f>IF(O65="","",IF(O65&gt;=$C$17,IF(B65="G마켓",ROUNDDOWN(MIN(O65*$D$17,$E$17),0),ROUNDUP(MIN(O65*$D$17,$E$17),0)),0))</f>
        <v/>
      </c>
      <c r="R65" s="22">
        <f>IF(O65="","",IF(O65&gt;=$C$18,IF(B65="G마켓",ROUNDDOWN(MIN(O65*$D$18,$E$18),0),ROUNDUP(MIN(O65*$D$18,$E$18),0)),0))</f>
        <v/>
      </c>
      <c r="S65" s="22">
        <f>IF(O65="","",IF(O65&gt;=$C$19,IF(B65="G마켓",ROUNDDOWN(MIN(O65*$D$19,$E$19),0),ROUNDUP(MIN(O65*$D$19,$E$19),0)),0))</f>
        <v/>
      </c>
      <c r="T65" s="21">
        <f>IF(O65="","",MAX(Q65,R65,S65))</f>
        <v/>
      </c>
      <c r="U65" s="23">
        <f>IF(O65="","",O65-T65)</f>
        <v/>
      </c>
      <c r="V65" s="22">
        <f>IF(O65="","",IF(B65="G마켓",ROUNDDOWN(MAX(Q65*$G$17,R65*$G$18,S65*$G$19),0),ROUNDUP(MAX(Q65*$G$17,R65*$G$18,S65*$G$19),0)))</f>
        <v/>
      </c>
      <c r="W65" s="23">
        <f>IF(G65="","",IF(B65="G마켓",ROUNDDOWN(G65-G65*$Q$6-V65,0),ROUNDUP(G65-G65*$Q$6-V65,0)))</f>
        <v/>
      </c>
    </row>
    <row r="66">
      <c r="B66" s="6" t="n"/>
      <c r="C66" s="6" t="n"/>
      <c r="D66" s="24" t="n"/>
      <c r="E66" s="25" t="n"/>
      <c r="F66" s="25" t="n"/>
      <c r="G66" s="21">
        <f>IF(E66="","",E66-N(F66))</f>
        <v/>
      </c>
      <c r="I66" s="22">
        <f>IF(G66="","",IF(G66&gt;=$C$10,IF(B66="G마켓",ROUNDDOWN(MIN(G66*$D$10,$E$10),0),ROUNDUP(MIN(G66*$D$10,$E$10),0)),0))</f>
        <v/>
      </c>
      <c r="J66" s="22">
        <f>IF(G66="","",IF(G66&gt;=$C$11,IF(B66="G마켓",ROUNDDOWN(MIN(G66*$D$11,$E$11),0),ROUNDUP(MIN(G66*$D$11,$E$11),0)),0))</f>
        <v/>
      </c>
      <c r="K66" s="22">
        <f>IF(G66="","",IF(G66&gt;=$C$12,IF(B66="G마켓",ROUNDDOWN(MIN(G66*$D$12,$E$12),0),ROUNDUP(MIN(G66*$D$12,$E$12),0)),0))</f>
        <v/>
      </c>
      <c r="L66" s="22">
        <f>IF(G66="","",IF(G66&gt;=$C$13,IF(B66="G마켓",ROUNDDOWN(MIN(G66*$D$13,$E$13),0),ROUNDUP(MIN(G66*$D$13,$E$13),0)),0))</f>
        <v/>
      </c>
      <c r="N66" s="21">
        <f>IF(G66="","",MAX(I66,J66,K66,L66))</f>
        <v/>
      </c>
      <c r="O66" s="21">
        <f>IF(G66="","",G66-N66)</f>
        <v/>
      </c>
      <c r="Q66" s="22">
        <f>IF(O66="","",IF(O66&gt;=$C$17,IF(B66="G마켓",ROUNDDOWN(MIN(O66*$D$17,$E$17),0),ROUNDUP(MIN(O66*$D$17,$E$17),0)),0))</f>
        <v/>
      </c>
      <c r="R66" s="22">
        <f>IF(O66="","",IF(O66&gt;=$C$18,IF(B66="G마켓",ROUNDDOWN(MIN(O66*$D$18,$E$18),0),ROUNDUP(MIN(O66*$D$18,$E$18),0)),0))</f>
        <v/>
      </c>
      <c r="S66" s="22">
        <f>IF(O66="","",IF(O66&gt;=$C$19,IF(B66="G마켓",ROUNDDOWN(MIN(O66*$D$19,$E$19),0),ROUNDUP(MIN(O66*$D$19,$E$19),0)),0))</f>
        <v/>
      </c>
      <c r="T66" s="21">
        <f>IF(O66="","",MAX(Q66,R66,S66))</f>
        <v/>
      </c>
      <c r="U66" s="23">
        <f>IF(O66="","",O66-T66)</f>
        <v/>
      </c>
      <c r="V66" s="22">
        <f>IF(O66="","",IF(B66="G마켓",ROUNDDOWN(MAX(Q66*$G$17,R66*$G$18,S66*$G$19),0),ROUNDUP(MAX(Q66*$G$17,R66*$G$18,S66*$G$19),0)))</f>
        <v/>
      </c>
      <c r="W66" s="23">
        <f>IF(G66="","",IF(B66="G마켓",ROUNDDOWN(G66-G66*$Q$6-V66,0),ROUNDUP(G66-G66*$Q$6-V66,0)))</f>
        <v/>
      </c>
    </row>
    <row r="67">
      <c r="B67" s="6" t="n"/>
      <c r="C67" s="6" t="n"/>
      <c r="D67" s="24" t="n"/>
      <c r="E67" s="25" t="n"/>
      <c r="F67" s="25" t="n"/>
      <c r="G67" s="21">
        <f>IF(E67="","",E67-N(F67))</f>
        <v/>
      </c>
      <c r="I67" s="22">
        <f>IF(G67="","",IF(G67&gt;=$C$10,IF(B67="G마켓",ROUNDDOWN(MIN(G67*$D$10,$E$10),0),ROUNDUP(MIN(G67*$D$10,$E$10),0)),0))</f>
        <v/>
      </c>
      <c r="J67" s="22">
        <f>IF(G67="","",IF(G67&gt;=$C$11,IF(B67="G마켓",ROUNDDOWN(MIN(G67*$D$11,$E$11),0),ROUNDUP(MIN(G67*$D$11,$E$11),0)),0))</f>
        <v/>
      </c>
      <c r="K67" s="22">
        <f>IF(G67="","",IF(G67&gt;=$C$12,IF(B67="G마켓",ROUNDDOWN(MIN(G67*$D$12,$E$12),0),ROUNDUP(MIN(G67*$D$12,$E$12),0)),0))</f>
        <v/>
      </c>
      <c r="L67" s="22">
        <f>IF(G67="","",IF(G67&gt;=$C$13,IF(B67="G마켓",ROUNDDOWN(MIN(G67*$D$13,$E$13),0),ROUNDUP(MIN(G67*$D$13,$E$13),0)),0))</f>
        <v/>
      </c>
      <c r="N67" s="21">
        <f>IF(G67="","",MAX(I67,J67,K67,L67))</f>
        <v/>
      </c>
      <c r="O67" s="21">
        <f>IF(G67="","",G67-N67)</f>
        <v/>
      </c>
      <c r="Q67" s="22">
        <f>IF(O67="","",IF(O67&gt;=$C$17,IF(B67="G마켓",ROUNDDOWN(MIN(O67*$D$17,$E$17),0),ROUNDUP(MIN(O67*$D$17,$E$17),0)),0))</f>
        <v/>
      </c>
      <c r="R67" s="22">
        <f>IF(O67="","",IF(O67&gt;=$C$18,IF(B67="G마켓",ROUNDDOWN(MIN(O67*$D$18,$E$18),0),ROUNDUP(MIN(O67*$D$18,$E$18),0)),0))</f>
        <v/>
      </c>
      <c r="S67" s="22">
        <f>IF(O67="","",IF(O67&gt;=$C$19,IF(B67="G마켓",ROUNDDOWN(MIN(O67*$D$19,$E$19),0),ROUNDUP(MIN(O67*$D$19,$E$19),0)),0))</f>
        <v/>
      </c>
      <c r="T67" s="21">
        <f>IF(O67="","",MAX(Q67,R67,S67))</f>
        <v/>
      </c>
      <c r="U67" s="23">
        <f>IF(O67="","",O67-T67)</f>
        <v/>
      </c>
      <c r="V67" s="22">
        <f>IF(O67="","",IF(B67="G마켓",ROUNDDOWN(MAX(Q67*$G$17,R67*$G$18,S67*$G$19),0),ROUNDUP(MAX(Q67*$G$17,R67*$G$18,S67*$G$19),0)))</f>
        <v/>
      </c>
      <c r="W67" s="23">
        <f>IF(G67="","",IF(B67="G마켓",ROUNDDOWN(G67-G67*$Q$6-V67,0),ROUNDUP(G67-G67*$Q$6-V67,0)))</f>
        <v/>
      </c>
    </row>
    <row r="68">
      <c r="B68" s="6" t="n"/>
      <c r="C68" s="6" t="n"/>
      <c r="D68" s="24" t="n"/>
      <c r="E68" s="25" t="n"/>
      <c r="F68" s="25" t="n"/>
      <c r="G68" s="21">
        <f>IF(E68="","",E68-N(F68))</f>
        <v/>
      </c>
      <c r="I68" s="22">
        <f>IF(G68="","",IF(G68&gt;=$C$10,IF(B68="G마켓",ROUNDDOWN(MIN(G68*$D$10,$E$10),0),ROUNDUP(MIN(G68*$D$10,$E$10),0)),0))</f>
        <v/>
      </c>
      <c r="J68" s="22">
        <f>IF(G68="","",IF(G68&gt;=$C$11,IF(B68="G마켓",ROUNDDOWN(MIN(G68*$D$11,$E$11),0),ROUNDUP(MIN(G68*$D$11,$E$11),0)),0))</f>
        <v/>
      </c>
      <c r="K68" s="22">
        <f>IF(G68="","",IF(G68&gt;=$C$12,IF(B68="G마켓",ROUNDDOWN(MIN(G68*$D$12,$E$12),0),ROUNDUP(MIN(G68*$D$12,$E$12),0)),0))</f>
        <v/>
      </c>
      <c r="L68" s="22">
        <f>IF(G68="","",IF(G68&gt;=$C$13,IF(B68="G마켓",ROUNDDOWN(MIN(G68*$D$13,$E$13),0),ROUNDUP(MIN(G68*$D$13,$E$13),0)),0))</f>
        <v/>
      </c>
      <c r="N68" s="21">
        <f>IF(G68="","",MAX(I68,J68,K68,L68))</f>
        <v/>
      </c>
      <c r="O68" s="21">
        <f>IF(G68="","",G68-N68)</f>
        <v/>
      </c>
      <c r="Q68" s="22">
        <f>IF(O68="","",IF(O68&gt;=$C$17,IF(B68="G마켓",ROUNDDOWN(MIN(O68*$D$17,$E$17),0),ROUNDUP(MIN(O68*$D$17,$E$17),0)),0))</f>
        <v/>
      </c>
      <c r="R68" s="22">
        <f>IF(O68="","",IF(O68&gt;=$C$18,IF(B68="G마켓",ROUNDDOWN(MIN(O68*$D$18,$E$18),0),ROUNDUP(MIN(O68*$D$18,$E$18),0)),0))</f>
        <v/>
      </c>
      <c r="S68" s="22">
        <f>IF(O68="","",IF(O68&gt;=$C$19,IF(B68="G마켓",ROUNDDOWN(MIN(O68*$D$19,$E$19),0),ROUNDUP(MIN(O68*$D$19,$E$19),0)),0))</f>
        <v/>
      </c>
      <c r="T68" s="21">
        <f>IF(O68="","",MAX(Q68,R68,S68))</f>
        <v/>
      </c>
      <c r="U68" s="23">
        <f>IF(O68="","",O68-T68)</f>
        <v/>
      </c>
      <c r="V68" s="22">
        <f>IF(O68="","",IF(B68="G마켓",ROUNDDOWN(MAX(Q68*$G$17,R68*$G$18,S68*$G$19),0),ROUNDUP(MAX(Q68*$G$17,R68*$G$18,S68*$G$19),0)))</f>
        <v/>
      </c>
      <c r="W68" s="23">
        <f>IF(G68="","",IF(B68="G마켓",ROUNDDOWN(G68-G68*$Q$6-V68,0),ROUNDUP(G68-G68*$Q$6-V68,0)))</f>
        <v/>
      </c>
    </row>
    <row r="69">
      <c r="B69" s="6" t="n"/>
      <c r="C69" s="6" t="n"/>
      <c r="D69" s="24" t="n"/>
      <c r="E69" s="25" t="n"/>
      <c r="F69" s="25" t="n"/>
      <c r="G69" s="21">
        <f>IF(E69="","",E69-N(F69))</f>
        <v/>
      </c>
      <c r="I69" s="22">
        <f>IF(G69="","",IF(G69&gt;=$C$10,IF(B69="G마켓",ROUNDDOWN(MIN(G69*$D$10,$E$10),0),ROUNDUP(MIN(G69*$D$10,$E$10),0)),0))</f>
        <v/>
      </c>
      <c r="J69" s="22">
        <f>IF(G69="","",IF(G69&gt;=$C$11,IF(B69="G마켓",ROUNDDOWN(MIN(G69*$D$11,$E$11),0),ROUNDUP(MIN(G69*$D$11,$E$11),0)),0))</f>
        <v/>
      </c>
      <c r="K69" s="22">
        <f>IF(G69="","",IF(G69&gt;=$C$12,IF(B69="G마켓",ROUNDDOWN(MIN(G69*$D$12,$E$12),0),ROUNDUP(MIN(G69*$D$12,$E$12),0)),0))</f>
        <v/>
      </c>
      <c r="L69" s="22">
        <f>IF(G69="","",IF(G69&gt;=$C$13,IF(B69="G마켓",ROUNDDOWN(MIN(G69*$D$13,$E$13),0),ROUNDUP(MIN(G69*$D$13,$E$13),0)),0))</f>
        <v/>
      </c>
      <c r="N69" s="21">
        <f>IF(G69="","",MAX(I69,J69,K69,L69))</f>
        <v/>
      </c>
      <c r="O69" s="21">
        <f>IF(G69="","",G69-N69)</f>
        <v/>
      </c>
      <c r="Q69" s="22">
        <f>IF(O69="","",IF(O69&gt;=$C$17,IF(B69="G마켓",ROUNDDOWN(MIN(O69*$D$17,$E$17),0),ROUNDUP(MIN(O69*$D$17,$E$17),0)),0))</f>
        <v/>
      </c>
      <c r="R69" s="22">
        <f>IF(O69="","",IF(O69&gt;=$C$18,IF(B69="G마켓",ROUNDDOWN(MIN(O69*$D$18,$E$18),0),ROUNDUP(MIN(O69*$D$18,$E$18),0)),0))</f>
        <v/>
      </c>
      <c r="S69" s="22">
        <f>IF(O69="","",IF(O69&gt;=$C$19,IF(B69="G마켓",ROUNDDOWN(MIN(O69*$D$19,$E$19),0),ROUNDUP(MIN(O69*$D$19,$E$19),0)),0))</f>
        <v/>
      </c>
      <c r="T69" s="21">
        <f>IF(O69="","",MAX(Q69,R69,S69))</f>
        <v/>
      </c>
      <c r="U69" s="23">
        <f>IF(O69="","",O69-T69)</f>
        <v/>
      </c>
      <c r="V69" s="22">
        <f>IF(O69="","",IF(B69="G마켓",ROUNDDOWN(MAX(Q69*$G$17,R69*$G$18,S69*$G$19),0),ROUNDUP(MAX(Q69*$G$17,R69*$G$18,S69*$G$19),0)))</f>
        <v/>
      </c>
      <c r="W69" s="23">
        <f>IF(G69="","",IF(B69="G마켓",ROUNDDOWN(G69-G69*$Q$6-V69,0),ROUNDUP(G69-G69*$Q$6-V69,0)))</f>
        <v/>
      </c>
    </row>
    <row r="70">
      <c r="B70" s="6" t="n"/>
      <c r="C70" s="6" t="n"/>
      <c r="D70" s="24" t="n"/>
      <c r="E70" s="25" t="n"/>
      <c r="F70" s="25" t="n"/>
      <c r="G70" s="21">
        <f>IF(E70="","",E70-N(F70))</f>
        <v/>
      </c>
      <c r="I70" s="22">
        <f>IF(G70="","",IF(G70&gt;=$C$10,IF(B70="G마켓",ROUNDDOWN(MIN(G70*$D$10,$E$10),0),ROUNDUP(MIN(G70*$D$10,$E$10),0)),0))</f>
        <v/>
      </c>
      <c r="J70" s="22">
        <f>IF(G70="","",IF(G70&gt;=$C$11,IF(B70="G마켓",ROUNDDOWN(MIN(G70*$D$11,$E$11),0),ROUNDUP(MIN(G70*$D$11,$E$11),0)),0))</f>
        <v/>
      </c>
      <c r="K70" s="22">
        <f>IF(G70="","",IF(G70&gt;=$C$12,IF(B70="G마켓",ROUNDDOWN(MIN(G70*$D$12,$E$12),0),ROUNDUP(MIN(G70*$D$12,$E$12),0)),0))</f>
        <v/>
      </c>
      <c r="L70" s="22">
        <f>IF(G70="","",IF(G70&gt;=$C$13,IF(B70="G마켓",ROUNDDOWN(MIN(G70*$D$13,$E$13),0),ROUNDUP(MIN(G70*$D$13,$E$13),0)),0))</f>
        <v/>
      </c>
      <c r="N70" s="21">
        <f>IF(G70="","",MAX(I70,J70,K70,L70))</f>
        <v/>
      </c>
      <c r="O70" s="21">
        <f>IF(G70="","",G70-N70)</f>
        <v/>
      </c>
      <c r="Q70" s="22">
        <f>IF(O70="","",IF(O70&gt;=$C$17,IF(B70="G마켓",ROUNDDOWN(MIN(O70*$D$17,$E$17),0),ROUNDUP(MIN(O70*$D$17,$E$17),0)),0))</f>
        <v/>
      </c>
      <c r="R70" s="22">
        <f>IF(O70="","",IF(O70&gt;=$C$18,IF(B70="G마켓",ROUNDDOWN(MIN(O70*$D$18,$E$18),0),ROUNDUP(MIN(O70*$D$18,$E$18),0)),0))</f>
        <v/>
      </c>
      <c r="S70" s="22">
        <f>IF(O70="","",IF(O70&gt;=$C$19,IF(B70="G마켓",ROUNDDOWN(MIN(O70*$D$19,$E$19),0),ROUNDUP(MIN(O70*$D$19,$E$19),0)),0))</f>
        <v/>
      </c>
      <c r="T70" s="21">
        <f>IF(O70="","",MAX(Q70,R70,S70))</f>
        <v/>
      </c>
      <c r="U70" s="23">
        <f>IF(O70="","",O70-T70)</f>
        <v/>
      </c>
      <c r="V70" s="22">
        <f>IF(O70="","",IF(B70="G마켓",ROUNDDOWN(MAX(Q70*$G$17,R70*$G$18,S70*$G$19),0),ROUNDUP(MAX(Q70*$G$17,R70*$G$18,S70*$G$19),0)))</f>
        <v/>
      </c>
      <c r="W70" s="23">
        <f>IF(G70="","",IF(B70="G마켓",ROUNDDOWN(G70-G70*$Q$6-V70,0),ROUNDUP(G70-G70*$Q$6-V70,0)))</f>
        <v/>
      </c>
    </row>
    <row r="71">
      <c r="B71" s="6" t="n"/>
      <c r="C71" s="6" t="n"/>
      <c r="D71" s="24" t="n"/>
      <c r="E71" s="25" t="n"/>
      <c r="F71" s="25" t="n"/>
      <c r="G71" s="21">
        <f>IF(E71="","",E71-N(F71))</f>
        <v/>
      </c>
      <c r="I71" s="22">
        <f>IF(G71="","",IF(G71&gt;=$C$10,IF(B71="G마켓",ROUNDDOWN(MIN(G71*$D$10,$E$10),0),ROUNDUP(MIN(G71*$D$10,$E$10),0)),0))</f>
        <v/>
      </c>
      <c r="J71" s="22">
        <f>IF(G71="","",IF(G71&gt;=$C$11,IF(B71="G마켓",ROUNDDOWN(MIN(G71*$D$11,$E$11),0),ROUNDUP(MIN(G71*$D$11,$E$11),0)),0))</f>
        <v/>
      </c>
      <c r="K71" s="22">
        <f>IF(G71="","",IF(G71&gt;=$C$12,IF(B71="G마켓",ROUNDDOWN(MIN(G71*$D$12,$E$12),0),ROUNDUP(MIN(G71*$D$12,$E$12),0)),0))</f>
        <v/>
      </c>
      <c r="L71" s="22">
        <f>IF(G71="","",IF(G71&gt;=$C$13,IF(B71="G마켓",ROUNDDOWN(MIN(G71*$D$13,$E$13),0),ROUNDUP(MIN(G71*$D$13,$E$13),0)),0))</f>
        <v/>
      </c>
      <c r="N71" s="21">
        <f>IF(G71="","",MAX(I71,J71,K71,L71))</f>
        <v/>
      </c>
      <c r="O71" s="21">
        <f>IF(G71="","",G71-N71)</f>
        <v/>
      </c>
      <c r="Q71" s="22">
        <f>IF(O71="","",IF(O71&gt;=$C$17,IF(B71="G마켓",ROUNDDOWN(MIN(O71*$D$17,$E$17),0),ROUNDUP(MIN(O71*$D$17,$E$17),0)),0))</f>
        <v/>
      </c>
      <c r="R71" s="22">
        <f>IF(O71="","",IF(O71&gt;=$C$18,IF(B71="G마켓",ROUNDDOWN(MIN(O71*$D$18,$E$18),0),ROUNDUP(MIN(O71*$D$18,$E$18),0)),0))</f>
        <v/>
      </c>
      <c r="S71" s="22">
        <f>IF(O71="","",IF(O71&gt;=$C$19,IF(B71="G마켓",ROUNDDOWN(MIN(O71*$D$19,$E$19),0),ROUNDUP(MIN(O71*$D$19,$E$19),0)),0))</f>
        <v/>
      </c>
      <c r="T71" s="21">
        <f>IF(O71="","",MAX(Q71,R71,S71))</f>
        <v/>
      </c>
      <c r="U71" s="23">
        <f>IF(O71="","",O71-T71)</f>
        <v/>
      </c>
      <c r="V71" s="22">
        <f>IF(O71="","",IF(B71="G마켓",ROUNDDOWN(MAX(Q71*$G$17,R71*$G$18,S71*$G$19),0),ROUNDUP(MAX(Q71*$G$17,R71*$G$18,S71*$G$19),0)))</f>
        <v/>
      </c>
      <c r="W71" s="23">
        <f>IF(G71="","",IF(B71="G마켓",ROUNDDOWN(G71-G71*$Q$6-V71,0),ROUNDUP(G71-G71*$Q$6-V71,0)))</f>
        <v/>
      </c>
    </row>
    <row r="72">
      <c r="B72" s="6" t="n"/>
      <c r="C72" s="6" t="n"/>
      <c r="D72" s="24" t="n"/>
      <c r="E72" s="25" t="n"/>
      <c r="F72" s="25" t="n"/>
      <c r="G72" s="21">
        <f>IF(E72="","",E72-N(F72))</f>
        <v/>
      </c>
      <c r="I72" s="22">
        <f>IF(G72="","",IF(G72&gt;=$C$10,IF(B72="G마켓",ROUNDDOWN(MIN(G72*$D$10,$E$10),0),ROUNDUP(MIN(G72*$D$10,$E$10),0)),0))</f>
        <v/>
      </c>
      <c r="J72" s="22">
        <f>IF(G72="","",IF(G72&gt;=$C$11,IF(B72="G마켓",ROUNDDOWN(MIN(G72*$D$11,$E$11),0),ROUNDUP(MIN(G72*$D$11,$E$11),0)),0))</f>
        <v/>
      </c>
      <c r="K72" s="22">
        <f>IF(G72="","",IF(G72&gt;=$C$12,IF(B72="G마켓",ROUNDDOWN(MIN(G72*$D$12,$E$12),0),ROUNDUP(MIN(G72*$D$12,$E$12),0)),0))</f>
        <v/>
      </c>
      <c r="L72" s="22">
        <f>IF(G72="","",IF(G72&gt;=$C$13,IF(B72="G마켓",ROUNDDOWN(MIN(G72*$D$13,$E$13),0),ROUNDUP(MIN(G72*$D$13,$E$13),0)),0))</f>
        <v/>
      </c>
      <c r="N72" s="21">
        <f>IF(G72="","",MAX(I72,J72,K72,L72))</f>
        <v/>
      </c>
      <c r="O72" s="21">
        <f>IF(G72="","",G72-N72)</f>
        <v/>
      </c>
      <c r="Q72" s="22">
        <f>IF(O72="","",IF(O72&gt;=$C$17,IF(B72="G마켓",ROUNDDOWN(MIN(O72*$D$17,$E$17),0),ROUNDUP(MIN(O72*$D$17,$E$17),0)),0))</f>
        <v/>
      </c>
      <c r="R72" s="22">
        <f>IF(O72="","",IF(O72&gt;=$C$18,IF(B72="G마켓",ROUNDDOWN(MIN(O72*$D$18,$E$18),0),ROUNDUP(MIN(O72*$D$18,$E$18),0)),0))</f>
        <v/>
      </c>
      <c r="S72" s="22">
        <f>IF(O72="","",IF(O72&gt;=$C$19,IF(B72="G마켓",ROUNDDOWN(MIN(O72*$D$19,$E$19),0),ROUNDUP(MIN(O72*$D$19,$E$19),0)),0))</f>
        <v/>
      </c>
      <c r="T72" s="21">
        <f>IF(O72="","",MAX(Q72,R72,S72))</f>
        <v/>
      </c>
      <c r="U72" s="23">
        <f>IF(O72="","",O72-T72)</f>
        <v/>
      </c>
      <c r="V72" s="22">
        <f>IF(O72="","",IF(B72="G마켓",ROUNDDOWN(MAX(Q72*$G$17,R72*$G$18,S72*$G$19),0),ROUNDUP(MAX(Q72*$G$17,R72*$G$18,S72*$G$19),0)))</f>
        <v/>
      </c>
      <c r="W72" s="23">
        <f>IF(G72="","",IF(B72="G마켓",ROUNDDOWN(G72-G72*$Q$6-V72,0),ROUNDUP(G72-G72*$Q$6-V72,0)))</f>
        <v/>
      </c>
    </row>
    <row r="73">
      <c r="B73" s="6" t="n"/>
      <c r="C73" s="6" t="n"/>
      <c r="D73" s="24" t="n"/>
      <c r="E73" s="25" t="n"/>
      <c r="F73" s="25" t="n"/>
      <c r="G73" s="21">
        <f>IF(E73="","",E73-N(F73))</f>
        <v/>
      </c>
      <c r="I73" s="22">
        <f>IF(G73="","",IF(G73&gt;=$C$10,IF(B73="G마켓",ROUNDDOWN(MIN(G73*$D$10,$E$10),0),ROUNDUP(MIN(G73*$D$10,$E$10),0)),0))</f>
        <v/>
      </c>
      <c r="J73" s="22">
        <f>IF(G73="","",IF(G73&gt;=$C$11,IF(B73="G마켓",ROUNDDOWN(MIN(G73*$D$11,$E$11),0),ROUNDUP(MIN(G73*$D$11,$E$11),0)),0))</f>
        <v/>
      </c>
      <c r="K73" s="22">
        <f>IF(G73="","",IF(G73&gt;=$C$12,IF(B73="G마켓",ROUNDDOWN(MIN(G73*$D$12,$E$12),0),ROUNDUP(MIN(G73*$D$12,$E$12),0)),0))</f>
        <v/>
      </c>
      <c r="L73" s="22">
        <f>IF(G73="","",IF(G73&gt;=$C$13,IF(B73="G마켓",ROUNDDOWN(MIN(G73*$D$13,$E$13),0),ROUNDUP(MIN(G73*$D$13,$E$13),0)),0))</f>
        <v/>
      </c>
      <c r="N73" s="21">
        <f>IF(G73="","",MAX(I73,J73,K73,L73))</f>
        <v/>
      </c>
      <c r="O73" s="21">
        <f>IF(G73="","",G73-N73)</f>
        <v/>
      </c>
      <c r="Q73" s="22">
        <f>IF(O73="","",IF(O73&gt;=$C$17,IF(B73="G마켓",ROUNDDOWN(MIN(O73*$D$17,$E$17),0),ROUNDUP(MIN(O73*$D$17,$E$17),0)),0))</f>
        <v/>
      </c>
      <c r="R73" s="22">
        <f>IF(O73="","",IF(O73&gt;=$C$18,IF(B73="G마켓",ROUNDDOWN(MIN(O73*$D$18,$E$18),0),ROUNDUP(MIN(O73*$D$18,$E$18),0)),0))</f>
        <v/>
      </c>
      <c r="S73" s="22">
        <f>IF(O73="","",IF(O73&gt;=$C$19,IF(B73="G마켓",ROUNDDOWN(MIN(O73*$D$19,$E$19),0),ROUNDUP(MIN(O73*$D$19,$E$19),0)),0))</f>
        <v/>
      </c>
      <c r="T73" s="21">
        <f>IF(O73="","",MAX(Q73,R73,S73))</f>
        <v/>
      </c>
      <c r="U73" s="23">
        <f>IF(O73="","",O73-T73)</f>
        <v/>
      </c>
      <c r="V73" s="22">
        <f>IF(O73="","",IF(B73="G마켓",ROUNDDOWN(MAX(Q73*$G$17,R73*$G$18,S73*$G$19),0),ROUNDUP(MAX(Q73*$G$17,R73*$G$18,S73*$G$19),0)))</f>
        <v/>
      </c>
      <c r="W73" s="23">
        <f>IF(G73="","",IF(B73="G마켓",ROUNDDOWN(G73-G73*$Q$6-V73,0),ROUNDUP(G73-G73*$Q$6-V73,0)))</f>
        <v/>
      </c>
    </row>
    <row r="74">
      <c r="B74" s="6" t="n"/>
      <c r="C74" s="6" t="n"/>
      <c r="D74" s="24" t="n"/>
      <c r="E74" s="25" t="n"/>
      <c r="F74" s="25" t="n"/>
      <c r="G74" s="21">
        <f>IF(E74="","",E74-N(F74))</f>
        <v/>
      </c>
      <c r="I74" s="22">
        <f>IF(G74="","",IF(G74&gt;=$C$10,IF(B74="G마켓",ROUNDDOWN(MIN(G74*$D$10,$E$10),0),ROUNDUP(MIN(G74*$D$10,$E$10),0)),0))</f>
        <v/>
      </c>
      <c r="J74" s="22">
        <f>IF(G74="","",IF(G74&gt;=$C$11,IF(B74="G마켓",ROUNDDOWN(MIN(G74*$D$11,$E$11),0),ROUNDUP(MIN(G74*$D$11,$E$11),0)),0))</f>
        <v/>
      </c>
      <c r="K74" s="22">
        <f>IF(G74="","",IF(G74&gt;=$C$12,IF(B74="G마켓",ROUNDDOWN(MIN(G74*$D$12,$E$12),0),ROUNDUP(MIN(G74*$D$12,$E$12),0)),0))</f>
        <v/>
      </c>
      <c r="L74" s="22">
        <f>IF(G74="","",IF(G74&gt;=$C$13,IF(B74="G마켓",ROUNDDOWN(MIN(G74*$D$13,$E$13),0),ROUNDUP(MIN(G74*$D$13,$E$13),0)),0))</f>
        <v/>
      </c>
      <c r="N74" s="21">
        <f>IF(G74="","",MAX(I74,J74,K74,L74))</f>
        <v/>
      </c>
      <c r="O74" s="21">
        <f>IF(G74="","",G74-N74)</f>
        <v/>
      </c>
      <c r="Q74" s="22">
        <f>IF(O74="","",IF(O74&gt;=$C$17,IF(B74="G마켓",ROUNDDOWN(MIN(O74*$D$17,$E$17),0),ROUNDUP(MIN(O74*$D$17,$E$17),0)),0))</f>
        <v/>
      </c>
      <c r="R74" s="22">
        <f>IF(O74="","",IF(O74&gt;=$C$18,IF(B74="G마켓",ROUNDDOWN(MIN(O74*$D$18,$E$18),0),ROUNDUP(MIN(O74*$D$18,$E$18),0)),0))</f>
        <v/>
      </c>
      <c r="S74" s="22">
        <f>IF(O74="","",IF(O74&gt;=$C$19,IF(B74="G마켓",ROUNDDOWN(MIN(O74*$D$19,$E$19),0),ROUNDUP(MIN(O74*$D$19,$E$19),0)),0))</f>
        <v/>
      </c>
      <c r="T74" s="21">
        <f>IF(O74="","",MAX(Q74,R74,S74))</f>
        <v/>
      </c>
      <c r="U74" s="23">
        <f>IF(O74="","",O74-T74)</f>
        <v/>
      </c>
      <c r="V74" s="22">
        <f>IF(O74="","",IF(B74="G마켓",ROUNDDOWN(MAX(Q74*$G$17,R74*$G$18,S74*$G$19),0),ROUNDUP(MAX(Q74*$G$17,R74*$G$18,S74*$G$19),0)))</f>
        <v/>
      </c>
      <c r="W74" s="23">
        <f>IF(G74="","",IF(B74="G마켓",ROUNDDOWN(G74-G74*$Q$6-V74,0),ROUNDUP(G74-G74*$Q$6-V74,0)))</f>
        <v/>
      </c>
    </row>
    <row r="75">
      <c r="B75" s="6" t="n"/>
      <c r="C75" s="6" t="n"/>
      <c r="D75" s="24" t="n"/>
      <c r="E75" s="25" t="n"/>
      <c r="F75" s="25" t="n"/>
      <c r="G75" s="21">
        <f>IF(E75="","",E75-N(F75))</f>
        <v/>
      </c>
      <c r="I75" s="22">
        <f>IF(G75="","",IF(G75&gt;=$C$10,IF(B75="G마켓",ROUNDDOWN(MIN(G75*$D$10,$E$10),0),ROUNDUP(MIN(G75*$D$10,$E$10),0)),0))</f>
        <v/>
      </c>
      <c r="J75" s="22">
        <f>IF(G75="","",IF(G75&gt;=$C$11,IF(B75="G마켓",ROUNDDOWN(MIN(G75*$D$11,$E$11),0),ROUNDUP(MIN(G75*$D$11,$E$11),0)),0))</f>
        <v/>
      </c>
      <c r="K75" s="22">
        <f>IF(G75="","",IF(G75&gt;=$C$12,IF(B75="G마켓",ROUNDDOWN(MIN(G75*$D$12,$E$12),0),ROUNDUP(MIN(G75*$D$12,$E$12),0)),0))</f>
        <v/>
      </c>
      <c r="L75" s="22">
        <f>IF(G75="","",IF(G75&gt;=$C$13,IF(B75="G마켓",ROUNDDOWN(MIN(G75*$D$13,$E$13),0),ROUNDUP(MIN(G75*$D$13,$E$13),0)),0))</f>
        <v/>
      </c>
      <c r="N75" s="21">
        <f>IF(G75="","",MAX(I75,J75,K75,L75))</f>
        <v/>
      </c>
      <c r="O75" s="21">
        <f>IF(G75="","",G75-N75)</f>
        <v/>
      </c>
      <c r="Q75" s="22">
        <f>IF(O75="","",IF(O75&gt;=$C$17,IF(B75="G마켓",ROUNDDOWN(MIN(O75*$D$17,$E$17),0),ROUNDUP(MIN(O75*$D$17,$E$17),0)),0))</f>
        <v/>
      </c>
      <c r="R75" s="22">
        <f>IF(O75="","",IF(O75&gt;=$C$18,IF(B75="G마켓",ROUNDDOWN(MIN(O75*$D$18,$E$18),0),ROUNDUP(MIN(O75*$D$18,$E$18),0)),0))</f>
        <v/>
      </c>
      <c r="S75" s="22">
        <f>IF(O75="","",IF(O75&gt;=$C$19,IF(B75="G마켓",ROUNDDOWN(MIN(O75*$D$19,$E$19),0),ROUNDUP(MIN(O75*$D$19,$E$19),0)),0))</f>
        <v/>
      </c>
      <c r="T75" s="21">
        <f>IF(O75="","",MAX(Q75,R75,S75))</f>
        <v/>
      </c>
      <c r="U75" s="23">
        <f>IF(O75="","",O75-T75)</f>
        <v/>
      </c>
      <c r="V75" s="22">
        <f>IF(O75="","",IF(B75="G마켓",ROUNDDOWN(MAX(Q75*$G$17,R75*$G$18,S75*$G$19),0),ROUNDUP(MAX(Q75*$G$17,R75*$G$18,S75*$G$19),0)))</f>
        <v/>
      </c>
      <c r="W75" s="23">
        <f>IF(G75="","",IF(B75="G마켓",ROUNDDOWN(G75-G75*$Q$6-V75,0),ROUNDUP(G75-G75*$Q$6-V75,0)))</f>
        <v/>
      </c>
    </row>
    <row r="76">
      <c r="B76" s="6" t="n"/>
      <c r="C76" s="6" t="n"/>
      <c r="D76" s="24" t="n"/>
      <c r="E76" s="25" t="n"/>
      <c r="F76" s="25" t="n"/>
      <c r="G76" s="21">
        <f>IF(E76="","",E76-N(F76))</f>
        <v/>
      </c>
      <c r="I76" s="22">
        <f>IF(G76="","",IF(G76&gt;=$C$10,IF(B76="G마켓",ROUNDDOWN(MIN(G76*$D$10,$E$10),0),ROUNDUP(MIN(G76*$D$10,$E$10),0)),0))</f>
        <v/>
      </c>
      <c r="J76" s="22">
        <f>IF(G76="","",IF(G76&gt;=$C$11,IF(B76="G마켓",ROUNDDOWN(MIN(G76*$D$11,$E$11),0),ROUNDUP(MIN(G76*$D$11,$E$11),0)),0))</f>
        <v/>
      </c>
      <c r="K76" s="22">
        <f>IF(G76="","",IF(G76&gt;=$C$12,IF(B76="G마켓",ROUNDDOWN(MIN(G76*$D$12,$E$12),0),ROUNDUP(MIN(G76*$D$12,$E$12),0)),0))</f>
        <v/>
      </c>
      <c r="L76" s="22">
        <f>IF(G76="","",IF(G76&gt;=$C$13,IF(B76="G마켓",ROUNDDOWN(MIN(G76*$D$13,$E$13),0),ROUNDUP(MIN(G76*$D$13,$E$13),0)),0))</f>
        <v/>
      </c>
      <c r="N76" s="21">
        <f>IF(G76="","",MAX(I76,J76,K76,L76))</f>
        <v/>
      </c>
      <c r="O76" s="21">
        <f>IF(G76="","",G76-N76)</f>
        <v/>
      </c>
      <c r="Q76" s="22">
        <f>IF(O76="","",IF(O76&gt;=$C$17,IF(B76="G마켓",ROUNDDOWN(MIN(O76*$D$17,$E$17),0),ROUNDUP(MIN(O76*$D$17,$E$17),0)),0))</f>
        <v/>
      </c>
      <c r="R76" s="22">
        <f>IF(O76="","",IF(O76&gt;=$C$18,IF(B76="G마켓",ROUNDDOWN(MIN(O76*$D$18,$E$18),0),ROUNDUP(MIN(O76*$D$18,$E$18),0)),0))</f>
        <v/>
      </c>
      <c r="S76" s="22">
        <f>IF(O76="","",IF(O76&gt;=$C$19,IF(B76="G마켓",ROUNDDOWN(MIN(O76*$D$19,$E$19),0),ROUNDUP(MIN(O76*$D$19,$E$19),0)),0))</f>
        <v/>
      </c>
      <c r="T76" s="21">
        <f>IF(O76="","",MAX(Q76,R76,S76))</f>
        <v/>
      </c>
      <c r="U76" s="23">
        <f>IF(O76="","",O76-T76)</f>
        <v/>
      </c>
      <c r="V76" s="22">
        <f>IF(O76="","",IF(B76="G마켓",ROUNDDOWN(MAX(Q76*$G$17,R76*$G$18,S76*$G$19),0),ROUNDUP(MAX(Q76*$G$17,R76*$G$18,S76*$G$19),0)))</f>
        <v/>
      </c>
      <c r="W76" s="23">
        <f>IF(G76="","",IF(B76="G마켓",ROUNDDOWN(G76-G76*$Q$6-V76,0),ROUNDUP(G76-G76*$Q$6-V76,0)))</f>
        <v/>
      </c>
    </row>
    <row r="77">
      <c r="B77" s="6" t="n"/>
      <c r="C77" s="6" t="n"/>
      <c r="D77" s="24" t="n"/>
      <c r="E77" s="25" t="n"/>
      <c r="F77" s="25" t="n"/>
      <c r="G77" s="21">
        <f>IF(E77="","",E77-N(F77))</f>
        <v/>
      </c>
      <c r="I77" s="22">
        <f>IF(G77="","",IF(G77&gt;=$C$10,IF(B77="G마켓",ROUNDDOWN(MIN(G77*$D$10,$E$10),0),ROUNDUP(MIN(G77*$D$10,$E$10),0)),0))</f>
        <v/>
      </c>
      <c r="J77" s="22">
        <f>IF(G77="","",IF(G77&gt;=$C$11,IF(B77="G마켓",ROUNDDOWN(MIN(G77*$D$11,$E$11),0),ROUNDUP(MIN(G77*$D$11,$E$11),0)),0))</f>
        <v/>
      </c>
      <c r="K77" s="22">
        <f>IF(G77="","",IF(G77&gt;=$C$12,IF(B77="G마켓",ROUNDDOWN(MIN(G77*$D$12,$E$12),0),ROUNDUP(MIN(G77*$D$12,$E$12),0)),0))</f>
        <v/>
      </c>
      <c r="L77" s="22">
        <f>IF(G77="","",IF(G77&gt;=$C$13,IF(B77="G마켓",ROUNDDOWN(MIN(G77*$D$13,$E$13),0),ROUNDUP(MIN(G77*$D$13,$E$13),0)),0))</f>
        <v/>
      </c>
      <c r="N77" s="21">
        <f>IF(G77="","",MAX(I77,J77,K77,L77))</f>
        <v/>
      </c>
      <c r="O77" s="21">
        <f>IF(G77="","",G77-N77)</f>
        <v/>
      </c>
      <c r="Q77" s="22">
        <f>IF(O77="","",IF(O77&gt;=$C$17,IF(B77="G마켓",ROUNDDOWN(MIN(O77*$D$17,$E$17),0),ROUNDUP(MIN(O77*$D$17,$E$17),0)),0))</f>
        <v/>
      </c>
      <c r="R77" s="22">
        <f>IF(O77="","",IF(O77&gt;=$C$18,IF(B77="G마켓",ROUNDDOWN(MIN(O77*$D$18,$E$18),0),ROUNDUP(MIN(O77*$D$18,$E$18),0)),0))</f>
        <v/>
      </c>
      <c r="S77" s="22">
        <f>IF(O77="","",IF(O77&gt;=$C$19,IF(B77="G마켓",ROUNDDOWN(MIN(O77*$D$19,$E$19),0),ROUNDUP(MIN(O77*$D$19,$E$19),0)),0))</f>
        <v/>
      </c>
      <c r="T77" s="21">
        <f>IF(O77="","",MAX(Q77,R77,S77))</f>
        <v/>
      </c>
      <c r="U77" s="23">
        <f>IF(O77="","",O77-T77)</f>
        <v/>
      </c>
      <c r="V77" s="22">
        <f>IF(O77="","",IF(B77="G마켓",ROUNDDOWN(MAX(Q77*$G$17,R77*$G$18,S77*$G$19),0),ROUNDUP(MAX(Q77*$G$17,R77*$G$18,S77*$G$19),0)))</f>
        <v/>
      </c>
      <c r="W77" s="23">
        <f>IF(G77="","",IF(B77="G마켓",ROUNDDOWN(G77-G77*$Q$6-V77,0),ROUNDUP(G77-G77*$Q$6-V77,0)))</f>
        <v/>
      </c>
    </row>
    <row r="78">
      <c r="B78" s="6" t="n"/>
      <c r="C78" s="6" t="n"/>
      <c r="D78" s="24" t="n"/>
      <c r="E78" s="25" t="n"/>
      <c r="F78" s="25" t="n"/>
      <c r="G78" s="21">
        <f>IF(E78="","",E78-N(F78))</f>
        <v/>
      </c>
      <c r="I78" s="22">
        <f>IF(G78="","",IF(G78&gt;=$C$10,IF(B78="G마켓",ROUNDDOWN(MIN(G78*$D$10,$E$10),0),ROUNDUP(MIN(G78*$D$10,$E$10),0)),0))</f>
        <v/>
      </c>
      <c r="J78" s="22">
        <f>IF(G78="","",IF(G78&gt;=$C$11,IF(B78="G마켓",ROUNDDOWN(MIN(G78*$D$11,$E$11),0),ROUNDUP(MIN(G78*$D$11,$E$11),0)),0))</f>
        <v/>
      </c>
      <c r="K78" s="22">
        <f>IF(G78="","",IF(G78&gt;=$C$12,IF(B78="G마켓",ROUNDDOWN(MIN(G78*$D$12,$E$12),0),ROUNDUP(MIN(G78*$D$12,$E$12),0)),0))</f>
        <v/>
      </c>
      <c r="L78" s="22">
        <f>IF(G78="","",IF(G78&gt;=$C$13,IF(B78="G마켓",ROUNDDOWN(MIN(G78*$D$13,$E$13),0),ROUNDUP(MIN(G78*$D$13,$E$13),0)),0))</f>
        <v/>
      </c>
      <c r="N78" s="21">
        <f>IF(G78="","",MAX(I78,J78,K78,L78))</f>
        <v/>
      </c>
      <c r="O78" s="21">
        <f>IF(G78="","",G78-N78)</f>
        <v/>
      </c>
      <c r="Q78" s="22">
        <f>IF(O78="","",IF(O78&gt;=$C$17,IF(B78="G마켓",ROUNDDOWN(MIN(O78*$D$17,$E$17),0),ROUNDUP(MIN(O78*$D$17,$E$17),0)),0))</f>
        <v/>
      </c>
      <c r="R78" s="22">
        <f>IF(O78="","",IF(O78&gt;=$C$18,IF(B78="G마켓",ROUNDDOWN(MIN(O78*$D$18,$E$18),0),ROUNDUP(MIN(O78*$D$18,$E$18),0)),0))</f>
        <v/>
      </c>
      <c r="S78" s="22">
        <f>IF(O78="","",IF(O78&gt;=$C$19,IF(B78="G마켓",ROUNDDOWN(MIN(O78*$D$19,$E$19),0),ROUNDUP(MIN(O78*$D$19,$E$19),0)),0))</f>
        <v/>
      </c>
      <c r="T78" s="21">
        <f>IF(O78="","",MAX(Q78,R78,S78))</f>
        <v/>
      </c>
      <c r="U78" s="23">
        <f>IF(O78="","",O78-T78)</f>
        <v/>
      </c>
      <c r="V78" s="22">
        <f>IF(O78="","",IF(B78="G마켓",ROUNDDOWN(MAX(Q78*$G$17,R78*$G$18,S78*$G$19),0),ROUNDUP(MAX(Q78*$G$17,R78*$G$18,S78*$G$19),0)))</f>
        <v/>
      </c>
      <c r="W78" s="23">
        <f>IF(G78="","",IF(B78="G마켓",ROUNDDOWN(G78-G78*$Q$6-V78,0),ROUNDUP(G78-G78*$Q$6-V78,0)))</f>
        <v/>
      </c>
    </row>
    <row r="79">
      <c r="B79" s="6" t="n"/>
      <c r="C79" s="6" t="n"/>
      <c r="D79" s="24" t="n"/>
      <c r="E79" s="25" t="n"/>
      <c r="F79" s="25" t="n"/>
      <c r="G79" s="21">
        <f>IF(E79="","",E79-N(F79))</f>
        <v/>
      </c>
      <c r="I79" s="22">
        <f>IF(G79="","",IF(G79&gt;=$C$10,IF(B79="G마켓",ROUNDDOWN(MIN(G79*$D$10,$E$10),0),ROUNDUP(MIN(G79*$D$10,$E$10),0)),0))</f>
        <v/>
      </c>
      <c r="J79" s="22">
        <f>IF(G79="","",IF(G79&gt;=$C$11,IF(B79="G마켓",ROUNDDOWN(MIN(G79*$D$11,$E$11),0),ROUNDUP(MIN(G79*$D$11,$E$11),0)),0))</f>
        <v/>
      </c>
      <c r="K79" s="22">
        <f>IF(G79="","",IF(G79&gt;=$C$12,IF(B79="G마켓",ROUNDDOWN(MIN(G79*$D$12,$E$12),0),ROUNDUP(MIN(G79*$D$12,$E$12),0)),0))</f>
        <v/>
      </c>
      <c r="L79" s="22">
        <f>IF(G79="","",IF(G79&gt;=$C$13,IF(B79="G마켓",ROUNDDOWN(MIN(G79*$D$13,$E$13),0),ROUNDUP(MIN(G79*$D$13,$E$13),0)),0))</f>
        <v/>
      </c>
      <c r="N79" s="21">
        <f>IF(G79="","",MAX(I79,J79,K79,L79))</f>
        <v/>
      </c>
      <c r="O79" s="21">
        <f>IF(G79="","",G79-N79)</f>
        <v/>
      </c>
      <c r="Q79" s="22">
        <f>IF(O79="","",IF(O79&gt;=$C$17,IF(B79="G마켓",ROUNDDOWN(MIN(O79*$D$17,$E$17),0),ROUNDUP(MIN(O79*$D$17,$E$17),0)),0))</f>
        <v/>
      </c>
      <c r="R79" s="22">
        <f>IF(O79="","",IF(O79&gt;=$C$18,IF(B79="G마켓",ROUNDDOWN(MIN(O79*$D$18,$E$18),0),ROUNDUP(MIN(O79*$D$18,$E$18),0)),0))</f>
        <v/>
      </c>
      <c r="S79" s="22">
        <f>IF(O79="","",IF(O79&gt;=$C$19,IF(B79="G마켓",ROUNDDOWN(MIN(O79*$D$19,$E$19),0),ROUNDUP(MIN(O79*$D$19,$E$19),0)),0))</f>
        <v/>
      </c>
      <c r="T79" s="21">
        <f>IF(O79="","",MAX(Q79,R79,S79))</f>
        <v/>
      </c>
      <c r="U79" s="23">
        <f>IF(O79="","",O79-T79)</f>
        <v/>
      </c>
      <c r="V79" s="22">
        <f>IF(O79="","",IF(B79="G마켓",ROUNDDOWN(MAX(Q79*$G$17,R79*$G$18,S79*$G$19),0),ROUNDUP(MAX(Q79*$G$17,R79*$G$18,S79*$G$19),0)))</f>
        <v/>
      </c>
      <c r="W79" s="23">
        <f>IF(G79="","",IF(B79="G마켓",ROUNDDOWN(G79-G79*$Q$6-V79,0),ROUNDUP(G79-G79*$Q$6-V79,0)))</f>
        <v/>
      </c>
    </row>
    <row r="80">
      <c r="B80" s="6" t="n"/>
      <c r="C80" s="6" t="n"/>
      <c r="D80" s="24" t="n"/>
      <c r="E80" s="25" t="n"/>
      <c r="F80" s="25" t="n"/>
      <c r="G80" s="21">
        <f>IF(E80="","",E80-N(F80))</f>
        <v/>
      </c>
      <c r="I80" s="22">
        <f>IF(G80="","",IF(G80&gt;=$C$10,IF(B80="G마켓",ROUNDDOWN(MIN(G80*$D$10,$E$10),0),ROUNDUP(MIN(G80*$D$10,$E$10),0)),0))</f>
        <v/>
      </c>
      <c r="J80" s="22">
        <f>IF(G80="","",IF(G80&gt;=$C$11,IF(B80="G마켓",ROUNDDOWN(MIN(G80*$D$11,$E$11),0),ROUNDUP(MIN(G80*$D$11,$E$11),0)),0))</f>
        <v/>
      </c>
      <c r="K80" s="22">
        <f>IF(G80="","",IF(G80&gt;=$C$12,IF(B80="G마켓",ROUNDDOWN(MIN(G80*$D$12,$E$12),0),ROUNDUP(MIN(G80*$D$12,$E$12),0)),0))</f>
        <v/>
      </c>
      <c r="L80" s="22">
        <f>IF(G80="","",IF(G80&gt;=$C$13,IF(B80="G마켓",ROUNDDOWN(MIN(G80*$D$13,$E$13),0),ROUNDUP(MIN(G80*$D$13,$E$13),0)),0))</f>
        <v/>
      </c>
      <c r="N80" s="21">
        <f>IF(G80="","",MAX(I80,J80,K80,L80))</f>
        <v/>
      </c>
      <c r="O80" s="21">
        <f>IF(G80="","",G80-N80)</f>
        <v/>
      </c>
      <c r="Q80" s="22">
        <f>IF(O80="","",IF(O80&gt;=$C$17,IF(B80="G마켓",ROUNDDOWN(MIN(O80*$D$17,$E$17),0),ROUNDUP(MIN(O80*$D$17,$E$17),0)),0))</f>
        <v/>
      </c>
      <c r="R80" s="22">
        <f>IF(O80="","",IF(O80&gt;=$C$18,IF(B80="G마켓",ROUNDDOWN(MIN(O80*$D$18,$E$18),0),ROUNDUP(MIN(O80*$D$18,$E$18),0)),0))</f>
        <v/>
      </c>
      <c r="S80" s="22">
        <f>IF(O80="","",IF(O80&gt;=$C$19,IF(B80="G마켓",ROUNDDOWN(MIN(O80*$D$19,$E$19),0),ROUNDUP(MIN(O80*$D$19,$E$19),0)),0))</f>
        <v/>
      </c>
      <c r="T80" s="21">
        <f>IF(O80="","",MAX(Q80,R80,S80))</f>
        <v/>
      </c>
      <c r="U80" s="23">
        <f>IF(O80="","",O80-T80)</f>
        <v/>
      </c>
      <c r="V80" s="22">
        <f>IF(O80="","",IF(B80="G마켓",ROUNDDOWN(MAX(Q80*$G$17,R80*$G$18,S80*$G$19),0),ROUNDUP(MAX(Q80*$G$17,R80*$G$18,S80*$G$19),0)))</f>
        <v/>
      </c>
      <c r="W80" s="23">
        <f>IF(G80="","",IF(B80="G마켓",ROUNDDOWN(G80-G80*$Q$6-V80,0),ROUNDUP(G80-G80*$Q$6-V80,0)))</f>
        <v/>
      </c>
    </row>
    <row r="81">
      <c r="B81" s="6" t="n"/>
      <c r="C81" s="6" t="n"/>
      <c r="D81" s="24" t="n"/>
      <c r="E81" s="25" t="n"/>
      <c r="F81" s="25" t="n"/>
      <c r="G81" s="21">
        <f>IF(E81="","",E81-N(F81))</f>
        <v/>
      </c>
      <c r="I81" s="22">
        <f>IF(G81="","",IF(G81&gt;=$C$10,IF(B81="G마켓",ROUNDDOWN(MIN(G81*$D$10,$E$10),0),ROUNDUP(MIN(G81*$D$10,$E$10),0)),0))</f>
        <v/>
      </c>
      <c r="J81" s="22">
        <f>IF(G81="","",IF(G81&gt;=$C$11,IF(B81="G마켓",ROUNDDOWN(MIN(G81*$D$11,$E$11),0),ROUNDUP(MIN(G81*$D$11,$E$11),0)),0))</f>
        <v/>
      </c>
      <c r="K81" s="22">
        <f>IF(G81="","",IF(G81&gt;=$C$12,IF(B81="G마켓",ROUNDDOWN(MIN(G81*$D$12,$E$12),0),ROUNDUP(MIN(G81*$D$12,$E$12),0)),0))</f>
        <v/>
      </c>
      <c r="L81" s="22">
        <f>IF(G81="","",IF(G81&gt;=$C$13,IF(B81="G마켓",ROUNDDOWN(MIN(G81*$D$13,$E$13),0),ROUNDUP(MIN(G81*$D$13,$E$13),0)),0))</f>
        <v/>
      </c>
      <c r="N81" s="21">
        <f>IF(G81="","",MAX(I81,J81,K81,L81))</f>
        <v/>
      </c>
      <c r="O81" s="21">
        <f>IF(G81="","",G81-N81)</f>
        <v/>
      </c>
      <c r="Q81" s="22">
        <f>IF(O81="","",IF(O81&gt;=$C$17,IF(B81="G마켓",ROUNDDOWN(MIN(O81*$D$17,$E$17),0),ROUNDUP(MIN(O81*$D$17,$E$17),0)),0))</f>
        <v/>
      </c>
      <c r="R81" s="22">
        <f>IF(O81="","",IF(O81&gt;=$C$18,IF(B81="G마켓",ROUNDDOWN(MIN(O81*$D$18,$E$18),0),ROUNDUP(MIN(O81*$D$18,$E$18),0)),0))</f>
        <v/>
      </c>
      <c r="S81" s="22">
        <f>IF(O81="","",IF(O81&gt;=$C$19,IF(B81="G마켓",ROUNDDOWN(MIN(O81*$D$19,$E$19),0),ROUNDUP(MIN(O81*$D$19,$E$19),0)),0))</f>
        <v/>
      </c>
      <c r="T81" s="21">
        <f>IF(O81="","",MAX(Q81,R81,S81))</f>
        <v/>
      </c>
      <c r="U81" s="23">
        <f>IF(O81="","",O81-T81)</f>
        <v/>
      </c>
      <c r="V81" s="22">
        <f>IF(O81="","",IF(B81="G마켓",ROUNDDOWN(MAX(Q81*$G$17,R81*$G$18,S81*$G$19),0),ROUNDUP(MAX(Q81*$G$17,R81*$G$18,S81*$G$19),0)))</f>
        <v/>
      </c>
      <c r="W81" s="23">
        <f>IF(G81="","",IF(B81="G마켓",ROUNDDOWN(G81-G81*$Q$6-V81,0),ROUNDUP(G81-G81*$Q$6-V81,0)))</f>
        <v/>
      </c>
    </row>
    <row r="82">
      <c r="B82" s="6" t="n"/>
      <c r="C82" s="6" t="n"/>
      <c r="D82" s="24" t="n"/>
      <c r="E82" s="25" t="n"/>
      <c r="F82" s="25" t="n"/>
      <c r="G82" s="21">
        <f>IF(E82="","",E82-N(F82))</f>
        <v/>
      </c>
      <c r="I82" s="22">
        <f>IF(G82="","",IF(G82&gt;=$C$10,IF(B82="G마켓",ROUNDDOWN(MIN(G82*$D$10,$E$10),0),ROUNDUP(MIN(G82*$D$10,$E$10),0)),0))</f>
        <v/>
      </c>
      <c r="J82" s="22">
        <f>IF(G82="","",IF(G82&gt;=$C$11,IF(B82="G마켓",ROUNDDOWN(MIN(G82*$D$11,$E$11),0),ROUNDUP(MIN(G82*$D$11,$E$11),0)),0))</f>
        <v/>
      </c>
      <c r="K82" s="22">
        <f>IF(G82="","",IF(G82&gt;=$C$12,IF(B82="G마켓",ROUNDDOWN(MIN(G82*$D$12,$E$12),0),ROUNDUP(MIN(G82*$D$12,$E$12),0)),0))</f>
        <v/>
      </c>
      <c r="L82" s="22">
        <f>IF(G82="","",IF(G82&gt;=$C$13,IF(B82="G마켓",ROUNDDOWN(MIN(G82*$D$13,$E$13),0),ROUNDUP(MIN(G82*$D$13,$E$13),0)),0))</f>
        <v/>
      </c>
      <c r="N82" s="21">
        <f>IF(G82="","",MAX(I82,J82,K82,L82))</f>
        <v/>
      </c>
      <c r="O82" s="21">
        <f>IF(G82="","",G82-N82)</f>
        <v/>
      </c>
      <c r="Q82" s="22">
        <f>IF(O82="","",IF(O82&gt;=$C$17,IF(B82="G마켓",ROUNDDOWN(MIN(O82*$D$17,$E$17),0),ROUNDUP(MIN(O82*$D$17,$E$17),0)),0))</f>
        <v/>
      </c>
      <c r="R82" s="22">
        <f>IF(O82="","",IF(O82&gt;=$C$18,IF(B82="G마켓",ROUNDDOWN(MIN(O82*$D$18,$E$18),0),ROUNDUP(MIN(O82*$D$18,$E$18),0)),0))</f>
        <v/>
      </c>
      <c r="S82" s="22">
        <f>IF(O82="","",IF(O82&gt;=$C$19,IF(B82="G마켓",ROUNDDOWN(MIN(O82*$D$19,$E$19),0),ROUNDUP(MIN(O82*$D$19,$E$19),0)),0))</f>
        <v/>
      </c>
      <c r="T82" s="21">
        <f>IF(O82="","",MAX(Q82,R82,S82))</f>
        <v/>
      </c>
      <c r="U82" s="23">
        <f>IF(O82="","",O82-T82)</f>
        <v/>
      </c>
      <c r="V82" s="22">
        <f>IF(O82="","",IF(B82="G마켓",ROUNDDOWN(MAX(Q82*$G$17,R82*$G$18,S82*$G$19),0),ROUNDUP(MAX(Q82*$G$17,R82*$G$18,S82*$G$19),0)))</f>
        <v/>
      </c>
      <c r="W82" s="23">
        <f>IF(G82="","",IF(B82="G마켓",ROUNDDOWN(G82-G82*$Q$6-V82,0),ROUNDUP(G82-G82*$Q$6-V82,0)))</f>
        <v/>
      </c>
    </row>
    <row r="83">
      <c r="B83" s="6" t="n"/>
      <c r="C83" s="6" t="n"/>
      <c r="D83" s="24" t="n"/>
      <c r="E83" s="25" t="n"/>
      <c r="F83" s="25" t="n"/>
      <c r="G83" s="21">
        <f>IF(E83="","",E83-N(F83))</f>
        <v/>
      </c>
      <c r="I83" s="22">
        <f>IF(G83="","",IF(G83&gt;=$C$10,IF(B83="G마켓",ROUNDDOWN(MIN(G83*$D$10,$E$10),0),ROUNDUP(MIN(G83*$D$10,$E$10),0)),0))</f>
        <v/>
      </c>
      <c r="J83" s="22">
        <f>IF(G83="","",IF(G83&gt;=$C$11,IF(B83="G마켓",ROUNDDOWN(MIN(G83*$D$11,$E$11),0),ROUNDUP(MIN(G83*$D$11,$E$11),0)),0))</f>
        <v/>
      </c>
      <c r="K83" s="22">
        <f>IF(G83="","",IF(G83&gt;=$C$12,IF(B83="G마켓",ROUNDDOWN(MIN(G83*$D$12,$E$12),0),ROUNDUP(MIN(G83*$D$12,$E$12),0)),0))</f>
        <v/>
      </c>
      <c r="L83" s="22">
        <f>IF(G83="","",IF(G83&gt;=$C$13,IF(B83="G마켓",ROUNDDOWN(MIN(G83*$D$13,$E$13),0),ROUNDUP(MIN(G83*$D$13,$E$13),0)),0))</f>
        <v/>
      </c>
      <c r="N83" s="21">
        <f>IF(G83="","",MAX(I83,J83,K83,L83))</f>
        <v/>
      </c>
      <c r="O83" s="21">
        <f>IF(G83="","",G83-N83)</f>
        <v/>
      </c>
      <c r="Q83" s="22">
        <f>IF(O83="","",IF(O83&gt;=$C$17,IF(B83="G마켓",ROUNDDOWN(MIN(O83*$D$17,$E$17),0),ROUNDUP(MIN(O83*$D$17,$E$17),0)),0))</f>
        <v/>
      </c>
      <c r="R83" s="22">
        <f>IF(O83="","",IF(O83&gt;=$C$18,IF(B83="G마켓",ROUNDDOWN(MIN(O83*$D$18,$E$18),0),ROUNDUP(MIN(O83*$D$18,$E$18),0)),0))</f>
        <v/>
      </c>
      <c r="S83" s="22">
        <f>IF(O83="","",IF(O83&gt;=$C$19,IF(B83="G마켓",ROUNDDOWN(MIN(O83*$D$19,$E$19),0),ROUNDUP(MIN(O83*$D$19,$E$19),0)),0))</f>
        <v/>
      </c>
      <c r="T83" s="21">
        <f>IF(O83="","",MAX(Q83,R83,S83))</f>
        <v/>
      </c>
      <c r="U83" s="23">
        <f>IF(O83="","",O83-T83)</f>
        <v/>
      </c>
      <c r="V83" s="22">
        <f>IF(O83="","",IF(B83="G마켓",ROUNDDOWN(MAX(Q83*$G$17,R83*$G$18,S83*$G$19),0),ROUNDUP(MAX(Q83*$G$17,R83*$G$18,S83*$G$19),0)))</f>
        <v/>
      </c>
      <c r="W83" s="23">
        <f>IF(G83="","",IF(B83="G마켓",ROUNDDOWN(G83-G83*$Q$6-V83,0),ROUNDUP(G83-G83*$Q$6-V83,0)))</f>
        <v/>
      </c>
    </row>
    <row r="84">
      <c r="B84" s="6" t="n"/>
      <c r="C84" s="6" t="n"/>
      <c r="D84" s="24" t="n"/>
      <c r="E84" s="25" t="n"/>
      <c r="F84" s="25" t="n"/>
      <c r="G84" s="21">
        <f>IF(E84="","",E84-N(F84))</f>
        <v/>
      </c>
      <c r="I84" s="22">
        <f>IF(G84="","",IF(G84&gt;=$C$10,IF(B84="G마켓",ROUNDDOWN(MIN(G84*$D$10,$E$10),0),ROUNDUP(MIN(G84*$D$10,$E$10),0)),0))</f>
        <v/>
      </c>
      <c r="J84" s="22">
        <f>IF(G84="","",IF(G84&gt;=$C$11,IF(B84="G마켓",ROUNDDOWN(MIN(G84*$D$11,$E$11),0),ROUNDUP(MIN(G84*$D$11,$E$11),0)),0))</f>
        <v/>
      </c>
      <c r="K84" s="22">
        <f>IF(G84="","",IF(G84&gt;=$C$12,IF(B84="G마켓",ROUNDDOWN(MIN(G84*$D$12,$E$12),0),ROUNDUP(MIN(G84*$D$12,$E$12),0)),0))</f>
        <v/>
      </c>
      <c r="L84" s="22">
        <f>IF(G84="","",IF(G84&gt;=$C$13,IF(B84="G마켓",ROUNDDOWN(MIN(G84*$D$13,$E$13),0),ROUNDUP(MIN(G84*$D$13,$E$13),0)),0))</f>
        <v/>
      </c>
      <c r="N84" s="21">
        <f>IF(G84="","",MAX(I84,J84,K84,L84))</f>
        <v/>
      </c>
      <c r="O84" s="21">
        <f>IF(G84="","",G84-N84)</f>
        <v/>
      </c>
      <c r="Q84" s="22">
        <f>IF(O84="","",IF(O84&gt;=$C$17,IF(B84="G마켓",ROUNDDOWN(MIN(O84*$D$17,$E$17),0),ROUNDUP(MIN(O84*$D$17,$E$17),0)),0))</f>
        <v/>
      </c>
      <c r="R84" s="22">
        <f>IF(O84="","",IF(O84&gt;=$C$18,IF(B84="G마켓",ROUNDDOWN(MIN(O84*$D$18,$E$18),0),ROUNDUP(MIN(O84*$D$18,$E$18),0)),0))</f>
        <v/>
      </c>
      <c r="S84" s="22">
        <f>IF(O84="","",IF(O84&gt;=$C$19,IF(B84="G마켓",ROUNDDOWN(MIN(O84*$D$19,$E$19),0),ROUNDUP(MIN(O84*$D$19,$E$19),0)),0))</f>
        <v/>
      </c>
      <c r="T84" s="21">
        <f>IF(O84="","",MAX(Q84,R84,S84))</f>
        <v/>
      </c>
      <c r="U84" s="23">
        <f>IF(O84="","",O84-T84)</f>
        <v/>
      </c>
      <c r="V84" s="22">
        <f>IF(O84="","",IF(B84="G마켓",ROUNDDOWN(MAX(Q84*$G$17,R84*$G$18,S84*$G$19),0),ROUNDUP(MAX(Q84*$G$17,R84*$G$18,S84*$G$19),0)))</f>
        <v/>
      </c>
      <c r="W84" s="23">
        <f>IF(G84="","",IF(B84="G마켓",ROUNDDOWN(G84-G84*$Q$6-V84,0),ROUNDUP(G84-G84*$Q$6-V84,0)))</f>
        <v/>
      </c>
    </row>
    <row r="85">
      <c r="B85" s="6" t="n"/>
      <c r="C85" s="6" t="n"/>
      <c r="D85" s="24" t="n"/>
      <c r="E85" s="25" t="n"/>
      <c r="F85" s="25" t="n"/>
      <c r="G85" s="21">
        <f>IF(E85="","",E85-N(F85))</f>
        <v/>
      </c>
      <c r="I85" s="22">
        <f>IF(G85="","",IF(G85&gt;=$C$10,IF(B85="G마켓",ROUNDDOWN(MIN(G85*$D$10,$E$10),0),ROUNDUP(MIN(G85*$D$10,$E$10),0)),0))</f>
        <v/>
      </c>
      <c r="J85" s="22">
        <f>IF(G85="","",IF(G85&gt;=$C$11,IF(B85="G마켓",ROUNDDOWN(MIN(G85*$D$11,$E$11),0),ROUNDUP(MIN(G85*$D$11,$E$11),0)),0))</f>
        <v/>
      </c>
      <c r="K85" s="22">
        <f>IF(G85="","",IF(G85&gt;=$C$12,IF(B85="G마켓",ROUNDDOWN(MIN(G85*$D$12,$E$12),0),ROUNDUP(MIN(G85*$D$12,$E$12),0)),0))</f>
        <v/>
      </c>
      <c r="L85" s="22">
        <f>IF(G85="","",IF(G85&gt;=$C$13,IF(B85="G마켓",ROUNDDOWN(MIN(G85*$D$13,$E$13),0),ROUNDUP(MIN(G85*$D$13,$E$13),0)),0))</f>
        <v/>
      </c>
      <c r="N85" s="21">
        <f>IF(G85="","",MAX(I85,J85,K85,L85))</f>
        <v/>
      </c>
      <c r="O85" s="21">
        <f>IF(G85="","",G85-N85)</f>
        <v/>
      </c>
      <c r="Q85" s="22">
        <f>IF(O85="","",IF(O85&gt;=$C$17,IF(B85="G마켓",ROUNDDOWN(MIN(O85*$D$17,$E$17),0),ROUNDUP(MIN(O85*$D$17,$E$17),0)),0))</f>
        <v/>
      </c>
      <c r="R85" s="22">
        <f>IF(O85="","",IF(O85&gt;=$C$18,IF(B85="G마켓",ROUNDDOWN(MIN(O85*$D$18,$E$18),0),ROUNDUP(MIN(O85*$D$18,$E$18),0)),0))</f>
        <v/>
      </c>
      <c r="S85" s="22">
        <f>IF(O85="","",IF(O85&gt;=$C$19,IF(B85="G마켓",ROUNDDOWN(MIN(O85*$D$19,$E$19),0),ROUNDUP(MIN(O85*$D$19,$E$19),0)),0))</f>
        <v/>
      </c>
      <c r="T85" s="21">
        <f>IF(O85="","",MAX(Q85,R85,S85))</f>
        <v/>
      </c>
      <c r="U85" s="23">
        <f>IF(O85="","",O85-T85)</f>
        <v/>
      </c>
      <c r="V85" s="22">
        <f>IF(O85="","",IF(B85="G마켓",ROUNDDOWN(MAX(Q85*$G$17,R85*$G$18,S85*$G$19),0),ROUNDUP(MAX(Q85*$G$17,R85*$G$18,S85*$G$19),0)))</f>
        <v/>
      </c>
      <c r="W85" s="23">
        <f>IF(G85="","",IF(B85="G마켓",ROUNDDOWN(G85-G85*$Q$6-V85,0),ROUNDUP(G85-G85*$Q$6-V85,0)))</f>
        <v/>
      </c>
    </row>
    <row r="86">
      <c r="B86" s="6" t="n"/>
      <c r="C86" s="6" t="n"/>
      <c r="D86" s="24" t="n"/>
      <c r="E86" s="25" t="n"/>
      <c r="F86" s="25" t="n"/>
      <c r="G86" s="21">
        <f>IF(E86="","",E86-N(F86))</f>
        <v/>
      </c>
      <c r="I86" s="22">
        <f>IF(G86="","",IF(G86&gt;=$C$10,IF(B86="G마켓",ROUNDDOWN(MIN(G86*$D$10,$E$10),0),ROUNDUP(MIN(G86*$D$10,$E$10),0)),0))</f>
        <v/>
      </c>
      <c r="J86" s="22">
        <f>IF(G86="","",IF(G86&gt;=$C$11,IF(B86="G마켓",ROUNDDOWN(MIN(G86*$D$11,$E$11),0),ROUNDUP(MIN(G86*$D$11,$E$11),0)),0))</f>
        <v/>
      </c>
      <c r="K86" s="22">
        <f>IF(G86="","",IF(G86&gt;=$C$12,IF(B86="G마켓",ROUNDDOWN(MIN(G86*$D$12,$E$12),0),ROUNDUP(MIN(G86*$D$12,$E$12),0)),0))</f>
        <v/>
      </c>
      <c r="L86" s="22">
        <f>IF(G86="","",IF(G86&gt;=$C$13,IF(B86="G마켓",ROUNDDOWN(MIN(G86*$D$13,$E$13),0),ROUNDUP(MIN(G86*$D$13,$E$13),0)),0))</f>
        <v/>
      </c>
      <c r="N86" s="21">
        <f>IF(G86="","",MAX(I86,J86,K86,L86))</f>
        <v/>
      </c>
      <c r="O86" s="21">
        <f>IF(G86="","",G86-N86)</f>
        <v/>
      </c>
      <c r="Q86" s="22">
        <f>IF(O86="","",IF(O86&gt;=$C$17,IF(B86="G마켓",ROUNDDOWN(MIN(O86*$D$17,$E$17),0),ROUNDUP(MIN(O86*$D$17,$E$17),0)),0))</f>
        <v/>
      </c>
      <c r="R86" s="22">
        <f>IF(O86="","",IF(O86&gt;=$C$18,IF(B86="G마켓",ROUNDDOWN(MIN(O86*$D$18,$E$18),0),ROUNDUP(MIN(O86*$D$18,$E$18),0)),0))</f>
        <v/>
      </c>
      <c r="S86" s="22">
        <f>IF(O86="","",IF(O86&gt;=$C$19,IF(B86="G마켓",ROUNDDOWN(MIN(O86*$D$19,$E$19),0),ROUNDUP(MIN(O86*$D$19,$E$19),0)),0))</f>
        <v/>
      </c>
      <c r="T86" s="21">
        <f>IF(O86="","",MAX(Q86,R86,S86))</f>
        <v/>
      </c>
      <c r="U86" s="23">
        <f>IF(O86="","",O86-T86)</f>
        <v/>
      </c>
      <c r="V86" s="22">
        <f>IF(O86="","",IF(B86="G마켓",ROUNDDOWN(MAX(Q86*$G$17,R86*$G$18,S86*$G$19),0),ROUNDUP(MAX(Q86*$G$17,R86*$G$18,S86*$G$19),0)))</f>
        <v/>
      </c>
      <c r="W86" s="23">
        <f>IF(G86="","",IF(B86="G마켓",ROUNDDOWN(G86-G86*$Q$6-V86,0),ROUNDUP(G86-G86*$Q$6-V86,0)))</f>
        <v/>
      </c>
    </row>
    <row r="87">
      <c r="B87" s="6" t="n"/>
      <c r="C87" s="6" t="n"/>
      <c r="D87" s="24" t="n"/>
      <c r="E87" s="25" t="n"/>
      <c r="F87" s="25" t="n"/>
      <c r="G87" s="21">
        <f>IF(E87="","",E87-N(F87))</f>
        <v/>
      </c>
      <c r="I87" s="22">
        <f>IF(G87="","",IF(G87&gt;=$C$10,IF(B87="G마켓",ROUNDDOWN(MIN(G87*$D$10,$E$10),0),ROUNDUP(MIN(G87*$D$10,$E$10),0)),0))</f>
        <v/>
      </c>
      <c r="J87" s="22">
        <f>IF(G87="","",IF(G87&gt;=$C$11,IF(B87="G마켓",ROUNDDOWN(MIN(G87*$D$11,$E$11),0),ROUNDUP(MIN(G87*$D$11,$E$11),0)),0))</f>
        <v/>
      </c>
      <c r="K87" s="22">
        <f>IF(G87="","",IF(G87&gt;=$C$12,IF(B87="G마켓",ROUNDDOWN(MIN(G87*$D$12,$E$12),0),ROUNDUP(MIN(G87*$D$12,$E$12),0)),0))</f>
        <v/>
      </c>
      <c r="L87" s="22">
        <f>IF(G87="","",IF(G87&gt;=$C$13,IF(B87="G마켓",ROUNDDOWN(MIN(G87*$D$13,$E$13),0),ROUNDUP(MIN(G87*$D$13,$E$13),0)),0))</f>
        <v/>
      </c>
      <c r="N87" s="21">
        <f>IF(G87="","",MAX(I87,J87,K87,L87))</f>
        <v/>
      </c>
      <c r="O87" s="21">
        <f>IF(G87="","",G87-N87)</f>
        <v/>
      </c>
      <c r="Q87" s="22">
        <f>IF(O87="","",IF(O87&gt;=$C$17,IF(B87="G마켓",ROUNDDOWN(MIN(O87*$D$17,$E$17),0),ROUNDUP(MIN(O87*$D$17,$E$17),0)),0))</f>
        <v/>
      </c>
      <c r="R87" s="22">
        <f>IF(O87="","",IF(O87&gt;=$C$18,IF(B87="G마켓",ROUNDDOWN(MIN(O87*$D$18,$E$18),0),ROUNDUP(MIN(O87*$D$18,$E$18),0)),0))</f>
        <v/>
      </c>
      <c r="S87" s="22">
        <f>IF(O87="","",IF(O87&gt;=$C$19,IF(B87="G마켓",ROUNDDOWN(MIN(O87*$D$19,$E$19),0),ROUNDUP(MIN(O87*$D$19,$E$19),0)),0))</f>
        <v/>
      </c>
      <c r="T87" s="21">
        <f>IF(O87="","",MAX(Q87,R87,S87))</f>
        <v/>
      </c>
      <c r="U87" s="23">
        <f>IF(O87="","",O87-T87)</f>
        <v/>
      </c>
      <c r="V87" s="22">
        <f>IF(O87="","",IF(B87="G마켓",ROUNDDOWN(MAX(Q87*$G$17,R87*$G$18,S87*$G$19),0),ROUNDUP(MAX(Q87*$G$17,R87*$G$18,S87*$G$19),0)))</f>
        <v/>
      </c>
      <c r="W87" s="23">
        <f>IF(G87="","",IF(B87="G마켓",ROUNDDOWN(G87-G87*$Q$6-V87,0),ROUNDUP(G87-G87*$Q$6-V87,0)))</f>
        <v/>
      </c>
    </row>
    <row r="88">
      <c r="B88" s="6" t="n"/>
      <c r="C88" s="6" t="n"/>
      <c r="D88" s="24" t="n"/>
      <c r="E88" s="25" t="n"/>
      <c r="F88" s="25" t="n"/>
      <c r="G88" s="21">
        <f>IF(E88="","",E88-N(F88))</f>
        <v/>
      </c>
      <c r="I88" s="22">
        <f>IF(G88="","",IF(G88&gt;=$C$10,IF(B88="G마켓",ROUNDDOWN(MIN(G88*$D$10,$E$10),0),ROUNDUP(MIN(G88*$D$10,$E$10),0)),0))</f>
        <v/>
      </c>
      <c r="J88" s="22">
        <f>IF(G88="","",IF(G88&gt;=$C$11,IF(B88="G마켓",ROUNDDOWN(MIN(G88*$D$11,$E$11),0),ROUNDUP(MIN(G88*$D$11,$E$11),0)),0))</f>
        <v/>
      </c>
      <c r="K88" s="22">
        <f>IF(G88="","",IF(G88&gt;=$C$12,IF(B88="G마켓",ROUNDDOWN(MIN(G88*$D$12,$E$12),0),ROUNDUP(MIN(G88*$D$12,$E$12),0)),0))</f>
        <v/>
      </c>
      <c r="L88" s="22">
        <f>IF(G88="","",IF(G88&gt;=$C$13,IF(B88="G마켓",ROUNDDOWN(MIN(G88*$D$13,$E$13),0),ROUNDUP(MIN(G88*$D$13,$E$13),0)),0))</f>
        <v/>
      </c>
      <c r="N88" s="21">
        <f>IF(G88="","",MAX(I88,J88,K88,L88))</f>
        <v/>
      </c>
      <c r="O88" s="21">
        <f>IF(G88="","",G88-N88)</f>
        <v/>
      </c>
      <c r="Q88" s="22">
        <f>IF(O88="","",IF(O88&gt;=$C$17,IF(B88="G마켓",ROUNDDOWN(MIN(O88*$D$17,$E$17),0),ROUNDUP(MIN(O88*$D$17,$E$17),0)),0))</f>
        <v/>
      </c>
      <c r="R88" s="22">
        <f>IF(O88="","",IF(O88&gt;=$C$18,IF(B88="G마켓",ROUNDDOWN(MIN(O88*$D$18,$E$18),0),ROUNDUP(MIN(O88*$D$18,$E$18),0)),0))</f>
        <v/>
      </c>
      <c r="S88" s="22">
        <f>IF(O88="","",IF(O88&gt;=$C$19,IF(B88="G마켓",ROUNDDOWN(MIN(O88*$D$19,$E$19),0),ROUNDUP(MIN(O88*$D$19,$E$19),0)),0))</f>
        <v/>
      </c>
      <c r="T88" s="21">
        <f>IF(O88="","",MAX(Q88,R88,S88))</f>
        <v/>
      </c>
      <c r="U88" s="23">
        <f>IF(O88="","",O88-T88)</f>
        <v/>
      </c>
      <c r="V88" s="22">
        <f>IF(O88="","",IF(B88="G마켓",ROUNDDOWN(MAX(Q88*$G$17,R88*$G$18,S88*$G$19),0),ROUNDUP(MAX(Q88*$G$17,R88*$G$18,S88*$G$19),0)))</f>
        <v/>
      </c>
      <c r="W88" s="23">
        <f>IF(G88="","",IF(B88="G마켓",ROUNDDOWN(G88-G88*$Q$6-V88,0),ROUNDUP(G88-G88*$Q$6-V88,0)))</f>
        <v/>
      </c>
    </row>
    <row r="89">
      <c r="B89" s="6" t="n"/>
      <c r="C89" s="6" t="n"/>
      <c r="D89" s="24" t="n"/>
      <c r="E89" s="25" t="n"/>
      <c r="F89" s="25" t="n"/>
      <c r="G89" s="21">
        <f>IF(E89="","",E89-N(F89))</f>
        <v/>
      </c>
      <c r="I89" s="22">
        <f>IF(G89="","",IF(G89&gt;=$C$10,IF(B89="G마켓",ROUNDDOWN(MIN(G89*$D$10,$E$10),0),ROUNDUP(MIN(G89*$D$10,$E$10),0)),0))</f>
        <v/>
      </c>
      <c r="J89" s="22">
        <f>IF(G89="","",IF(G89&gt;=$C$11,IF(B89="G마켓",ROUNDDOWN(MIN(G89*$D$11,$E$11),0),ROUNDUP(MIN(G89*$D$11,$E$11),0)),0))</f>
        <v/>
      </c>
      <c r="K89" s="22">
        <f>IF(G89="","",IF(G89&gt;=$C$12,IF(B89="G마켓",ROUNDDOWN(MIN(G89*$D$12,$E$12),0),ROUNDUP(MIN(G89*$D$12,$E$12),0)),0))</f>
        <v/>
      </c>
      <c r="L89" s="22">
        <f>IF(G89="","",IF(G89&gt;=$C$13,IF(B89="G마켓",ROUNDDOWN(MIN(G89*$D$13,$E$13),0),ROUNDUP(MIN(G89*$D$13,$E$13),0)),0))</f>
        <v/>
      </c>
      <c r="N89" s="21">
        <f>IF(G89="","",MAX(I89,J89,K89,L89))</f>
        <v/>
      </c>
      <c r="O89" s="21">
        <f>IF(G89="","",G89-N89)</f>
        <v/>
      </c>
      <c r="Q89" s="22">
        <f>IF(O89="","",IF(O89&gt;=$C$17,IF(B89="G마켓",ROUNDDOWN(MIN(O89*$D$17,$E$17),0),ROUNDUP(MIN(O89*$D$17,$E$17),0)),0))</f>
        <v/>
      </c>
      <c r="R89" s="22">
        <f>IF(O89="","",IF(O89&gt;=$C$18,IF(B89="G마켓",ROUNDDOWN(MIN(O89*$D$18,$E$18),0),ROUNDUP(MIN(O89*$D$18,$E$18),0)),0))</f>
        <v/>
      </c>
      <c r="S89" s="22">
        <f>IF(O89="","",IF(O89&gt;=$C$19,IF(B89="G마켓",ROUNDDOWN(MIN(O89*$D$19,$E$19),0),ROUNDUP(MIN(O89*$D$19,$E$19),0)),0))</f>
        <v/>
      </c>
      <c r="T89" s="21">
        <f>IF(O89="","",MAX(Q89,R89,S89))</f>
        <v/>
      </c>
      <c r="U89" s="23">
        <f>IF(O89="","",O89-T89)</f>
        <v/>
      </c>
      <c r="V89" s="22">
        <f>IF(O89="","",IF(B89="G마켓",ROUNDDOWN(MAX(Q89*$G$17,R89*$G$18,S89*$G$19),0),ROUNDUP(MAX(Q89*$G$17,R89*$G$18,S89*$G$19),0)))</f>
        <v/>
      </c>
      <c r="W89" s="23">
        <f>IF(G89="","",IF(B89="G마켓",ROUNDDOWN(G89-G89*$Q$6-V89,0),ROUNDUP(G89-G89*$Q$6-V89,0)))</f>
        <v/>
      </c>
    </row>
    <row r="90">
      <c r="B90" s="6" t="n"/>
      <c r="C90" s="6" t="n"/>
      <c r="D90" s="24" t="n"/>
      <c r="E90" s="25" t="n"/>
      <c r="F90" s="25" t="n"/>
      <c r="G90" s="21">
        <f>IF(E90="","",E90-N(F90))</f>
        <v/>
      </c>
      <c r="I90" s="22">
        <f>IF(G90="","",IF(G90&gt;=$C$10,IF(B90="G마켓",ROUNDDOWN(MIN(G90*$D$10,$E$10),0),ROUNDUP(MIN(G90*$D$10,$E$10),0)),0))</f>
        <v/>
      </c>
      <c r="J90" s="22">
        <f>IF(G90="","",IF(G90&gt;=$C$11,IF(B90="G마켓",ROUNDDOWN(MIN(G90*$D$11,$E$11),0),ROUNDUP(MIN(G90*$D$11,$E$11),0)),0))</f>
        <v/>
      </c>
      <c r="K90" s="22">
        <f>IF(G90="","",IF(G90&gt;=$C$12,IF(B90="G마켓",ROUNDDOWN(MIN(G90*$D$12,$E$12),0),ROUNDUP(MIN(G90*$D$12,$E$12),0)),0))</f>
        <v/>
      </c>
      <c r="L90" s="22">
        <f>IF(G90="","",IF(G90&gt;=$C$13,IF(B90="G마켓",ROUNDDOWN(MIN(G90*$D$13,$E$13),0),ROUNDUP(MIN(G90*$D$13,$E$13),0)),0))</f>
        <v/>
      </c>
      <c r="N90" s="21">
        <f>IF(G90="","",MAX(I90,J90,K90,L90))</f>
        <v/>
      </c>
      <c r="O90" s="21">
        <f>IF(G90="","",G90-N90)</f>
        <v/>
      </c>
      <c r="Q90" s="22">
        <f>IF(O90="","",IF(O90&gt;=$C$17,IF(B90="G마켓",ROUNDDOWN(MIN(O90*$D$17,$E$17),0),ROUNDUP(MIN(O90*$D$17,$E$17),0)),0))</f>
        <v/>
      </c>
      <c r="R90" s="22">
        <f>IF(O90="","",IF(O90&gt;=$C$18,IF(B90="G마켓",ROUNDDOWN(MIN(O90*$D$18,$E$18),0),ROUNDUP(MIN(O90*$D$18,$E$18),0)),0))</f>
        <v/>
      </c>
      <c r="S90" s="22">
        <f>IF(O90="","",IF(O90&gt;=$C$19,IF(B90="G마켓",ROUNDDOWN(MIN(O90*$D$19,$E$19),0),ROUNDUP(MIN(O90*$D$19,$E$19),0)),0))</f>
        <v/>
      </c>
      <c r="T90" s="21">
        <f>IF(O90="","",MAX(Q90,R90,S90))</f>
        <v/>
      </c>
      <c r="U90" s="23">
        <f>IF(O90="","",O90-T90)</f>
        <v/>
      </c>
      <c r="V90" s="22">
        <f>IF(O90="","",IF(B90="G마켓",ROUNDDOWN(MAX(Q90*$G$17,R90*$G$18,S90*$G$19),0),ROUNDUP(MAX(Q90*$G$17,R90*$G$18,S90*$G$19),0)))</f>
        <v/>
      </c>
      <c r="W90" s="23">
        <f>IF(G90="","",IF(B90="G마켓",ROUNDDOWN(G90-G90*$Q$6-V90,0),ROUNDUP(G90-G90*$Q$6-V90,0)))</f>
        <v/>
      </c>
    </row>
    <row r="91">
      <c r="B91" s="6" t="n"/>
      <c r="C91" s="6" t="n"/>
      <c r="D91" s="24" t="n"/>
      <c r="E91" s="25" t="n"/>
      <c r="F91" s="25" t="n"/>
      <c r="G91" s="21">
        <f>IF(E91="","",E91-N(F91))</f>
        <v/>
      </c>
      <c r="I91" s="22">
        <f>IF(G91="","",IF(G91&gt;=$C$10,IF(B91="G마켓",ROUNDDOWN(MIN(G91*$D$10,$E$10),0),ROUNDUP(MIN(G91*$D$10,$E$10),0)),0))</f>
        <v/>
      </c>
      <c r="J91" s="22">
        <f>IF(G91="","",IF(G91&gt;=$C$11,IF(B91="G마켓",ROUNDDOWN(MIN(G91*$D$11,$E$11),0),ROUNDUP(MIN(G91*$D$11,$E$11),0)),0))</f>
        <v/>
      </c>
      <c r="K91" s="22">
        <f>IF(G91="","",IF(G91&gt;=$C$12,IF(B91="G마켓",ROUNDDOWN(MIN(G91*$D$12,$E$12),0),ROUNDUP(MIN(G91*$D$12,$E$12),0)),0))</f>
        <v/>
      </c>
      <c r="L91" s="22">
        <f>IF(G91="","",IF(G91&gt;=$C$13,IF(B91="G마켓",ROUNDDOWN(MIN(G91*$D$13,$E$13),0),ROUNDUP(MIN(G91*$D$13,$E$13),0)),0))</f>
        <v/>
      </c>
      <c r="N91" s="21">
        <f>IF(G91="","",MAX(I91,J91,K91,L91))</f>
        <v/>
      </c>
      <c r="O91" s="21">
        <f>IF(G91="","",G91-N91)</f>
        <v/>
      </c>
      <c r="Q91" s="22">
        <f>IF(O91="","",IF(O91&gt;=$C$17,IF(B91="G마켓",ROUNDDOWN(MIN(O91*$D$17,$E$17),0),ROUNDUP(MIN(O91*$D$17,$E$17),0)),0))</f>
        <v/>
      </c>
      <c r="R91" s="22">
        <f>IF(O91="","",IF(O91&gt;=$C$18,IF(B91="G마켓",ROUNDDOWN(MIN(O91*$D$18,$E$18),0),ROUNDUP(MIN(O91*$D$18,$E$18),0)),0))</f>
        <v/>
      </c>
      <c r="S91" s="22">
        <f>IF(O91="","",IF(O91&gt;=$C$19,IF(B91="G마켓",ROUNDDOWN(MIN(O91*$D$19,$E$19),0),ROUNDUP(MIN(O91*$D$19,$E$19),0)),0))</f>
        <v/>
      </c>
      <c r="T91" s="21">
        <f>IF(O91="","",MAX(Q91,R91,S91))</f>
        <v/>
      </c>
      <c r="U91" s="23">
        <f>IF(O91="","",O91-T91)</f>
        <v/>
      </c>
      <c r="V91" s="22">
        <f>IF(O91="","",IF(B91="G마켓",ROUNDDOWN(MAX(Q91*$G$17,R91*$G$18,S91*$G$19),0),ROUNDUP(MAX(Q91*$G$17,R91*$G$18,S91*$G$19),0)))</f>
        <v/>
      </c>
      <c r="W91" s="23">
        <f>IF(G91="","",IF(B91="G마켓",ROUNDDOWN(G91-G91*$Q$6-V91,0),ROUNDUP(G91-G91*$Q$6-V91,0)))</f>
        <v/>
      </c>
    </row>
    <row r="92">
      <c r="B92" s="6" t="n"/>
      <c r="C92" s="6" t="n"/>
      <c r="D92" s="24" t="n"/>
      <c r="E92" s="25" t="n"/>
      <c r="F92" s="25" t="n"/>
      <c r="G92" s="21">
        <f>IF(E92="","",E92-N(F92))</f>
        <v/>
      </c>
      <c r="I92" s="22">
        <f>IF(G92="","",IF(G92&gt;=$C$10,IF(B92="G마켓",ROUNDDOWN(MIN(G92*$D$10,$E$10),0),ROUNDUP(MIN(G92*$D$10,$E$10),0)),0))</f>
        <v/>
      </c>
      <c r="J92" s="22">
        <f>IF(G92="","",IF(G92&gt;=$C$11,IF(B92="G마켓",ROUNDDOWN(MIN(G92*$D$11,$E$11),0),ROUNDUP(MIN(G92*$D$11,$E$11),0)),0))</f>
        <v/>
      </c>
      <c r="K92" s="22">
        <f>IF(G92="","",IF(G92&gt;=$C$12,IF(B92="G마켓",ROUNDDOWN(MIN(G92*$D$12,$E$12),0),ROUNDUP(MIN(G92*$D$12,$E$12),0)),0))</f>
        <v/>
      </c>
      <c r="L92" s="22">
        <f>IF(G92="","",IF(G92&gt;=$C$13,IF(B92="G마켓",ROUNDDOWN(MIN(G92*$D$13,$E$13),0),ROUNDUP(MIN(G92*$D$13,$E$13),0)),0))</f>
        <v/>
      </c>
      <c r="N92" s="21">
        <f>IF(G92="","",MAX(I92,J92,K92,L92))</f>
        <v/>
      </c>
      <c r="O92" s="21">
        <f>IF(G92="","",G92-N92)</f>
        <v/>
      </c>
      <c r="Q92" s="22">
        <f>IF(O92="","",IF(O92&gt;=$C$17,IF(B92="G마켓",ROUNDDOWN(MIN(O92*$D$17,$E$17),0),ROUNDUP(MIN(O92*$D$17,$E$17),0)),0))</f>
        <v/>
      </c>
      <c r="R92" s="22">
        <f>IF(O92="","",IF(O92&gt;=$C$18,IF(B92="G마켓",ROUNDDOWN(MIN(O92*$D$18,$E$18),0),ROUNDUP(MIN(O92*$D$18,$E$18),0)),0))</f>
        <v/>
      </c>
      <c r="S92" s="22">
        <f>IF(O92="","",IF(O92&gt;=$C$19,IF(B92="G마켓",ROUNDDOWN(MIN(O92*$D$19,$E$19),0),ROUNDUP(MIN(O92*$D$19,$E$19),0)),0))</f>
        <v/>
      </c>
      <c r="T92" s="21">
        <f>IF(O92="","",MAX(Q92,R92,S92))</f>
        <v/>
      </c>
      <c r="U92" s="23">
        <f>IF(O92="","",O92-T92)</f>
        <v/>
      </c>
      <c r="V92" s="22">
        <f>IF(O92="","",IF(B92="G마켓",ROUNDDOWN(MAX(Q92*$G$17,R92*$G$18,S92*$G$19),0),ROUNDUP(MAX(Q92*$G$17,R92*$G$18,S92*$G$19),0)))</f>
        <v/>
      </c>
      <c r="W92" s="23">
        <f>IF(G92="","",IF(B92="G마켓",ROUNDDOWN(G92-G92*$Q$6-V92,0),ROUNDUP(G92-G92*$Q$6-V92,0)))</f>
        <v/>
      </c>
    </row>
    <row r="93">
      <c r="B93" s="6" t="n"/>
      <c r="C93" s="6" t="n"/>
      <c r="D93" s="24" t="n"/>
      <c r="E93" s="25" t="n"/>
      <c r="F93" s="25" t="n"/>
      <c r="G93" s="21">
        <f>IF(E93="","",E93-N(F93))</f>
        <v/>
      </c>
      <c r="I93" s="22">
        <f>IF(G93="","",IF(G93&gt;=$C$10,IF(B93="G마켓",ROUNDDOWN(MIN(G93*$D$10,$E$10),0),ROUNDUP(MIN(G93*$D$10,$E$10),0)),0))</f>
        <v/>
      </c>
      <c r="J93" s="22">
        <f>IF(G93="","",IF(G93&gt;=$C$11,IF(B93="G마켓",ROUNDDOWN(MIN(G93*$D$11,$E$11),0),ROUNDUP(MIN(G93*$D$11,$E$11),0)),0))</f>
        <v/>
      </c>
      <c r="K93" s="22">
        <f>IF(G93="","",IF(G93&gt;=$C$12,IF(B93="G마켓",ROUNDDOWN(MIN(G93*$D$12,$E$12),0),ROUNDUP(MIN(G93*$D$12,$E$12),0)),0))</f>
        <v/>
      </c>
      <c r="L93" s="22">
        <f>IF(G93="","",IF(G93&gt;=$C$13,IF(B93="G마켓",ROUNDDOWN(MIN(G93*$D$13,$E$13),0),ROUNDUP(MIN(G93*$D$13,$E$13),0)),0))</f>
        <v/>
      </c>
      <c r="N93" s="21">
        <f>IF(G93="","",MAX(I93,J93,K93,L93))</f>
        <v/>
      </c>
      <c r="O93" s="21">
        <f>IF(G93="","",G93-N93)</f>
        <v/>
      </c>
      <c r="Q93" s="22">
        <f>IF(O93="","",IF(O93&gt;=$C$17,IF(B93="G마켓",ROUNDDOWN(MIN(O93*$D$17,$E$17),0),ROUNDUP(MIN(O93*$D$17,$E$17),0)),0))</f>
        <v/>
      </c>
      <c r="R93" s="22">
        <f>IF(O93="","",IF(O93&gt;=$C$18,IF(B93="G마켓",ROUNDDOWN(MIN(O93*$D$18,$E$18),0),ROUNDUP(MIN(O93*$D$18,$E$18),0)),0))</f>
        <v/>
      </c>
      <c r="S93" s="22">
        <f>IF(O93="","",IF(O93&gt;=$C$19,IF(B93="G마켓",ROUNDDOWN(MIN(O93*$D$19,$E$19),0),ROUNDUP(MIN(O93*$D$19,$E$19),0)),0))</f>
        <v/>
      </c>
      <c r="T93" s="21">
        <f>IF(O93="","",MAX(Q93,R93,S93))</f>
        <v/>
      </c>
      <c r="U93" s="23">
        <f>IF(O93="","",O93-T93)</f>
        <v/>
      </c>
      <c r="V93" s="22">
        <f>IF(O93="","",IF(B93="G마켓",ROUNDDOWN(MAX(Q93*$G$17,R93*$G$18,S93*$G$19),0),ROUNDUP(MAX(Q93*$G$17,R93*$G$18,S93*$G$19),0)))</f>
        <v/>
      </c>
      <c r="W93" s="23">
        <f>IF(G93="","",IF(B93="G마켓",ROUNDDOWN(G93-G93*$Q$6-V93,0),ROUNDUP(G93-G93*$Q$6-V93,0)))</f>
        <v/>
      </c>
    </row>
    <row r="94">
      <c r="B94" s="6" t="n"/>
      <c r="C94" s="6" t="n"/>
      <c r="D94" s="24" t="n"/>
      <c r="E94" s="25" t="n"/>
      <c r="F94" s="25" t="n"/>
      <c r="G94" s="21">
        <f>IF(E94="","",E94-N(F94))</f>
        <v/>
      </c>
      <c r="I94" s="22">
        <f>IF(G94="","",IF(G94&gt;=$C$10,IF(B94="G마켓",ROUNDDOWN(MIN(G94*$D$10,$E$10),0),ROUNDUP(MIN(G94*$D$10,$E$10),0)),0))</f>
        <v/>
      </c>
      <c r="J94" s="22">
        <f>IF(G94="","",IF(G94&gt;=$C$11,IF(B94="G마켓",ROUNDDOWN(MIN(G94*$D$11,$E$11),0),ROUNDUP(MIN(G94*$D$11,$E$11),0)),0))</f>
        <v/>
      </c>
      <c r="K94" s="22">
        <f>IF(G94="","",IF(G94&gt;=$C$12,IF(B94="G마켓",ROUNDDOWN(MIN(G94*$D$12,$E$12),0),ROUNDUP(MIN(G94*$D$12,$E$12),0)),0))</f>
        <v/>
      </c>
      <c r="L94" s="22">
        <f>IF(G94="","",IF(G94&gt;=$C$13,IF(B94="G마켓",ROUNDDOWN(MIN(G94*$D$13,$E$13),0),ROUNDUP(MIN(G94*$D$13,$E$13),0)),0))</f>
        <v/>
      </c>
      <c r="N94" s="21">
        <f>IF(G94="","",MAX(I94,J94,K94,L94))</f>
        <v/>
      </c>
      <c r="O94" s="21">
        <f>IF(G94="","",G94-N94)</f>
        <v/>
      </c>
      <c r="Q94" s="22">
        <f>IF(O94="","",IF(O94&gt;=$C$17,IF(B94="G마켓",ROUNDDOWN(MIN(O94*$D$17,$E$17),0),ROUNDUP(MIN(O94*$D$17,$E$17),0)),0))</f>
        <v/>
      </c>
      <c r="R94" s="22">
        <f>IF(O94="","",IF(O94&gt;=$C$18,IF(B94="G마켓",ROUNDDOWN(MIN(O94*$D$18,$E$18),0),ROUNDUP(MIN(O94*$D$18,$E$18),0)),0))</f>
        <v/>
      </c>
      <c r="S94" s="22">
        <f>IF(O94="","",IF(O94&gt;=$C$19,IF(B94="G마켓",ROUNDDOWN(MIN(O94*$D$19,$E$19),0),ROUNDUP(MIN(O94*$D$19,$E$19),0)),0))</f>
        <v/>
      </c>
      <c r="T94" s="21">
        <f>IF(O94="","",MAX(Q94,R94,S94))</f>
        <v/>
      </c>
      <c r="U94" s="23">
        <f>IF(O94="","",O94-T94)</f>
        <v/>
      </c>
      <c r="V94" s="22">
        <f>IF(O94="","",IF(B94="G마켓",ROUNDDOWN(MAX(Q94*$G$17,R94*$G$18,S94*$G$19),0),ROUNDUP(MAX(Q94*$G$17,R94*$G$18,S94*$G$19),0)))</f>
        <v/>
      </c>
      <c r="W94" s="23">
        <f>IF(G94="","",IF(B94="G마켓",ROUNDDOWN(G94-G94*$Q$6-V94,0),ROUNDUP(G94-G94*$Q$6-V94,0)))</f>
        <v/>
      </c>
    </row>
    <row r="95">
      <c r="B95" s="6" t="n"/>
      <c r="C95" s="6" t="n"/>
      <c r="D95" s="24" t="n"/>
      <c r="E95" s="25" t="n"/>
      <c r="F95" s="25" t="n"/>
      <c r="G95" s="21">
        <f>IF(E95="","",E95-N(F95))</f>
        <v/>
      </c>
      <c r="I95" s="22">
        <f>IF(G95="","",IF(G95&gt;=$C$10,IF(B95="G마켓",ROUNDDOWN(MIN(G95*$D$10,$E$10),0),ROUNDUP(MIN(G95*$D$10,$E$10),0)),0))</f>
        <v/>
      </c>
      <c r="J95" s="22">
        <f>IF(G95="","",IF(G95&gt;=$C$11,IF(B95="G마켓",ROUNDDOWN(MIN(G95*$D$11,$E$11),0),ROUNDUP(MIN(G95*$D$11,$E$11),0)),0))</f>
        <v/>
      </c>
      <c r="K95" s="22">
        <f>IF(G95="","",IF(G95&gt;=$C$12,IF(B95="G마켓",ROUNDDOWN(MIN(G95*$D$12,$E$12),0),ROUNDUP(MIN(G95*$D$12,$E$12),0)),0))</f>
        <v/>
      </c>
      <c r="L95" s="22">
        <f>IF(G95="","",IF(G95&gt;=$C$13,IF(B95="G마켓",ROUNDDOWN(MIN(G95*$D$13,$E$13),0),ROUNDUP(MIN(G95*$D$13,$E$13),0)),0))</f>
        <v/>
      </c>
      <c r="N95" s="21">
        <f>IF(G95="","",MAX(I95,J95,K95,L95))</f>
        <v/>
      </c>
      <c r="O95" s="21">
        <f>IF(G95="","",G95-N95)</f>
        <v/>
      </c>
      <c r="Q95" s="22">
        <f>IF(O95="","",IF(O95&gt;=$C$17,IF(B95="G마켓",ROUNDDOWN(MIN(O95*$D$17,$E$17),0),ROUNDUP(MIN(O95*$D$17,$E$17),0)),0))</f>
        <v/>
      </c>
      <c r="R95" s="22">
        <f>IF(O95="","",IF(O95&gt;=$C$18,IF(B95="G마켓",ROUNDDOWN(MIN(O95*$D$18,$E$18),0),ROUNDUP(MIN(O95*$D$18,$E$18),0)),0))</f>
        <v/>
      </c>
      <c r="S95" s="22">
        <f>IF(O95="","",IF(O95&gt;=$C$19,IF(B95="G마켓",ROUNDDOWN(MIN(O95*$D$19,$E$19),0),ROUNDUP(MIN(O95*$D$19,$E$19),0)),0))</f>
        <v/>
      </c>
      <c r="T95" s="21">
        <f>IF(O95="","",MAX(Q95,R95,S95))</f>
        <v/>
      </c>
      <c r="U95" s="23">
        <f>IF(O95="","",O95-T95)</f>
        <v/>
      </c>
      <c r="V95" s="22">
        <f>IF(O95="","",IF(B95="G마켓",ROUNDDOWN(MAX(Q95*$G$17,R95*$G$18,S95*$G$19),0),ROUNDUP(MAX(Q95*$G$17,R95*$G$18,S95*$G$19),0)))</f>
        <v/>
      </c>
      <c r="W95" s="23">
        <f>IF(G95="","",IF(B95="G마켓",ROUNDDOWN(G95-G95*$Q$6-V95,0),ROUNDUP(G95-G95*$Q$6-V95,0)))</f>
        <v/>
      </c>
    </row>
    <row r="96">
      <c r="B96" s="6" t="n"/>
      <c r="C96" s="6" t="n"/>
      <c r="D96" s="24" t="n"/>
      <c r="E96" s="25" t="n"/>
      <c r="F96" s="25" t="n"/>
      <c r="G96" s="21">
        <f>IF(E96="","",E96-N(F96))</f>
        <v/>
      </c>
      <c r="I96" s="22">
        <f>IF(G96="","",IF(G96&gt;=$C$10,IF(B96="G마켓",ROUNDDOWN(MIN(G96*$D$10,$E$10),0),ROUNDUP(MIN(G96*$D$10,$E$10),0)),0))</f>
        <v/>
      </c>
      <c r="J96" s="22">
        <f>IF(G96="","",IF(G96&gt;=$C$11,IF(B96="G마켓",ROUNDDOWN(MIN(G96*$D$11,$E$11),0),ROUNDUP(MIN(G96*$D$11,$E$11),0)),0))</f>
        <v/>
      </c>
      <c r="K96" s="22">
        <f>IF(G96="","",IF(G96&gt;=$C$12,IF(B96="G마켓",ROUNDDOWN(MIN(G96*$D$12,$E$12),0),ROUNDUP(MIN(G96*$D$12,$E$12),0)),0))</f>
        <v/>
      </c>
      <c r="L96" s="22">
        <f>IF(G96="","",IF(G96&gt;=$C$13,IF(B96="G마켓",ROUNDDOWN(MIN(G96*$D$13,$E$13),0),ROUNDUP(MIN(G96*$D$13,$E$13),0)),0))</f>
        <v/>
      </c>
      <c r="N96" s="21">
        <f>IF(G96="","",MAX(I96,J96,K96,L96))</f>
        <v/>
      </c>
      <c r="O96" s="21">
        <f>IF(G96="","",G96-N96)</f>
        <v/>
      </c>
      <c r="Q96" s="22">
        <f>IF(O96="","",IF(O96&gt;=$C$17,IF(B96="G마켓",ROUNDDOWN(MIN(O96*$D$17,$E$17),0),ROUNDUP(MIN(O96*$D$17,$E$17),0)),0))</f>
        <v/>
      </c>
      <c r="R96" s="22">
        <f>IF(O96="","",IF(O96&gt;=$C$18,IF(B96="G마켓",ROUNDDOWN(MIN(O96*$D$18,$E$18),0),ROUNDUP(MIN(O96*$D$18,$E$18),0)),0))</f>
        <v/>
      </c>
      <c r="S96" s="22">
        <f>IF(O96="","",IF(O96&gt;=$C$19,IF(B96="G마켓",ROUNDDOWN(MIN(O96*$D$19,$E$19),0),ROUNDUP(MIN(O96*$D$19,$E$19),0)),0))</f>
        <v/>
      </c>
      <c r="T96" s="21">
        <f>IF(O96="","",MAX(Q96,R96,S96))</f>
        <v/>
      </c>
      <c r="U96" s="23">
        <f>IF(O96="","",O96-T96)</f>
        <v/>
      </c>
      <c r="V96" s="22">
        <f>IF(O96="","",IF(B96="G마켓",ROUNDDOWN(MAX(Q96*$G$17,R96*$G$18,S96*$G$19),0),ROUNDUP(MAX(Q96*$G$17,R96*$G$18,S96*$G$19),0)))</f>
        <v/>
      </c>
      <c r="W96" s="23">
        <f>IF(G96="","",IF(B96="G마켓",ROUNDDOWN(G96-G96*$Q$6-V96,0),ROUNDUP(G96-G96*$Q$6-V96,0)))</f>
        <v/>
      </c>
    </row>
    <row r="97">
      <c r="B97" s="6" t="n"/>
      <c r="C97" s="6" t="n"/>
      <c r="D97" s="24" t="n"/>
      <c r="E97" s="25" t="n"/>
      <c r="F97" s="25" t="n"/>
      <c r="G97" s="21">
        <f>IF(E97="","",E97-N(F97))</f>
        <v/>
      </c>
      <c r="I97" s="22">
        <f>IF(G97="","",IF(G97&gt;=$C$10,IF(B97="G마켓",ROUNDDOWN(MIN(G97*$D$10,$E$10),0),ROUNDUP(MIN(G97*$D$10,$E$10),0)),0))</f>
        <v/>
      </c>
      <c r="J97" s="22">
        <f>IF(G97="","",IF(G97&gt;=$C$11,IF(B97="G마켓",ROUNDDOWN(MIN(G97*$D$11,$E$11),0),ROUNDUP(MIN(G97*$D$11,$E$11),0)),0))</f>
        <v/>
      </c>
      <c r="K97" s="22">
        <f>IF(G97="","",IF(G97&gt;=$C$12,IF(B97="G마켓",ROUNDDOWN(MIN(G97*$D$12,$E$12),0),ROUNDUP(MIN(G97*$D$12,$E$12),0)),0))</f>
        <v/>
      </c>
      <c r="L97" s="22">
        <f>IF(G97="","",IF(G97&gt;=$C$13,IF(B97="G마켓",ROUNDDOWN(MIN(G97*$D$13,$E$13),0),ROUNDUP(MIN(G97*$D$13,$E$13),0)),0))</f>
        <v/>
      </c>
      <c r="N97" s="21">
        <f>IF(G97="","",MAX(I97,J97,K97,L97))</f>
        <v/>
      </c>
      <c r="O97" s="21">
        <f>IF(G97="","",G97-N97)</f>
        <v/>
      </c>
      <c r="Q97" s="22">
        <f>IF(O97="","",IF(O97&gt;=$C$17,IF(B97="G마켓",ROUNDDOWN(MIN(O97*$D$17,$E$17),0),ROUNDUP(MIN(O97*$D$17,$E$17),0)),0))</f>
        <v/>
      </c>
      <c r="R97" s="22">
        <f>IF(O97="","",IF(O97&gt;=$C$18,IF(B97="G마켓",ROUNDDOWN(MIN(O97*$D$18,$E$18),0),ROUNDUP(MIN(O97*$D$18,$E$18),0)),0))</f>
        <v/>
      </c>
      <c r="S97" s="22">
        <f>IF(O97="","",IF(O97&gt;=$C$19,IF(B97="G마켓",ROUNDDOWN(MIN(O97*$D$19,$E$19),0),ROUNDUP(MIN(O97*$D$19,$E$19),0)),0))</f>
        <v/>
      </c>
      <c r="T97" s="21">
        <f>IF(O97="","",MAX(Q97,R97,S97))</f>
        <v/>
      </c>
      <c r="U97" s="23">
        <f>IF(O97="","",O97-T97)</f>
        <v/>
      </c>
      <c r="V97" s="22">
        <f>IF(O97="","",IF(B97="G마켓",ROUNDDOWN(MAX(Q97*$G$17,R97*$G$18,S97*$G$19),0),ROUNDUP(MAX(Q97*$G$17,R97*$G$18,S97*$G$19),0)))</f>
        <v/>
      </c>
      <c r="W97" s="23">
        <f>IF(G97="","",IF(B97="G마켓",ROUNDDOWN(G97-G97*$Q$6-V97,0),ROUNDUP(G97-G97*$Q$6-V97,0)))</f>
        <v/>
      </c>
    </row>
    <row r="98">
      <c r="B98" s="6" t="n"/>
      <c r="C98" s="6" t="n"/>
      <c r="D98" s="24" t="n"/>
      <c r="E98" s="25" t="n"/>
      <c r="F98" s="25" t="n"/>
      <c r="G98" s="21">
        <f>IF(E98="","",E98-N(F98))</f>
        <v/>
      </c>
      <c r="I98" s="22">
        <f>IF(G98="","",IF(G98&gt;=$C$10,IF(B98="G마켓",ROUNDDOWN(MIN(G98*$D$10,$E$10),0),ROUNDUP(MIN(G98*$D$10,$E$10),0)),0))</f>
        <v/>
      </c>
      <c r="J98" s="22">
        <f>IF(G98="","",IF(G98&gt;=$C$11,IF(B98="G마켓",ROUNDDOWN(MIN(G98*$D$11,$E$11),0),ROUNDUP(MIN(G98*$D$11,$E$11),0)),0))</f>
        <v/>
      </c>
      <c r="K98" s="22">
        <f>IF(G98="","",IF(G98&gt;=$C$12,IF(B98="G마켓",ROUNDDOWN(MIN(G98*$D$12,$E$12),0),ROUNDUP(MIN(G98*$D$12,$E$12),0)),0))</f>
        <v/>
      </c>
      <c r="L98" s="22">
        <f>IF(G98="","",IF(G98&gt;=$C$13,IF(B98="G마켓",ROUNDDOWN(MIN(G98*$D$13,$E$13),0),ROUNDUP(MIN(G98*$D$13,$E$13),0)),0))</f>
        <v/>
      </c>
      <c r="N98" s="21">
        <f>IF(G98="","",MAX(I98,J98,K98,L98))</f>
        <v/>
      </c>
      <c r="O98" s="21">
        <f>IF(G98="","",G98-N98)</f>
        <v/>
      </c>
      <c r="Q98" s="22">
        <f>IF(O98="","",IF(O98&gt;=$C$17,IF(B98="G마켓",ROUNDDOWN(MIN(O98*$D$17,$E$17),0),ROUNDUP(MIN(O98*$D$17,$E$17),0)),0))</f>
        <v/>
      </c>
      <c r="R98" s="22">
        <f>IF(O98="","",IF(O98&gt;=$C$18,IF(B98="G마켓",ROUNDDOWN(MIN(O98*$D$18,$E$18),0),ROUNDUP(MIN(O98*$D$18,$E$18),0)),0))</f>
        <v/>
      </c>
      <c r="S98" s="22">
        <f>IF(O98="","",IF(O98&gt;=$C$19,IF(B98="G마켓",ROUNDDOWN(MIN(O98*$D$19,$E$19),0),ROUNDUP(MIN(O98*$D$19,$E$19),0)),0))</f>
        <v/>
      </c>
      <c r="T98" s="21">
        <f>IF(O98="","",MAX(Q98,R98,S98))</f>
        <v/>
      </c>
      <c r="U98" s="23">
        <f>IF(O98="","",O98-T98)</f>
        <v/>
      </c>
      <c r="V98" s="22">
        <f>IF(O98="","",IF(B98="G마켓",ROUNDDOWN(MAX(Q98*$G$17,R98*$G$18,S98*$G$19),0),ROUNDUP(MAX(Q98*$G$17,R98*$G$18,S98*$G$19),0)))</f>
        <v/>
      </c>
      <c r="W98" s="23">
        <f>IF(G98="","",IF(B98="G마켓",ROUNDDOWN(G98-G98*$Q$6-V98,0),ROUNDUP(G98-G98*$Q$6-V98,0)))</f>
        <v/>
      </c>
    </row>
    <row r="99">
      <c r="B99" s="6" t="n"/>
      <c r="C99" s="6" t="n"/>
      <c r="D99" s="24" t="n"/>
      <c r="E99" s="25" t="n"/>
      <c r="F99" s="25" t="n"/>
      <c r="G99" s="21">
        <f>IF(E99="","",E99-N(F99))</f>
        <v/>
      </c>
      <c r="I99" s="22">
        <f>IF(G99="","",IF(G99&gt;=$C$10,IF(B99="G마켓",ROUNDDOWN(MIN(G99*$D$10,$E$10),0),ROUNDUP(MIN(G99*$D$10,$E$10),0)),0))</f>
        <v/>
      </c>
      <c r="J99" s="22">
        <f>IF(G99="","",IF(G99&gt;=$C$11,IF(B99="G마켓",ROUNDDOWN(MIN(G99*$D$11,$E$11),0),ROUNDUP(MIN(G99*$D$11,$E$11),0)),0))</f>
        <v/>
      </c>
      <c r="K99" s="22">
        <f>IF(G99="","",IF(G99&gt;=$C$12,IF(B99="G마켓",ROUNDDOWN(MIN(G99*$D$12,$E$12),0),ROUNDUP(MIN(G99*$D$12,$E$12),0)),0))</f>
        <v/>
      </c>
      <c r="L99" s="22">
        <f>IF(G99="","",IF(G99&gt;=$C$13,IF(B99="G마켓",ROUNDDOWN(MIN(G99*$D$13,$E$13),0),ROUNDUP(MIN(G99*$D$13,$E$13),0)),0))</f>
        <v/>
      </c>
      <c r="N99" s="21">
        <f>IF(G99="","",MAX(I99,J99,K99,L99))</f>
        <v/>
      </c>
      <c r="O99" s="21">
        <f>IF(G99="","",G99-N99)</f>
        <v/>
      </c>
      <c r="Q99" s="22">
        <f>IF(O99="","",IF(O99&gt;=$C$17,IF(B99="G마켓",ROUNDDOWN(MIN(O99*$D$17,$E$17),0),ROUNDUP(MIN(O99*$D$17,$E$17),0)),0))</f>
        <v/>
      </c>
      <c r="R99" s="22">
        <f>IF(O99="","",IF(O99&gt;=$C$18,IF(B99="G마켓",ROUNDDOWN(MIN(O99*$D$18,$E$18),0),ROUNDUP(MIN(O99*$D$18,$E$18),0)),0))</f>
        <v/>
      </c>
      <c r="S99" s="22">
        <f>IF(O99="","",IF(O99&gt;=$C$19,IF(B99="G마켓",ROUNDDOWN(MIN(O99*$D$19,$E$19),0),ROUNDUP(MIN(O99*$D$19,$E$19),0)),0))</f>
        <v/>
      </c>
      <c r="T99" s="21">
        <f>IF(O99="","",MAX(Q99,R99,S99))</f>
        <v/>
      </c>
      <c r="U99" s="23">
        <f>IF(O99="","",O99-T99)</f>
        <v/>
      </c>
      <c r="V99" s="22">
        <f>IF(O99="","",IF(B99="G마켓",ROUNDDOWN(MAX(Q99*$G$17,R99*$G$18,S99*$G$19),0),ROUNDUP(MAX(Q99*$G$17,R99*$G$18,S99*$G$19),0)))</f>
        <v/>
      </c>
      <c r="W99" s="23">
        <f>IF(G99="","",IF(B99="G마켓",ROUNDDOWN(G99-G99*$Q$6-V99,0),ROUNDUP(G99-G99*$Q$6-V99,0)))</f>
        <v/>
      </c>
    </row>
    <row r="100">
      <c r="B100" s="6" t="n"/>
      <c r="C100" s="6" t="n"/>
      <c r="D100" s="24" t="n"/>
      <c r="E100" s="25" t="n"/>
      <c r="F100" s="25" t="n"/>
      <c r="G100" s="21">
        <f>IF(E100="","",E100-N(F100))</f>
        <v/>
      </c>
      <c r="I100" s="22">
        <f>IF(G100="","",IF(G100&gt;=$C$10,IF(B100="G마켓",ROUNDDOWN(MIN(G100*$D$10,$E$10),0),ROUNDUP(MIN(G100*$D$10,$E$10),0)),0))</f>
        <v/>
      </c>
      <c r="J100" s="22">
        <f>IF(G100="","",IF(G100&gt;=$C$11,IF(B100="G마켓",ROUNDDOWN(MIN(G100*$D$11,$E$11),0),ROUNDUP(MIN(G100*$D$11,$E$11),0)),0))</f>
        <v/>
      </c>
      <c r="K100" s="22">
        <f>IF(G100="","",IF(G100&gt;=$C$12,IF(B100="G마켓",ROUNDDOWN(MIN(G100*$D$12,$E$12),0),ROUNDUP(MIN(G100*$D$12,$E$12),0)),0))</f>
        <v/>
      </c>
      <c r="L100" s="22">
        <f>IF(G100="","",IF(G100&gt;=$C$13,IF(B100="G마켓",ROUNDDOWN(MIN(G100*$D$13,$E$13),0),ROUNDUP(MIN(G100*$D$13,$E$13),0)),0))</f>
        <v/>
      </c>
      <c r="N100" s="21">
        <f>IF(G100="","",MAX(I100,J100,K100,L100))</f>
        <v/>
      </c>
      <c r="O100" s="21">
        <f>IF(G100="","",G100-N100)</f>
        <v/>
      </c>
      <c r="Q100" s="22">
        <f>IF(O100="","",IF(O100&gt;=$C$17,IF(B100="G마켓",ROUNDDOWN(MIN(O100*$D$17,$E$17),0),ROUNDUP(MIN(O100*$D$17,$E$17),0)),0))</f>
        <v/>
      </c>
      <c r="R100" s="22">
        <f>IF(O100="","",IF(O100&gt;=$C$18,IF(B100="G마켓",ROUNDDOWN(MIN(O100*$D$18,$E$18),0),ROUNDUP(MIN(O100*$D$18,$E$18),0)),0))</f>
        <v/>
      </c>
      <c r="S100" s="22">
        <f>IF(O100="","",IF(O100&gt;=$C$19,IF(B100="G마켓",ROUNDDOWN(MIN(O100*$D$19,$E$19),0),ROUNDUP(MIN(O100*$D$19,$E$19),0)),0))</f>
        <v/>
      </c>
      <c r="T100" s="21">
        <f>IF(O100="","",MAX(Q100,R100,S100))</f>
        <v/>
      </c>
      <c r="U100" s="23">
        <f>IF(O100="","",O100-T100)</f>
        <v/>
      </c>
      <c r="V100" s="22">
        <f>IF(O100="","",IF(B100="G마켓",ROUNDDOWN(MAX(Q100*$G$17,R100*$G$18,S100*$G$19),0),ROUNDUP(MAX(Q100*$G$17,R100*$G$18,S100*$G$19),0)))</f>
        <v/>
      </c>
      <c r="W100" s="23">
        <f>IF(G100="","",IF(B100="G마켓",ROUNDDOWN(G100-G100*$Q$6-V100,0),ROUNDUP(G100-G100*$Q$6-V100,0)))</f>
        <v/>
      </c>
    </row>
    <row r="101">
      <c r="B101" s="6" t="n"/>
      <c r="C101" s="6" t="n"/>
      <c r="D101" s="24" t="n"/>
      <c r="E101" s="25" t="n"/>
      <c r="F101" s="25" t="n"/>
      <c r="G101" s="21">
        <f>IF(E101="","",E101-N(F101))</f>
        <v/>
      </c>
      <c r="I101" s="22">
        <f>IF(G101="","",IF(G101&gt;=$C$10,IF(B101="G마켓",ROUNDDOWN(MIN(G101*$D$10,$E$10),0),ROUNDUP(MIN(G101*$D$10,$E$10),0)),0))</f>
        <v/>
      </c>
      <c r="J101" s="22">
        <f>IF(G101="","",IF(G101&gt;=$C$11,IF(B101="G마켓",ROUNDDOWN(MIN(G101*$D$11,$E$11),0),ROUNDUP(MIN(G101*$D$11,$E$11),0)),0))</f>
        <v/>
      </c>
      <c r="K101" s="22">
        <f>IF(G101="","",IF(G101&gt;=$C$12,IF(B101="G마켓",ROUNDDOWN(MIN(G101*$D$12,$E$12),0),ROUNDUP(MIN(G101*$D$12,$E$12),0)),0))</f>
        <v/>
      </c>
      <c r="L101" s="22">
        <f>IF(G101="","",IF(G101&gt;=$C$13,IF(B101="G마켓",ROUNDDOWN(MIN(G101*$D$13,$E$13),0),ROUNDUP(MIN(G101*$D$13,$E$13),0)),0))</f>
        <v/>
      </c>
      <c r="N101" s="21">
        <f>IF(G101="","",MAX(I101,J101,K101,L101))</f>
        <v/>
      </c>
      <c r="O101" s="21">
        <f>IF(G101="","",G101-N101)</f>
        <v/>
      </c>
      <c r="Q101" s="22">
        <f>IF(O101="","",IF(O101&gt;=$C$17,IF(B101="G마켓",ROUNDDOWN(MIN(O101*$D$17,$E$17),0),ROUNDUP(MIN(O101*$D$17,$E$17),0)),0))</f>
        <v/>
      </c>
      <c r="R101" s="22">
        <f>IF(O101="","",IF(O101&gt;=$C$18,IF(B101="G마켓",ROUNDDOWN(MIN(O101*$D$18,$E$18),0),ROUNDUP(MIN(O101*$D$18,$E$18),0)),0))</f>
        <v/>
      </c>
      <c r="S101" s="22">
        <f>IF(O101="","",IF(O101&gt;=$C$19,IF(B101="G마켓",ROUNDDOWN(MIN(O101*$D$19,$E$19),0),ROUNDUP(MIN(O101*$D$19,$E$19),0)),0))</f>
        <v/>
      </c>
      <c r="T101" s="21">
        <f>IF(O101="","",MAX(Q101,R101,S101))</f>
        <v/>
      </c>
      <c r="U101" s="23">
        <f>IF(O101="","",O101-T101)</f>
        <v/>
      </c>
      <c r="V101" s="22">
        <f>IF(O101="","",IF(B101="G마켓",ROUNDDOWN(MAX(Q101*$G$17,R101*$G$18,S101*$G$19),0),ROUNDUP(MAX(Q101*$G$17,R101*$G$18,S101*$G$19),0)))</f>
        <v/>
      </c>
      <c r="W101" s="23">
        <f>IF(G101="","",IF(B101="G마켓",ROUNDDOWN(G101-G101*$Q$6-V101,0),ROUNDUP(G101-G101*$Q$6-V101,0)))</f>
        <v/>
      </c>
    </row>
    <row r="102">
      <c r="B102" s="6" t="n"/>
      <c r="C102" s="6" t="n"/>
      <c r="D102" s="24" t="n"/>
      <c r="E102" s="25" t="n"/>
      <c r="F102" s="25" t="n"/>
      <c r="G102" s="21">
        <f>IF(E102="","",E102-N(F102))</f>
        <v/>
      </c>
      <c r="I102" s="22">
        <f>IF(G102="","",IF(G102&gt;=$C$10,IF(B102="G마켓",ROUNDDOWN(MIN(G102*$D$10,$E$10),0),ROUNDUP(MIN(G102*$D$10,$E$10),0)),0))</f>
        <v/>
      </c>
      <c r="J102" s="22">
        <f>IF(G102="","",IF(G102&gt;=$C$11,IF(B102="G마켓",ROUNDDOWN(MIN(G102*$D$11,$E$11),0),ROUNDUP(MIN(G102*$D$11,$E$11),0)),0))</f>
        <v/>
      </c>
      <c r="K102" s="22">
        <f>IF(G102="","",IF(G102&gt;=$C$12,IF(B102="G마켓",ROUNDDOWN(MIN(G102*$D$12,$E$12),0),ROUNDUP(MIN(G102*$D$12,$E$12),0)),0))</f>
        <v/>
      </c>
      <c r="L102" s="22">
        <f>IF(G102="","",IF(G102&gt;=$C$13,IF(B102="G마켓",ROUNDDOWN(MIN(G102*$D$13,$E$13),0),ROUNDUP(MIN(G102*$D$13,$E$13),0)),0))</f>
        <v/>
      </c>
      <c r="N102" s="21">
        <f>IF(G102="","",MAX(I102,J102,K102,L102))</f>
        <v/>
      </c>
      <c r="O102" s="21">
        <f>IF(G102="","",G102-N102)</f>
        <v/>
      </c>
      <c r="Q102" s="22">
        <f>IF(O102="","",IF(O102&gt;=$C$17,IF(B102="G마켓",ROUNDDOWN(MIN(O102*$D$17,$E$17),0),ROUNDUP(MIN(O102*$D$17,$E$17),0)),0))</f>
        <v/>
      </c>
      <c r="R102" s="22">
        <f>IF(O102="","",IF(O102&gt;=$C$18,IF(B102="G마켓",ROUNDDOWN(MIN(O102*$D$18,$E$18),0),ROUNDUP(MIN(O102*$D$18,$E$18),0)),0))</f>
        <v/>
      </c>
      <c r="S102" s="22">
        <f>IF(O102="","",IF(O102&gt;=$C$19,IF(B102="G마켓",ROUNDDOWN(MIN(O102*$D$19,$E$19),0),ROUNDUP(MIN(O102*$D$19,$E$19),0)),0))</f>
        <v/>
      </c>
      <c r="T102" s="21">
        <f>IF(O102="","",MAX(Q102,R102,S102))</f>
        <v/>
      </c>
      <c r="U102" s="23">
        <f>IF(O102="","",O102-T102)</f>
        <v/>
      </c>
      <c r="V102" s="22">
        <f>IF(O102="","",IF(B102="G마켓",ROUNDDOWN(MAX(Q102*$G$17,R102*$G$18,S102*$G$19),0),ROUNDUP(MAX(Q102*$G$17,R102*$G$18,S102*$G$19),0)))</f>
        <v/>
      </c>
      <c r="W102" s="23">
        <f>IF(G102="","",IF(B102="G마켓",ROUNDDOWN(G102-G102*$Q$6-V102,0),ROUNDUP(G102-G102*$Q$6-V102,0)))</f>
        <v/>
      </c>
    </row>
    <row r="103">
      <c r="B103" s="6" t="n"/>
      <c r="C103" s="6" t="n"/>
      <c r="D103" s="24" t="n"/>
      <c r="E103" s="25" t="n"/>
      <c r="F103" s="25" t="n"/>
      <c r="G103" s="21">
        <f>IF(E103="","",E103-N(F103))</f>
        <v/>
      </c>
      <c r="I103" s="22">
        <f>IF(G103="","",IF(G103&gt;=$C$10,IF(B103="G마켓",ROUNDDOWN(MIN(G103*$D$10,$E$10),0),ROUNDUP(MIN(G103*$D$10,$E$10),0)),0))</f>
        <v/>
      </c>
      <c r="J103" s="22">
        <f>IF(G103="","",IF(G103&gt;=$C$11,IF(B103="G마켓",ROUNDDOWN(MIN(G103*$D$11,$E$11),0),ROUNDUP(MIN(G103*$D$11,$E$11),0)),0))</f>
        <v/>
      </c>
      <c r="K103" s="22">
        <f>IF(G103="","",IF(G103&gt;=$C$12,IF(B103="G마켓",ROUNDDOWN(MIN(G103*$D$12,$E$12),0),ROUNDUP(MIN(G103*$D$12,$E$12),0)),0))</f>
        <v/>
      </c>
      <c r="L103" s="22">
        <f>IF(G103="","",IF(G103&gt;=$C$13,IF(B103="G마켓",ROUNDDOWN(MIN(G103*$D$13,$E$13),0),ROUNDUP(MIN(G103*$D$13,$E$13),0)),0))</f>
        <v/>
      </c>
      <c r="N103" s="21">
        <f>IF(G103="","",MAX(I103,J103,K103,L103))</f>
        <v/>
      </c>
      <c r="O103" s="21">
        <f>IF(G103="","",G103-N103)</f>
        <v/>
      </c>
      <c r="Q103" s="22">
        <f>IF(O103="","",IF(O103&gt;=$C$17,IF(B103="G마켓",ROUNDDOWN(MIN(O103*$D$17,$E$17),0),ROUNDUP(MIN(O103*$D$17,$E$17),0)),0))</f>
        <v/>
      </c>
      <c r="R103" s="22">
        <f>IF(O103="","",IF(O103&gt;=$C$18,IF(B103="G마켓",ROUNDDOWN(MIN(O103*$D$18,$E$18),0),ROUNDUP(MIN(O103*$D$18,$E$18),0)),0))</f>
        <v/>
      </c>
      <c r="S103" s="22">
        <f>IF(O103="","",IF(O103&gt;=$C$19,IF(B103="G마켓",ROUNDDOWN(MIN(O103*$D$19,$E$19),0),ROUNDUP(MIN(O103*$D$19,$E$19),0)),0))</f>
        <v/>
      </c>
      <c r="T103" s="21">
        <f>IF(O103="","",MAX(Q103,R103,S103))</f>
        <v/>
      </c>
      <c r="U103" s="23">
        <f>IF(O103="","",O103-T103)</f>
        <v/>
      </c>
      <c r="V103" s="22">
        <f>IF(O103="","",IF(B103="G마켓",ROUNDDOWN(MAX(Q103*$G$17,R103*$G$18,S103*$G$19),0),ROUNDUP(MAX(Q103*$G$17,R103*$G$18,S103*$G$19),0)))</f>
        <v/>
      </c>
      <c r="W103" s="23">
        <f>IF(G103="","",IF(B103="G마켓",ROUNDDOWN(G103-G103*$Q$6-V103,0),ROUNDUP(G103-G103*$Q$6-V103,0)))</f>
        <v/>
      </c>
    </row>
    <row r="104">
      <c r="B104" s="6" t="n"/>
      <c r="C104" s="6" t="n"/>
      <c r="D104" s="24" t="n"/>
      <c r="E104" s="25" t="n"/>
      <c r="F104" s="25" t="n"/>
      <c r="G104" s="21">
        <f>IF(E104="","",E104-N(F104))</f>
        <v/>
      </c>
      <c r="I104" s="22">
        <f>IF(G104="","",IF(G104&gt;=$C$10,IF(B104="G마켓",ROUNDDOWN(MIN(G104*$D$10,$E$10),0),ROUNDUP(MIN(G104*$D$10,$E$10),0)),0))</f>
        <v/>
      </c>
      <c r="J104" s="22">
        <f>IF(G104="","",IF(G104&gt;=$C$11,IF(B104="G마켓",ROUNDDOWN(MIN(G104*$D$11,$E$11),0),ROUNDUP(MIN(G104*$D$11,$E$11),0)),0))</f>
        <v/>
      </c>
      <c r="K104" s="22">
        <f>IF(G104="","",IF(G104&gt;=$C$12,IF(B104="G마켓",ROUNDDOWN(MIN(G104*$D$12,$E$12),0),ROUNDUP(MIN(G104*$D$12,$E$12),0)),0))</f>
        <v/>
      </c>
      <c r="L104" s="22">
        <f>IF(G104="","",IF(G104&gt;=$C$13,IF(B104="G마켓",ROUNDDOWN(MIN(G104*$D$13,$E$13),0),ROUNDUP(MIN(G104*$D$13,$E$13),0)),0))</f>
        <v/>
      </c>
      <c r="N104" s="21">
        <f>IF(G104="","",MAX(I104,J104,K104,L104))</f>
        <v/>
      </c>
      <c r="O104" s="21">
        <f>IF(G104="","",G104-N104)</f>
        <v/>
      </c>
      <c r="Q104" s="22">
        <f>IF(O104="","",IF(O104&gt;=$C$17,IF(B104="G마켓",ROUNDDOWN(MIN(O104*$D$17,$E$17),0),ROUNDUP(MIN(O104*$D$17,$E$17),0)),0))</f>
        <v/>
      </c>
      <c r="R104" s="22">
        <f>IF(O104="","",IF(O104&gt;=$C$18,IF(B104="G마켓",ROUNDDOWN(MIN(O104*$D$18,$E$18),0),ROUNDUP(MIN(O104*$D$18,$E$18),0)),0))</f>
        <v/>
      </c>
      <c r="S104" s="22">
        <f>IF(O104="","",IF(O104&gt;=$C$19,IF(B104="G마켓",ROUNDDOWN(MIN(O104*$D$19,$E$19),0),ROUNDUP(MIN(O104*$D$19,$E$19),0)),0))</f>
        <v/>
      </c>
      <c r="T104" s="21">
        <f>IF(O104="","",MAX(Q104,R104,S104))</f>
        <v/>
      </c>
      <c r="U104" s="23">
        <f>IF(O104="","",O104-T104)</f>
        <v/>
      </c>
      <c r="V104" s="22">
        <f>IF(O104="","",IF(B104="G마켓",ROUNDDOWN(MAX(Q104*$G$17,R104*$G$18,S104*$G$19),0),ROUNDUP(MAX(Q104*$G$17,R104*$G$18,S104*$G$19),0)))</f>
        <v/>
      </c>
      <c r="W104" s="23">
        <f>IF(G104="","",IF(B104="G마켓",ROUNDDOWN(G104-G104*$Q$6-V104,0),ROUNDUP(G104-G104*$Q$6-V104,0)))</f>
        <v/>
      </c>
    </row>
    <row r="105">
      <c r="B105" s="6" t="n"/>
      <c r="C105" s="6" t="n"/>
      <c r="D105" s="24" t="n"/>
      <c r="E105" s="25" t="n"/>
      <c r="F105" s="25" t="n"/>
      <c r="G105" s="21">
        <f>IF(E105="","",E105-N(F105))</f>
        <v/>
      </c>
      <c r="I105" s="22">
        <f>IF(G105="","",IF(G105&gt;=$C$10,IF(B105="G마켓",ROUNDDOWN(MIN(G105*$D$10,$E$10),0),ROUNDUP(MIN(G105*$D$10,$E$10),0)),0))</f>
        <v/>
      </c>
      <c r="J105" s="22">
        <f>IF(G105="","",IF(G105&gt;=$C$11,IF(B105="G마켓",ROUNDDOWN(MIN(G105*$D$11,$E$11),0),ROUNDUP(MIN(G105*$D$11,$E$11),0)),0))</f>
        <v/>
      </c>
      <c r="K105" s="22">
        <f>IF(G105="","",IF(G105&gt;=$C$12,IF(B105="G마켓",ROUNDDOWN(MIN(G105*$D$12,$E$12),0),ROUNDUP(MIN(G105*$D$12,$E$12),0)),0))</f>
        <v/>
      </c>
      <c r="L105" s="22">
        <f>IF(G105="","",IF(G105&gt;=$C$13,IF(B105="G마켓",ROUNDDOWN(MIN(G105*$D$13,$E$13),0),ROUNDUP(MIN(G105*$D$13,$E$13),0)),0))</f>
        <v/>
      </c>
      <c r="N105" s="21">
        <f>IF(G105="","",MAX(I105,J105,K105,L105))</f>
        <v/>
      </c>
      <c r="O105" s="21">
        <f>IF(G105="","",G105-N105)</f>
        <v/>
      </c>
      <c r="Q105" s="22">
        <f>IF(O105="","",IF(O105&gt;=$C$17,IF(B105="G마켓",ROUNDDOWN(MIN(O105*$D$17,$E$17),0),ROUNDUP(MIN(O105*$D$17,$E$17),0)),0))</f>
        <v/>
      </c>
      <c r="R105" s="22">
        <f>IF(O105="","",IF(O105&gt;=$C$18,IF(B105="G마켓",ROUNDDOWN(MIN(O105*$D$18,$E$18),0),ROUNDUP(MIN(O105*$D$18,$E$18),0)),0))</f>
        <v/>
      </c>
      <c r="S105" s="22">
        <f>IF(O105="","",IF(O105&gt;=$C$19,IF(B105="G마켓",ROUNDDOWN(MIN(O105*$D$19,$E$19),0),ROUNDUP(MIN(O105*$D$19,$E$19),0)),0))</f>
        <v/>
      </c>
      <c r="T105" s="21">
        <f>IF(O105="","",MAX(Q105,R105,S105))</f>
        <v/>
      </c>
      <c r="U105" s="23">
        <f>IF(O105="","",O105-T105)</f>
        <v/>
      </c>
      <c r="V105" s="22">
        <f>IF(O105="","",IF(B105="G마켓",ROUNDDOWN(MAX(Q105*$G$17,R105*$G$18,S105*$G$19),0),ROUNDUP(MAX(Q105*$G$17,R105*$G$18,S105*$G$19),0)))</f>
        <v/>
      </c>
      <c r="W105" s="23">
        <f>IF(G105="","",IF(B105="G마켓",ROUNDDOWN(G105-G105*$Q$6-V105,0),ROUNDUP(G105-G105*$Q$6-V105,0)))</f>
        <v/>
      </c>
    </row>
    <row r="106">
      <c r="B106" s="6" t="n"/>
      <c r="C106" s="6" t="n"/>
      <c r="D106" s="24" t="n"/>
      <c r="E106" s="25" t="n"/>
      <c r="F106" s="25" t="n"/>
      <c r="G106" s="21">
        <f>IF(E106="","",E106-N(F106))</f>
        <v/>
      </c>
      <c r="I106" s="22">
        <f>IF(G106="","",IF(G106&gt;=$C$10,IF(B106="G마켓",ROUNDDOWN(MIN(G106*$D$10,$E$10),0),ROUNDUP(MIN(G106*$D$10,$E$10),0)),0))</f>
        <v/>
      </c>
      <c r="J106" s="22">
        <f>IF(G106="","",IF(G106&gt;=$C$11,IF(B106="G마켓",ROUNDDOWN(MIN(G106*$D$11,$E$11),0),ROUNDUP(MIN(G106*$D$11,$E$11),0)),0))</f>
        <v/>
      </c>
      <c r="K106" s="22">
        <f>IF(G106="","",IF(G106&gt;=$C$12,IF(B106="G마켓",ROUNDDOWN(MIN(G106*$D$12,$E$12),0),ROUNDUP(MIN(G106*$D$12,$E$12),0)),0))</f>
        <v/>
      </c>
      <c r="L106" s="22">
        <f>IF(G106="","",IF(G106&gt;=$C$13,IF(B106="G마켓",ROUNDDOWN(MIN(G106*$D$13,$E$13),0),ROUNDUP(MIN(G106*$D$13,$E$13),0)),0))</f>
        <v/>
      </c>
      <c r="N106" s="21">
        <f>IF(G106="","",MAX(I106,J106,K106,L106))</f>
        <v/>
      </c>
      <c r="O106" s="21">
        <f>IF(G106="","",G106-N106)</f>
        <v/>
      </c>
      <c r="Q106" s="22">
        <f>IF(O106="","",IF(O106&gt;=$C$17,IF(B106="G마켓",ROUNDDOWN(MIN(O106*$D$17,$E$17),0),ROUNDUP(MIN(O106*$D$17,$E$17),0)),0))</f>
        <v/>
      </c>
      <c r="R106" s="22">
        <f>IF(O106="","",IF(O106&gt;=$C$18,IF(B106="G마켓",ROUNDDOWN(MIN(O106*$D$18,$E$18),0),ROUNDUP(MIN(O106*$D$18,$E$18),0)),0))</f>
        <v/>
      </c>
      <c r="S106" s="22">
        <f>IF(O106="","",IF(O106&gt;=$C$19,IF(B106="G마켓",ROUNDDOWN(MIN(O106*$D$19,$E$19),0),ROUNDUP(MIN(O106*$D$19,$E$19),0)),0))</f>
        <v/>
      </c>
      <c r="T106" s="21">
        <f>IF(O106="","",MAX(Q106,R106,S106))</f>
        <v/>
      </c>
      <c r="U106" s="23">
        <f>IF(O106="","",O106-T106)</f>
        <v/>
      </c>
      <c r="V106" s="22">
        <f>IF(O106="","",IF(B106="G마켓",ROUNDDOWN(MAX(Q106*$G$17,R106*$G$18,S106*$G$19),0),ROUNDUP(MAX(Q106*$G$17,R106*$G$18,S106*$G$19),0)))</f>
        <v/>
      </c>
      <c r="W106" s="23">
        <f>IF(G106="","",IF(B106="G마켓",ROUNDDOWN(G106-G106*$Q$6-V106,0),ROUNDUP(G106-G106*$Q$6-V106,0)))</f>
        <v/>
      </c>
    </row>
    <row r="107">
      <c r="B107" s="6" t="n"/>
      <c r="C107" s="6" t="n"/>
      <c r="D107" s="24" t="n"/>
      <c r="E107" s="25" t="n"/>
      <c r="F107" s="25" t="n"/>
      <c r="G107" s="21">
        <f>IF(E107="","",E107-N(F107))</f>
        <v/>
      </c>
      <c r="I107" s="22">
        <f>IF(G107="","",IF(G107&gt;=$C$10,IF(B107="G마켓",ROUNDDOWN(MIN(G107*$D$10,$E$10),0),ROUNDUP(MIN(G107*$D$10,$E$10),0)),0))</f>
        <v/>
      </c>
      <c r="J107" s="22">
        <f>IF(G107="","",IF(G107&gt;=$C$11,IF(B107="G마켓",ROUNDDOWN(MIN(G107*$D$11,$E$11),0),ROUNDUP(MIN(G107*$D$11,$E$11),0)),0))</f>
        <v/>
      </c>
      <c r="K107" s="22">
        <f>IF(G107="","",IF(G107&gt;=$C$12,IF(B107="G마켓",ROUNDDOWN(MIN(G107*$D$12,$E$12),0),ROUNDUP(MIN(G107*$D$12,$E$12),0)),0))</f>
        <v/>
      </c>
      <c r="L107" s="22">
        <f>IF(G107="","",IF(G107&gt;=$C$13,IF(B107="G마켓",ROUNDDOWN(MIN(G107*$D$13,$E$13),0),ROUNDUP(MIN(G107*$D$13,$E$13),0)),0))</f>
        <v/>
      </c>
      <c r="N107" s="21">
        <f>IF(G107="","",MAX(I107,J107,K107,L107))</f>
        <v/>
      </c>
      <c r="O107" s="21">
        <f>IF(G107="","",G107-N107)</f>
        <v/>
      </c>
      <c r="Q107" s="22">
        <f>IF(O107="","",IF(O107&gt;=$C$17,IF(B107="G마켓",ROUNDDOWN(MIN(O107*$D$17,$E$17),0),ROUNDUP(MIN(O107*$D$17,$E$17),0)),0))</f>
        <v/>
      </c>
      <c r="R107" s="22">
        <f>IF(O107="","",IF(O107&gt;=$C$18,IF(B107="G마켓",ROUNDDOWN(MIN(O107*$D$18,$E$18),0),ROUNDUP(MIN(O107*$D$18,$E$18),0)),0))</f>
        <v/>
      </c>
      <c r="S107" s="22">
        <f>IF(O107="","",IF(O107&gt;=$C$19,IF(B107="G마켓",ROUNDDOWN(MIN(O107*$D$19,$E$19),0),ROUNDUP(MIN(O107*$D$19,$E$19),0)),0))</f>
        <v/>
      </c>
      <c r="T107" s="21">
        <f>IF(O107="","",MAX(Q107,R107,S107))</f>
        <v/>
      </c>
      <c r="U107" s="23">
        <f>IF(O107="","",O107-T107)</f>
        <v/>
      </c>
      <c r="V107" s="22">
        <f>IF(O107="","",IF(B107="G마켓",ROUNDDOWN(MAX(Q107*$G$17,R107*$G$18,S107*$G$19),0),ROUNDUP(MAX(Q107*$G$17,R107*$G$18,S107*$G$19),0)))</f>
        <v/>
      </c>
      <c r="W107" s="23">
        <f>IF(G107="","",IF(B107="G마켓",ROUNDDOWN(G107-G107*$Q$6-V107,0),ROUNDUP(G107-G107*$Q$6-V107,0)))</f>
        <v/>
      </c>
    </row>
    <row r="108">
      <c r="B108" s="6" t="n"/>
      <c r="C108" s="6" t="n"/>
      <c r="D108" s="24" t="n"/>
      <c r="E108" s="25" t="n"/>
      <c r="F108" s="25" t="n"/>
      <c r="G108" s="21">
        <f>IF(E108="","",E108-N(F108))</f>
        <v/>
      </c>
      <c r="I108" s="22">
        <f>IF(G108="","",IF(G108&gt;=$C$10,IF(B108="G마켓",ROUNDDOWN(MIN(G108*$D$10,$E$10),0),ROUNDUP(MIN(G108*$D$10,$E$10),0)),0))</f>
        <v/>
      </c>
      <c r="J108" s="22">
        <f>IF(G108="","",IF(G108&gt;=$C$11,IF(B108="G마켓",ROUNDDOWN(MIN(G108*$D$11,$E$11),0),ROUNDUP(MIN(G108*$D$11,$E$11),0)),0))</f>
        <v/>
      </c>
      <c r="K108" s="22">
        <f>IF(G108="","",IF(G108&gt;=$C$12,IF(B108="G마켓",ROUNDDOWN(MIN(G108*$D$12,$E$12),0),ROUNDUP(MIN(G108*$D$12,$E$12),0)),0))</f>
        <v/>
      </c>
      <c r="L108" s="22">
        <f>IF(G108="","",IF(G108&gt;=$C$13,IF(B108="G마켓",ROUNDDOWN(MIN(G108*$D$13,$E$13),0),ROUNDUP(MIN(G108*$D$13,$E$13),0)),0))</f>
        <v/>
      </c>
      <c r="N108" s="21">
        <f>IF(G108="","",MAX(I108,J108,K108,L108))</f>
        <v/>
      </c>
      <c r="O108" s="21">
        <f>IF(G108="","",G108-N108)</f>
        <v/>
      </c>
      <c r="Q108" s="22">
        <f>IF(O108="","",IF(O108&gt;=$C$17,IF(B108="G마켓",ROUNDDOWN(MIN(O108*$D$17,$E$17),0),ROUNDUP(MIN(O108*$D$17,$E$17),0)),0))</f>
        <v/>
      </c>
      <c r="R108" s="22">
        <f>IF(O108="","",IF(O108&gt;=$C$18,IF(B108="G마켓",ROUNDDOWN(MIN(O108*$D$18,$E$18),0),ROUNDUP(MIN(O108*$D$18,$E$18),0)),0))</f>
        <v/>
      </c>
      <c r="S108" s="22">
        <f>IF(O108="","",IF(O108&gt;=$C$19,IF(B108="G마켓",ROUNDDOWN(MIN(O108*$D$19,$E$19),0),ROUNDUP(MIN(O108*$D$19,$E$19),0)),0))</f>
        <v/>
      </c>
      <c r="T108" s="21">
        <f>IF(O108="","",MAX(Q108,R108,S108))</f>
        <v/>
      </c>
      <c r="U108" s="23">
        <f>IF(O108="","",O108-T108)</f>
        <v/>
      </c>
      <c r="V108" s="22">
        <f>IF(O108="","",IF(B108="G마켓",ROUNDDOWN(MAX(Q108*$G$17,R108*$G$18,S108*$G$19),0),ROUNDUP(MAX(Q108*$G$17,R108*$G$18,S108*$G$19),0)))</f>
        <v/>
      </c>
      <c r="W108" s="23">
        <f>IF(G108="","",IF(B108="G마켓",ROUNDDOWN(G108-G108*$Q$6-V108,0),ROUNDUP(G108-G108*$Q$6-V108,0)))</f>
        <v/>
      </c>
    </row>
    <row r="109">
      <c r="B109" s="6" t="n"/>
      <c r="C109" s="6" t="n"/>
      <c r="D109" s="24" t="n"/>
      <c r="E109" s="25" t="n"/>
      <c r="F109" s="25" t="n"/>
      <c r="G109" s="21">
        <f>IF(E109="","",E109-N(F109))</f>
        <v/>
      </c>
      <c r="I109" s="22">
        <f>IF(G109="","",IF(G109&gt;=$C$10,IF(B109="G마켓",ROUNDDOWN(MIN(G109*$D$10,$E$10),0),ROUNDUP(MIN(G109*$D$10,$E$10),0)),0))</f>
        <v/>
      </c>
      <c r="J109" s="22">
        <f>IF(G109="","",IF(G109&gt;=$C$11,IF(B109="G마켓",ROUNDDOWN(MIN(G109*$D$11,$E$11),0),ROUNDUP(MIN(G109*$D$11,$E$11),0)),0))</f>
        <v/>
      </c>
      <c r="K109" s="22">
        <f>IF(G109="","",IF(G109&gt;=$C$12,IF(B109="G마켓",ROUNDDOWN(MIN(G109*$D$12,$E$12),0),ROUNDUP(MIN(G109*$D$12,$E$12),0)),0))</f>
        <v/>
      </c>
      <c r="L109" s="22">
        <f>IF(G109="","",IF(G109&gt;=$C$13,IF(B109="G마켓",ROUNDDOWN(MIN(G109*$D$13,$E$13),0),ROUNDUP(MIN(G109*$D$13,$E$13),0)),0))</f>
        <v/>
      </c>
      <c r="N109" s="21">
        <f>IF(G109="","",MAX(I109,J109,K109,L109))</f>
        <v/>
      </c>
      <c r="O109" s="21">
        <f>IF(G109="","",G109-N109)</f>
        <v/>
      </c>
      <c r="Q109" s="22">
        <f>IF(O109="","",IF(O109&gt;=$C$17,IF(B109="G마켓",ROUNDDOWN(MIN(O109*$D$17,$E$17),0),ROUNDUP(MIN(O109*$D$17,$E$17),0)),0))</f>
        <v/>
      </c>
      <c r="R109" s="22">
        <f>IF(O109="","",IF(O109&gt;=$C$18,IF(B109="G마켓",ROUNDDOWN(MIN(O109*$D$18,$E$18),0),ROUNDUP(MIN(O109*$D$18,$E$18),0)),0))</f>
        <v/>
      </c>
      <c r="S109" s="22">
        <f>IF(O109="","",IF(O109&gt;=$C$19,IF(B109="G마켓",ROUNDDOWN(MIN(O109*$D$19,$E$19),0),ROUNDUP(MIN(O109*$D$19,$E$19),0)),0))</f>
        <v/>
      </c>
      <c r="T109" s="21">
        <f>IF(O109="","",MAX(Q109,R109,S109))</f>
        <v/>
      </c>
      <c r="U109" s="23">
        <f>IF(O109="","",O109-T109)</f>
        <v/>
      </c>
      <c r="V109" s="22">
        <f>IF(O109="","",IF(B109="G마켓",ROUNDDOWN(MAX(Q109*$G$17,R109*$G$18,S109*$G$19),0),ROUNDUP(MAX(Q109*$G$17,R109*$G$18,S109*$G$19),0)))</f>
        <v/>
      </c>
      <c r="W109" s="23">
        <f>IF(G109="","",IF(B109="G마켓",ROUNDDOWN(G109-G109*$Q$6-V109,0),ROUNDUP(G109-G109*$Q$6-V109,0)))</f>
        <v/>
      </c>
    </row>
    <row r="110">
      <c r="B110" s="6" t="n"/>
      <c r="C110" s="6" t="n"/>
      <c r="D110" s="24" t="n"/>
      <c r="E110" s="25" t="n"/>
      <c r="F110" s="25" t="n"/>
      <c r="G110" s="21">
        <f>IF(E110="","",E110-N(F110))</f>
        <v/>
      </c>
      <c r="I110" s="22">
        <f>IF(G110="","",IF(G110&gt;=$C$10,IF(B110="G마켓",ROUNDDOWN(MIN(G110*$D$10,$E$10),0),ROUNDUP(MIN(G110*$D$10,$E$10),0)),0))</f>
        <v/>
      </c>
      <c r="J110" s="22">
        <f>IF(G110="","",IF(G110&gt;=$C$11,IF(B110="G마켓",ROUNDDOWN(MIN(G110*$D$11,$E$11),0),ROUNDUP(MIN(G110*$D$11,$E$11),0)),0))</f>
        <v/>
      </c>
      <c r="K110" s="22">
        <f>IF(G110="","",IF(G110&gt;=$C$12,IF(B110="G마켓",ROUNDDOWN(MIN(G110*$D$12,$E$12),0),ROUNDUP(MIN(G110*$D$12,$E$12),0)),0))</f>
        <v/>
      </c>
      <c r="L110" s="22">
        <f>IF(G110="","",IF(G110&gt;=$C$13,IF(B110="G마켓",ROUNDDOWN(MIN(G110*$D$13,$E$13),0),ROUNDUP(MIN(G110*$D$13,$E$13),0)),0))</f>
        <v/>
      </c>
      <c r="N110" s="21">
        <f>IF(G110="","",MAX(I110,J110,K110,L110))</f>
        <v/>
      </c>
      <c r="O110" s="21">
        <f>IF(G110="","",G110-N110)</f>
        <v/>
      </c>
      <c r="Q110" s="22">
        <f>IF(O110="","",IF(O110&gt;=$C$17,IF(B110="G마켓",ROUNDDOWN(MIN(O110*$D$17,$E$17),0),ROUNDUP(MIN(O110*$D$17,$E$17),0)),0))</f>
        <v/>
      </c>
      <c r="R110" s="22">
        <f>IF(O110="","",IF(O110&gt;=$C$18,IF(B110="G마켓",ROUNDDOWN(MIN(O110*$D$18,$E$18),0),ROUNDUP(MIN(O110*$D$18,$E$18),0)),0))</f>
        <v/>
      </c>
      <c r="S110" s="22">
        <f>IF(O110="","",IF(O110&gt;=$C$19,IF(B110="G마켓",ROUNDDOWN(MIN(O110*$D$19,$E$19),0),ROUNDUP(MIN(O110*$D$19,$E$19),0)),0))</f>
        <v/>
      </c>
      <c r="T110" s="21">
        <f>IF(O110="","",MAX(Q110,R110,S110))</f>
        <v/>
      </c>
      <c r="U110" s="23">
        <f>IF(O110="","",O110-T110)</f>
        <v/>
      </c>
      <c r="V110" s="22">
        <f>IF(O110="","",IF(B110="G마켓",ROUNDDOWN(MAX(Q110*$G$17,R110*$G$18,S110*$G$19),0),ROUNDUP(MAX(Q110*$G$17,R110*$G$18,S110*$G$19),0)))</f>
        <v/>
      </c>
      <c r="W110" s="23">
        <f>IF(G110="","",IF(B110="G마켓",ROUNDDOWN(G110-G110*$Q$6-V110,0),ROUNDUP(G110-G110*$Q$6-V110,0)))</f>
        <v/>
      </c>
    </row>
    <row r="111">
      <c r="B111" s="6" t="n"/>
      <c r="C111" s="6" t="n"/>
      <c r="D111" s="24" t="n"/>
      <c r="E111" s="25" t="n"/>
      <c r="F111" s="25" t="n"/>
      <c r="G111" s="21">
        <f>IF(E111="","",E111-N(F111))</f>
        <v/>
      </c>
      <c r="I111" s="22">
        <f>IF(G111="","",IF(G111&gt;=$C$10,IF(B111="G마켓",ROUNDDOWN(MIN(G111*$D$10,$E$10),0),ROUNDUP(MIN(G111*$D$10,$E$10),0)),0))</f>
        <v/>
      </c>
      <c r="J111" s="22">
        <f>IF(G111="","",IF(G111&gt;=$C$11,IF(B111="G마켓",ROUNDDOWN(MIN(G111*$D$11,$E$11),0),ROUNDUP(MIN(G111*$D$11,$E$11),0)),0))</f>
        <v/>
      </c>
      <c r="K111" s="22">
        <f>IF(G111="","",IF(G111&gt;=$C$12,IF(B111="G마켓",ROUNDDOWN(MIN(G111*$D$12,$E$12),0),ROUNDUP(MIN(G111*$D$12,$E$12),0)),0))</f>
        <v/>
      </c>
      <c r="L111" s="22">
        <f>IF(G111="","",IF(G111&gt;=$C$13,IF(B111="G마켓",ROUNDDOWN(MIN(G111*$D$13,$E$13),0),ROUNDUP(MIN(G111*$D$13,$E$13),0)),0))</f>
        <v/>
      </c>
      <c r="N111" s="21">
        <f>IF(G111="","",MAX(I111,J111,K111,L111))</f>
        <v/>
      </c>
      <c r="O111" s="21">
        <f>IF(G111="","",G111-N111)</f>
        <v/>
      </c>
      <c r="Q111" s="22">
        <f>IF(O111="","",IF(O111&gt;=$C$17,IF(B111="G마켓",ROUNDDOWN(MIN(O111*$D$17,$E$17),0),ROUNDUP(MIN(O111*$D$17,$E$17),0)),0))</f>
        <v/>
      </c>
      <c r="R111" s="22">
        <f>IF(O111="","",IF(O111&gt;=$C$18,IF(B111="G마켓",ROUNDDOWN(MIN(O111*$D$18,$E$18),0),ROUNDUP(MIN(O111*$D$18,$E$18),0)),0))</f>
        <v/>
      </c>
      <c r="S111" s="22">
        <f>IF(O111="","",IF(O111&gt;=$C$19,IF(B111="G마켓",ROUNDDOWN(MIN(O111*$D$19,$E$19),0),ROUNDUP(MIN(O111*$D$19,$E$19),0)),0))</f>
        <v/>
      </c>
      <c r="T111" s="21">
        <f>IF(O111="","",MAX(Q111,R111,S111))</f>
        <v/>
      </c>
      <c r="U111" s="23">
        <f>IF(O111="","",O111-T111)</f>
        <v/>
      </c>
      <c r="V111" s="22">
        <f>IF(O111="","",IF(B111="G마켓",ROUNDDOWN(MAX(Q111*$G$17,R111*$G$18,S111*$G$19),0),ROUNDUP(MAX(Q111*$G$17,R111*$G$18,S111*$G$19),0)))</f>
        <v/>
      </c>
      <c r="W111" s="23">
        <f>IF(G111="","",IF(B111="G마켓",ROUNDDOWN(G111-G111*$Q$6-V111,0),ROUNDUP(G111-G111*$Q$6-V111,0)))</f>
        <v/>
      </c>
    </row>
    <row r="112">
      <c r="B112" s="6" t="n"/>
      <c r="C112" s="6" t="n"/>
      <c r="D112" s="24" t="n"/>
      <c r="E112" s="25" t="n"/>
      <c r="F112" s="25" t="n"/>
      <c r="G112" s="21">
        <f>IF(E112="","",E112-N(F112))</f>
        <v/>
      </c>
      <c r="I112" s="22">
        <f>IF(G112="","",IF(G112&gt;=$C$10,IF(B112="G마켓",ROUNDDOWN(MIN(G112*$D$10,$E$10),0),ROUNDUP(MIN(G112*$D$10,$E$10),0)),0))</f>
        <v/>
      </c>
      <c r="J112" s="22">
        <f>IF(G112="","",IF(G112&gt;=$C$11,IF(B112="G마켓",ROUNDDOWN(MIN(G112*$D$11,$E$11),0),ROUNDUP(MIN(G112*$D$11,$E$11),0)),0))</f>
        <v/>
      </c>
      <c r="K112" s="22">
        <f>IF(G112="","",IF(G112&gt;=$C$12,IF(B112="G마켓",ROUNDDOWN(MIN(G112*$D$12,$E$12),0),ROUNDUP(MIN(G112*$D$12,$E$12),0)),0))</f>
        <v/>
      </c>
      <c r="L112" s="22">
        <f>IF(G112="","",IF(G112&gt;=$C$13,IF(B112="G마켓",ROUNDDOWN(MIN(G112*$D$13,$E$13),0),ROUNDUP(MIN(G112*$D$13,$E$13),0)),0))</f>
        <v/>
      </c>
      <c r="N112" s="21">
        <f>IF(G112="","",MAX(I112,J112,K112,L112))</f>
        <v/>
      </c>
      <c r="O112" s="21">
        <f>IF(G112="","",G112-N112)</f>
        <v/>
      </c>
      <c r="Q112" s="22">
        <f>IF(O112="","",IF(O112&gt;=$C$17,IF(B112="G마켓",ROUNDDOWN(MIN(O112*$D$17,$E$17),0),ROUNDUP(MIN(O112*$D$17,$E$17),0)),0))</f>
        <v/>
      </c>
      <c r="R112" s="22">
        <f>IF(O112="","",IF(O112&gt;=$C$18,IF(B112="G마켓",ROUNDDOWN(MIN(O112*$D$18,$E$18),0),ROUNDUP(MIN(O112*$D$18,$E$18),0)),0))</f>
        <v/>
      </c>
      <c r="S112" s="22">
        <f>IF(O112="","",IF(O112&gt;=$C$19,IF(B112="G마켓",ROUNDDOWN(MIN(O112*$D$19,$E$19),0),ROUNDUP(MIN(O112*$D$19,$E$19),0)),0))</f>
        <v/>
      </c>
      <c r="T112" s="21">
        <f>IF(O112="","",MAX(Q112,R112,S112))</f>
        <v/>
      </c>
      <c r="U112" s="23">
        <f>IF(O112="","",O112-T112)</f>
        <v/>
      </c>
      <c r="V112" s="22">
        <f>IF(O112="","",IF(B112="G마켓",ROUNDDOWN(MAX(Q112*$G$17,R112*$G$18,S112*$G$19),0),ROUNDUP(MAX(Q112*$G$17,R112*$G$18,S112*$G$19),0)))</f>
        <v/>
      </c>
      <c r="W112" s="23">
        <f>IF(G112="","",IF(B112="G마켓",ROUNDDOWN(G112-G112*$Q$6-V112,0),ROUNDUP(G112-G112*$Q$6-V112,0)))</f>
        <v/>
      </c>
    </row>
    <row r="113">
      <c r="B113" s="6" t="n"/>
      <c r="C113" s="6" t="n"/>
      <c r="D113" s="24" t="n"/>
      <c r="E113" s="25" t="n"/>
      <c r="F113" s="25" t="n"/>
      <c r="G113" s="21">
        <f>IF(E113="","",E113-N(F113))</f>
        <v/>
      </c>
      <c r="I113" s="22">
        <f>IF(G113="","",IF(G113&gt;=$C$10,IF(B113="G마켓",ROUNDDOWN(MIN(G113*$D$10,$E$10),0),ROUNDUP(MIN(G113*$D$10,$E$10),0)),0))</f>
        <v/>
      </c>
      <c r="J113" s="22">
        <f>IF(G113="","",IF(G113&gt;=$C$11,IF(B113="G마켓",ROUNDDOWN(MIN(G113*$D$11,$E$11),0),ROUNDUP(MIN(G113*$D$11,$E$11),0)),0))</f>
        <v/>
      </c>
      <c r="K113" s="22">
        <f>IF(G113="","",IF(G113&gt;=$C$12,IF(B113="G마켓",ROUNDDOWN(MIN(G113*$D$12,$E$12),0),ROUNDUP(MIN(G113*$D$12,$E$12),0)),0))</f>
        <v/>
      </c>
      <c r="L113" s="22">
        <f>IF(G113="","",IF(G113&gt;=$C$13,IF(B113="G마켓",ROUNDDOWN(MIN(G113*$D$13,$E$13),0),ROUNDUP(MIN(G113*$D$13,$E$13),0)),0))</f>
        <v/>
      </c>
      <c r="N113" s="21">
        <f>IF(G113="","",MAX(I113,J113,K113,L113))</f>
        <v/>
      </c>
      <c r="O113" s="21">
        <f>IF(G113="","",G113-N113)</f>
        <v/>
      </c>
      <c r="Q113" s="22">
        <f>IF(O113="","",IF(O113&gt;=$C$17,IF(B113="G마켓",ROUNDDOWN(MIN(O113*$D$17,$E$17),0),ROUNDUP(MIN(O113*$D$17,$E$17),0)),0))</f>
        <v/>
      </c>
      <c r="R113" s="22">
        <f>IF(O113="","",IF(O113&gt;=$C$18,IF(B113="G마켓",ROUNDDOWN(MIN(O113*$D$18,$E$18),0),ROUNDUP(MIN(O113*$D$18,$E$18),0)),0))</f>
        <v/>
      </c>
      <c r="S113" s="22">
        <f>IF(O113="","",IF(O113&gt;=$C$19,IF(B113="G마켓",ROUNDDOWN(MIN(O113*$D$19,$E$19),0),ROUNDUP(MIN(O113*$D$19,$E$19),0)),0))</f>
        <v/>
      </c>
      <c r="T113" s="21">
        <f>IF(O113="","",MAX(Q113,R113,S113))</f>
        <v/>
      </c>
      <c r="U113" s="23">
        <f>IF(O113="","",O113-T113)</f>
        <v/>
      </c>
      <c r="V113" s="22">
        <f>IF(O113="","",IF(B113="G마켓",ROUNDDOWN(MAX(Q113*$G$17,R113*$G$18,S113*$G$19),0),ROUNDUP(MAX(Q113*$G$17,R113*$G$18,S113*$G$19),0)))</f>
        <v/>
      </c>
      <c r="W113" s="23">
        <f>IF(G113="","",IF(B113="G마켓",ROUNDDOWN(G113-G113*$Q$6-V113,0),ROUNDUP(G113-G113*$Q$6-V113,0)))</f>
        <v/>
      </c>
    </row>
    <row r="114">
      <c r="B114" s="6" t="n"/>
      <c r="C114" s="6" t="n"/>
      <c r="D114" s="24" t="n"/>
      <c r="E114" s="25" t="n"/>
      <c r="F114" s="25" t="n"/>
      <c r="G114" s="21">
        <f>IF(E114="","",E114-N(F114))</f>
        <v/>
      </c>
      <c r="I114" s="22">
        <f>IF(G114="","",IF(G114&gt;=$C$10,IF(B114="G마켓",ROUNDDOWN(MIN(G114*$D$10,$E$10),0),ROUNDUP(MIN(G114*$D$10,$E$10),0)),0))</f>
        <v/>
      </c>
      <c r="J114" s="22">
        <f>IF(G114="","",IF(G114&gt;=$C$11,IF(B114="G마켓",ROUNDDOWN(MIN(G114*$D$11,$E$11),0),ROUNDUP(MIN(G114*$D$11,$E$11),0)),0))</f>
        <v/>
      </c>
      <c r="K114" s="22">
        <f>IF(G114="","",IF(G114&gt;=$C$12,IF(B114="G마켓",ROUNDDOWN(MIN(G114*$D$12,$E$12),0),ROUNDUP(MIN(G114*$D$12,$E$12),0)),0))</f>
        <v/>
      </c>
      <c r="L114" s="22">
        <f>IF(G114="","",IF(G114&gt;=$C$13,IF(B114="G마켓",ROUNDDOWN(MIN(G114*$D$13,$E$13),0),ROUNDUP(MIN(G114*$D$13,$E$13),0)),0))</f>
        <v/>
      </c>
      <c r="N114" s="21">
        <f>IF(G114="","",MAX(I114,J114,K114,L114))</f>
        <v/>
      </c>
      <c r="O114" s="21">
        <f>IF(G114="","",G114-N114)</f>
        <v/>
      </c>
      <c r="Q114" s="22">
        <f>IF(O114="","",IF(O114&gt;=$C$17,IF(B114="G마켓",ROUNDDOWN(MIN(O114*$D$17,$E$17),0),ROUNDUP(MIN(O114*$D$17,$E$17),0)),0))</f>
        <v/>
      </c>
      <c r="R114" s="22">
        <f>IF(O114="","",IF(O114&gt;=$C$18,IF(B114="G마켓",ROUNDDOWN(MIN(O114*$D$18,$E$18),0),ROUNDUP(MIN(O114*$D$18,$E$18),0)),0))</f>
        <v/>
      </c>
      <c r="S114" s="22">
        <f>IF(O114="","",IF(O114&gt;=$C$19,IF(B114="G마켓",ROUNDDOWN(MIN(O114*$D$19,$E$19),0),ROUNDUP(MIN(O114*$D$19,$E$19),0)),0))</f>
        <v/>
      </c>
      <c r="T114" s="21">
        <f>IF(O114="","",MAX(Q114,R114,S114))</f>
        <v/>
      </c>
      <c r="U114" s="23">
        <f>IF(O114="","",O114-T114)</f>
        <v/>
      </c>
      <c r="V114" s="22">
        <f>IF(O114="","",IF(B114="G마켓",ROUNDDOWN(MAX(Q114*$G$17,R114*$G$18,S114*$G$19),0),ROUNDUP(MAX(Q114*$G$17,R114*$G$18,S114*$G$19),0)))</f>
        <v/>
      </c>
      <c r="W114" s="23">
        <f>IF(G114="","",IF(B114="G마켓",ROUNDDOWN(G114-G114*$Q$6-V114,0),ROUNDUP(G114-G114*$Q$6-V114,0)))</f>
        <v/>
      </c>
    </row>
    <row r="115">
      <c r="B115" s="6" t="n"/>
      <c r="C115" s="6" t="n"/>
      <c r="D115" s="24" t="n"/>
      <c r="E115" s="25" t="n"/>
      <c r="F115" s="25" t="n"/>
      <c r="G115" s="21">
        <f>IF(E115="","",E115-N(F115))</f>
        <v/>
      </c>
      <c r="I115" s="22">
        <f>IF(G115="","",IF(G115&gt;=$C$10,IF(B115="G마켓",ROUNDDOWN(MIN(G115*$D$10,$E$10),0),ROUNDUP(MIN(G115*$D$10,$E$10),0)),0))</f>
        <v/>
      </c>
      <c r="J115" s="22">
        <f>IF(G115="","",IF(G115&gt;=$C$11,IF(B115="G마켓",ROUNDDOWN(MIN(G115*$D$11,$E$11),0),ROUNDUP(MIN(G115*$D$11,$E$11),0)),0))</f>
        <v/>
      </c>
      <c r="K115" s="22">
        <f>IF(G115="","",IF(G115&gt;=$C$12,IF(B115="G마켓",ROUNDDOWN(MIN(G115*$D$12,$E$12),0),ROUNDUP(MIN(G115*$D$12,$E$12),0)),0))</f>
        <v/>
      </c>
      <c r="L115" s="22">
        <f>IF(G115="","",IF(G115&gt;=$C$13,IF(B115="G마켓",ROUNDDOWN(MIN(G115*$D$13,$E$13),0),ROUNDUP(MIN(G115*$D$13,$E$13),0)),0))</f>
        <v/>
      </c>
      <c r="N115" s="21">
        <f>IF(G115="","",MAX(I115,J115,K115,L115))</f>
        <v/>
      </c>
      <c r="O115" s="21">
        <f>IF(G115="","",G115-N115)</f>
        <v/>
      </c>
      <c r="Q115" s="22">
        <f>IF(O115="","",IF(O115&gt;=$C$17,IF(B115="G마켓",ROUNDDOWN(MIN(O115*$D$17,$E$17),0),ROUNDUP(MIN(O115*$D$17,$E$17),0)),0))</f>
        <v/>
      </c>
      <c r="R115" s="22">
        <f>IF(O115="","",IF(O115&gt;=$C$18,IF(B115="G마켓",ROUNDDOWN(MIN(O115*$D$18,$E$18),0),ROUNDUP(MIN(O115*$D$18,$E$18),0)),0))</f>
        <v/>
      </c>
      <c r="S115" s="22">
        <f>IF(O115="","",IF(O115&gt;=$C$19,IF(B115="G마켓",ROUNDDOWN(MIN(O115*$D$19,$E$19),0),ROUNDUP(MIN(O115*$D$19,$E$19),0)),0))</f>
        <v/>
      </c>
      <c r="T115" s="21">
        <f>IF(O115="","",MAX(Q115,R115,S115))</f>
        <v/>
      </c>
      <c r="U115" s="23">
        <f>IF(O115="","",O115-T115)</f>
        <v/>
      </c>
      <c r="V115" s="22">
        <f>IF(O115="","",IF(B115="G마켓",ROUNDDOWN(MAX(Q115*$G$17,R115*$G$18,S115*$G$19),0),ROUNDUP(MAX(Q115*$G$17,R115*$G$18,S115*$G$19),0)))</f>
        <v/>
      </c>
      <c r="W115" s="23">
        <f>IF(G115="","",IF(B115="G마켓",ROUNDDOWN(G115-G115*$Q$6-V115,0),ROUNDUP(G115-G115*$Q$6-V115,0)))</f>
        <v/>
      </c>
    </row>
    <row r="116">
      <c r="B116" s="6" t="n"/>
      <c r="C116" s="6" t="n"/>
      <c r="D116" s="24" t="n"/>
      <c r="E116" s="25" t="n"/>
      <c r="F116" s="25" t="n"/>
      <c r="G116" s="21">
        <f>IF(E116="","",E116-N(F116))</f>
        <v/>
      </c>
      <c r="I116" s="22">
        <f>IF(G116="","",IF(G116&gt;=$C$10,IF(B116="G마켓",ROUNDDOWN(MIN(G116*$D$10,$E$10),0),ROUNDUP(MIN(G116*$D$10,$E$10),0)),0))</f>
        <v/>
      </c>
      <c r="J116" s="22">
        <f>IF(G116="","",IF(G116&gt;=$C$11,IF(B116="G마켓",ROUNDDOWN(MIN(G116*$D$11,$E$11),0),ROUNDUP(MIN(G116*$D$11,$E$11),0)),0))</f>
        <v/>
      </c>
      <c r="K116" s="22">
        <f>IF(G116="","",IF(G116&gt;=$C$12,IF(B116="G마켓",ROUNDDOWN(MIN(G116*$D$12,$E$12),0),ROUNDUP(MIN(G116*$D$12,$E$12),0)),0))</f>
        <v/>
      </c>
      <c r="L116" s="22">
        <f>IF(G116="","",IF(G116&gt;=$C$13,IF(B116="G마켓",ROUNDDOWN(MIN(G116*$D$13,$E$13),0),ROUNDUP(MIN(G116*$D$13,$E$13),0)),0))</f>
        <v/>
      </c>
      <c r="N116" s="21">
        <f>IF(G116="","",MAX(I116,J116,K116,L116))</f>
        <v/>
      </c>
      <c r="O116" s="21">
        <f>IF(G116="","",G116-N116)</f>
        <v/>
      </c>
      <c r="Q116" s="22">
        <f>IF(O116="","",IF(O116&gt;=$C$17,IF(B116="G마켓",ROUNDDOWN(MIN(O116*$D$17,$E$17),0),ROUNDUP(MIN(O116*$D$17,$E$17),0)),0))</f>
        <v/>
      </c>
      <c r="R116" s="22">
        <f>IF(O116="","",IF(O116&gt;=$C$18,IF(B116="G마켓",ROUNDDOWN(MIN(O116*$D$18,$E$18),0),ROUNDUP(MIN(O116*$D$18,$E$18),0)),0))</f>
        <v/>
      </c>
      <c r="S116" s="22">
        <f>IF(O116="","",IF(O116&gt;=$C$19,IF(B116="G마켓",ROUNDDOWN(MIN(O116*$D$19,$E$19),0),ROUNDUP(MIN(O116*$D$19,$E$19),0)),0))</f>
        <v/>
      </c>
      <c r="T116" s="21">
        <f>IF(O116="","",MAX(Q116,R116,S116))</f>
        <v/>
      </c>
      <c r="U116" s="23">
        <f>IF(O116="","",O116-T116)</f>
        <v/>
      </c>
      <c r="V116" s="22">
        <f>IF(O116="","",IF(B116="G마켓",ROUNDDOWN(MAX(Q116*$G$17,R116*$G$18,S116*$G$19),0),ROUNDUP(MAX(Q116*$G$17,R116*$G$18,S116*$G$19),0)))</f>
        <v/>
      </c>
      <c r="W116" s="23">
        <f>IF(G116="","",IF(B116="G마켓",ROUNDDOWN(G116-G116*$Q$6-V116,0),ROUNDUP(G116-G116*$Q$6-V116,0)))</f>
        <v/>
      </c>
    </row>
    <row r="117">
      <c r="B117" s="6" t="n"/>
      <c r="C117" s="6" t="n"/>
      <c r="D117" s="24" t="n"/>
      <c r="E117" s="25" t="n"/>
      <c r="F117" s="25" t="n"/>
      <c r="G117" s="21">
        <f>IF(E117="","",E117-N(F117))</f>
        <v/>
      </c>
      <c r="I117" s="22">
        <f>IF(G117="","",IF(G117&gt;=$C$10,IF(B117="G마켓",ROUNDDOWN(MIN(G117*$D$10,$E$10),0),ROUNDUP(MIN(G117*$D$10,$E$10),0)),0))</f>
        <v/>
      </c>
      <c r="J117" s="22">
        <f>IF(G117="","",IF(G117&gt;=$C$11,IF(B117="G마켓",ROUNDDOWN(MIN(G117*$D$11,$E$11),0),ROUNDUP(MIN(G117*$D$11,$E$11),0)),0))</f>
        <v/>
      </c>
      <c r="K117" s="22">
        <f>IF(G117="","",IF(G117&gt;=$C$12,IF(B117="G마켓",ROUNDDOWN(MIN(G117*$D$12,$E$12),0),ROUNDUP(MIN(G117*$D$12,$E$12),0)),0))</f>
        <v/>
      </c>
      <c r="L117" s="22">
        <f>IF(G117="","",IF(G117&gt;=$C$13,IF(B117="G마켓",ROUNDDOWN(MIN(G117*$D$13,$E$13),0),ROUNDUP(MIN(G117*$D$13,$E$13),0)),0))</f>
        <v/>
      </c>
      <c r="N117" s="21">
        <f>IF(G117="","",MAX(I117,J117,K117,L117))</f>
        <v/>
      </c>
      <c r="O117" s="21">
        <f>IF(G117="","",G117-N117)</f>
        <v/>
      </c>
      <c r="Q117" s="22">
        <f>IF(O117="","",IF(O117&gt;=$C$17,IF(B117="G마켓",ROUNDDOWN(MIN(O117*$D$17,$E$17),0),ROUNDUP(MIN(O117*$D$17,$E$17),0)),0))</f>
        <v/>
      </c>
      <c r="R117" s="22">
        <f>IF(O117="","",IF(O117&gt;=$C$18,IF(B117="G마켓",ROUNDDOWN(MIN(O117*$D$18,$E$18),0),ROUNDUP(MIN(O117*$D$18,$E$18),0)),0))</f>
        <v/>
      </c>
      <c r="S117" s="22">
        <f>IF(O117="","",IF(O117&gt;=$C$19,IF(B117="G마켓",ROUNDDOWN(MIN(O117*$D$19,$E$19),0),ROUNDUP(MIN(O117*$D$19,$E$19),0)),0))</f>
        <v/>
      </c>
      <c r="T117" s="21">
        <f>IF(O117="","",MAX(Q117,R117,S117))</f>
        <v/>
      </c>
      <c r="U117" s="23">
        <f>IF(O117="","",O117-T117)</f>
        <v/>
      </c>
      <c r="V117" s="22">
        <f>IF(O117="","",IF(B117="G마켓",ROUNDDOWN(MAX(Q117*$G$17,R117*$G$18,S117*$G$19),0),ROUNDUP(MAX(Q117*$G$17,R117*$G$18,S117*$G$19),0)))</f>
        <v/>
      </c>
      <c r="W117" s="23">
        <f>IF(G117="","",IF(B117="G마켓",ROUNDDOWN(G117-G117*$Q$6-V117,0),ROUNDUP(G117-G117*$Q$6-V117,0)))</f>
        <v/>
      </c>
    </row>
    <row r="118">
      <c r="B118" s="6" t="n"/>
      <c r="C118" s="6" t="n"/>
      <c r="D118" s="24" t="n"/>
      <c r="E118" s="25" t="n"/>
      <c r="F118" s="25" t="n"/>
      <c r="G118" s="21">
        <f>IF(E118="","",E118-N(F118))</f>
        <v/>
      </c>
      <c r="I118" s="22">
        <f>IF(G118="","",IF(G118&gt;=$C$10,IF(B118="G마켓",ROUNDDOWN(MIN(G118*$D$10,$E$10),0),ROUNDUP(MIN(G118*$D$10,$E$10),0)),0))</f>
        <v/>
      </c>
      <c r="J118" s="22">
        <f>IF(G118="","",IF(G118&gt;=$C$11,IF(B118="G마켓",ROUNDDOWN(MIN(G118*$D$11,$E$11),0),ROUNDUP(MIN(G118*$D$11,$E$11),0)),0))</f>
        <v/>
      </c>
      <c r="K118" s="22">
        <f>IF(G118="","",IF(G118&gt;=$C$12,IF(B118="G마켓",ROUNDDOWN(MIN(G118*$D$12,$E$12),0),ROUNDUP(MIN(G118*$D$12,$E$12),0)),0))</f>
        <v/>
      </c>
      <c r="L118" s="22">
        <f>IF(G118="","",IF(G118&gt;=$C$13,IF(B118="G마켓",ROUNDDOWN(MIN(G118*$D$13,$E$13),0),ROUNDUP(MIN(G118*$D$13,$E$13),0)),0))</f>
        <v/>
      </c>
      <c r="N118" s="21">
        <f>IF(G118="","",MAX(I118,J118,K118,L118))</f>
        <v/>
      </c>
      <c r="O118" s="21">
        <f>IF(G118="","",G118-N118)</f>
        <v/>
      </c>
      <c r="Q118" s="22">
        <f>IF(O118="","",IF(O118&gt;=$C$17,IF(B118="G마켓",ROUNDDOWN(MIN(O118*$D$17,$E$17),0),ROUNDUP(MIN(O118*$D$17,$E$17),0)),0))</f>
        <v/>
      </c>
      <c r="R118" s="22">
        <f>IF(O118="","",IF(O118&gt;=$C$18,IF(B118="G마켓",ROUNDDOWN(MIN(O118*$D$18,$E$18),0),ROUNDUP(MIN(O118*$D$18,$E$18),0)),0))</f>
        <v/>
      </c>
      <c r="S118" s="22">
        <f>IF(O118="","",IF(O118&gt;=$C$19,IF(B118="G마켓",ROUNDDOWN(MIN(O118*$D$19,$E$19),0),ROUNDUP(MIN(O118*$D$19,$E$19),0)),0))</f>
        <v/>
      </c>
      <c r="T118" s="21">
        <f>IF(O118="","",MAX(Q118,R118,S118))</f>
        <v/>
      </c>
      <c r="U118" s="23">
        <f>IF(O118="","",O118-T118)</f>
        <v/>
      </c>
      <c r="V118" s="22">
        <f>IF(O118="","",IF(B118="G마켓",ROUNDDOWN(MAX(Q118*$G$17,R118*$G$18,S118*$G$19),0),ROUNDUP(MAX(Q118*$G$17,R118*$G$18,S118*$G$19),0)))</f>
        <v/>
      </c>
      <c r="W118" s="23">
        <f>IF(G118="","",IF(B118="G마켓",ROUNDDOWN(G118-G118*$Q$6-V118,0),ROUNDUP(G118-G118*$Q$6-V118,0)))</f>
        <v/>
      </c>
    </row>
    <row r="119">
      <c r="B119" s="6" t="n"/>
      <c r="C119" s="6" t="n"/>
      <c r="D119" s="24" t="n"/>
      <c r="E119" s="25" t="n"/>
      <c r="F119" s="25" t="n"/>
      <c r="G119" s="21">
        <f>IF(E119="","",E119-N(F119))</f>
        <v/>
      </c>
      <c r="I119" s="22">
        <f>IF(G119="","",IF(G119&gt;=$C$10,IF(B119="G마켓",ROUNDDOWN(MIN(G119*$D$10,$E$10),0),ROUNDUP(MIN(G119*$D$10,$E$10),0)),0))</f>
        <v/>
      </c>
      <c r="J119" s="22">
        <f>IF(G119="","",IF(G119&gt;=$C$11,IF(B119="G마켓",ROUNDDOWN(MIN(G119*$D$11,$E$11),0),ROUNDUP(MIN(G119*$D$11,$E$11),0)),0))</f>
        <v/>
      </c>
      <c r="K119" s="22">
        <f>IF(G119="","",IF(G119&gt;=$C$12,IF(B119="G마켓",ROUNDDOWN(MIN(G119*$D$12,$E$12),0),ROUNDUP(MIN(G119*$D$12,$E$12),0)),0))</f>
        <v/>
      </c>
      <c r="L119" s="22">
        <f>IF(G119="","",IF(G119&gt;=$C$13,IF(B119="G마켓",ROUNDDOWN(MIN(G119*$D$13,$E$13),0),ROUNDUP(MIN(G119*$D$13,$E$13),0)),0))</f>
        <v/>
      </c>
      <c r="N119" s="21">
        <f>IF(G119="","",MAX(I119,J119,K119,L119))</f>
        <v/>
      </c>
      <c r="O119" s="21">
        <f>IF(G119="","",G119-N119)</f>
        <v/>
      </c>
      <c r="Q119" s="22">
        <f>IF(O119="","",IF(O119&gt;=$C$17,IF(B119="G마켓",ROUNDDOWN(MIN(O119*$D$17,$E$17),0),ROUNDUP(MIN(O119*$D$17,$E$17),0)),0))</f>
        <v/>
      </c>
      <c r="R119" s="22">
        <f>IF(O119="","",IF(O119&gt;=$C$18,IF(B119="G마켓",ROUNDDOWN(MIN(O119*$D$18,$E$18),0),ROUNDUP(MIN(O119*$D$18,$E$18),0)),0))</f>
        <v/>
      </c>
      <c r="S119" s="22">
        <f>IF(O119="","",IF(O119&gt;=$C$19,IF(B119="G마켓",ROUNDDOWN(MIN(O119*$D$19,$E$19),0),ROUNDUP(MIN(O119*$D$19,$E$19),0)),0))</f>
        <v/>
      </c>
      <c r="T119" s="21">
        <f>IF(O119="","",MAX(Q119,R119,S119))</f>
        <v/>
      </c>
      <c r="U119" s="23">
        <f>IF(O119="","",O119-T119)</f>
        <v/>
      </c>
      <c r="V119" s="22">
        <f>IF(O119="","",IF(B119="G마켓",ROUNDDOWN(MAX(Q119*$G$17,R119*$G$18,S119*$G$19),0),ROUNDUP(MAX(Q119*$G$17,R119*$G$18,S119*$G$19),0)))</f>
        <v/>
      </c>
      <c r="W119" s="23">
        <f>IF(G119="","",IF(B119="G마켓",ROUNDDOWN(G119-G119*$Q$6-V119,0),ROUNDUP(G119-G119*$Q$6-V119,0)))</f>
        <v/>
      </c>
    </row>
    <row r="120">
      <c r="B120" s="6" t="n"/>
      <c r="C120" s="6" t="n"/>
      <c r="D120" s="24" t="n"/>
      <c r="E120" s="25" t="n"/>
      <c r="F120" s="25" t="n"/>
      <c r="G120" s="21">
        <f>IF(E120="","",E120-N(F120))</f>
        <v/>
      </c>
      <c r="I120" s="22">
        <f>IF(G120="","",IF(G120&gt;=$C$10,IF(B120="G마켓",ROUNDDOWN(MIN(G120*$D$10,$E$10),0),ROUNDUP(MIN(G120*$D$10,$E$10),0)),0))</f>
        <v/>
      </c>
      <c r="J120" s="22">
        <f>IF(G120="","",IF(G120&gt;=$C$11,IF(B120="G마켓",ROUNDDOWN(MIN(G120*$D$11,$E$11),0),ROUNDUP(MIN(G120*$D$11,$E$11),0)),0))</f>
        <v/>
      </c>
      <c r="K120" s="22">
        <f>IF(G120="","",IF(G120&gt;=$C$12,IF(B120="G마켓",ROUNDDOWN(MIN(G120*$D$12,$E$12),0),ROUNDUP(MIN(G120*$D$12,$E$12),0)),0))</f>
        <v/>
      </c>
      <c r="L120" s="22">
        <f>IF(G120="","",IF(G120&gt;=$C$13,IF(B120="G마켓",ROUNDDOWN(MIN(G120*$D$13,$E$13),0),ROUNDUP(MIN(G120*$D$13,$E$13),0)),0))</f>
        <v/>
      </c>
      <c r="N120" s="21">
        <f>IF(G120="","",MAX(I120,J120,K120,L120))</f>
        <v/>
      </c>
      <c r="O120" s="21">
        <f>IF(G120="","",G120-N120)</f>
        <v/>
      </c>
      <c r="Q120" s="22">
        <f>IF(O120="","",IF(O120&gt;=$C$17,IF(B120="G마켓",ROUNDDOWN(MIN(O120*$D$17,$E$17),0),ROUNDUP(MIN(O120*$D$17,$E$17),0)),0))</f>
        <v/>
      </c>
      <c r="R120" s="22">
        <f>IF(O120="","",IF(O120&gt;=$C$18,IF(B120="G마켓",ROUNDDOWN(MIN(O120*$D$18,$E$18),0),ROUNDUP(MIN(O120*$D$18,$E$18),0)),0))</f>
        <v/>
      </c>
      <c r="S120" s="22">
        <f>IF(O120="","",IF(O120&gt;=$C$19,IF(B120="G마켓",ROUNDDOWN(MIN(O120*$D$19,$E$19),0),ROUNDUP(MIN(O120*$D$19,$E$19),0)),0))</f>
        <v/>
      </c>
      <c r="T120" s="21">
        <f>IF(O120="","",MAX(Q120,R120,S120))</f>
        <v/>
      </c>
      <c r="U120" s="23">
        <f>IF(O120="","",O120-T120)</f>
        <v/>
      </c>
      <c r="V120" s="22">
        <f>IF(O120="","",IF(B120="G마켓",ROUNDDOWN(MAX(Q120*$G$17,R120*$G$18,S120*$G$19),0),ROUNDUP(MAX(Q120*$G$17,R120*$G$18,S120*$G$19),0)))</f>
        <v/>
      </c>
      <c r="W120" s="23">
        <f>IF(G120="","",IF(B120="G마켓",ROUNDDOWN(G120-G120*$Q$6-V120,0),ROUNDUP(G120-G120*$Q$6-V120,0)))</f>
        <v/>
      </c>
    </row>
    <row r="121">
      <c r="B121" s="6" t="n"/>
      <c r="C121" s="6" t="n"/>
      <c r="D121" s="24" t="n"/>
      <c r="E121" s="25" t="n"/>
      <c r="F121" s="25" t="n"/>
      <c r="G121" s="21">
        <f>IF(E121="","",E121-N(F121))</f>
        <v/>
      </c>
      <c r="I121" s="22">
        <f>IF(G121="","",IF(G121&gt;=$C$10,IF(B121="G마켓",ROUNDDOWN(MIN(G121*$D$10,$E$10),0),ROUNDUP(MIN(G121*$D$10,$E$10),0)),0))</f>
        <v/>
      </c>
      <c r="J121" s="22">
        <f>IF(G121="","",IF(G121&gt;=$C$11,IF(B121="G마켓",ROUNDDOWN(MIN(G121*$D$11,$E$11),0),ROUNDUP(MIN(G121*$D$11,$E$11),0)),0))</f>
        <v/>
      </c>
      <c r="K121" s="22">
        <f>IF(G121="","",IF(G121&gt;=$C$12,IF(B121="G마켓",ROUNDDOWN(MIN(G121*$D$12,$E$12),0),ROUNDUP(MIN(G121*$D$12,$E$12),0)),0))</f>
        <v/>
      </c>
      <c r="L121" s="22">
        <f>IF(G121="","",IF(G121&gt;=$C$13,IF(B121="G마켓",ROUNDDOWN(MIN(G121*$D$13,$E$13),0),ROUNDUP(MIN(G121*$D$13,$E$13),0)),0))</f>
        <v/>
      </c>
      <c r="N121" s="21">
        <f>IF(G121="","",MAX(I121,J121,K121,L121))</f>
        <v/>
      </c>
      <c r="O121" s="21">
        <f>IF(G121="","",G121-N121)</f>
        <v/>
      </c>
      <c r="Q121" s="22">
        <f>IF(O121="","",IF(O121&gt;=$C$17,IF(B121="G마켓",ROUNDDOWN(MIN(O121*$D$17,$E$17),0),ROUNDUP(MIN(O121*$D$17,$E$17),0)),0))</f>
        <v/>
      </c>
      <c r="R121" s="22">
        <f>IF(O121="","",IF(O121&gt;=$C$18,IF(B121="G마켓",ROUNDDOWN(MIN(O121*$D$18,$E$18),0),ROUNDUP(MIN(O121*$D$18,$E$18),0)),0))</f>
        <v/>
      </c>
      <c r="S121" s="22">
        <f>IF(O121="","",IF(O121&gt;=$C$19,IF(B121="G마켓",ROUNDDOWN(MIN(O121*$D$19,$E$19),0),ROUNDUP(MIN(O121*$D$19,$E$19),0)),0))</f>
        <v/>
      </c>
      <c r="T121" s="21">
        <f>IF(O121="","",MAX(Q121,R121,S121))</f>
        <v/>
      </c>
      <c r="U121" s="23">
        <f>IF(O121="","",O121-T121)</f>
        <v/>
      </c>
      <c r="V121" s="22">
        <f>IF(O121="","",IF(B121="G마켓",ROUNDDOWN(MAX(Q121*$G$17,R121*$G$18,S121*$G$19),0),ROUNDUP(MAX(Q121*$G$17,R121*$G$18,S121*$G$19),0)))</f>
        <v/>
      </c>
      <c r="W121" s="23">
        <f>IF(G121="","",IF(B121="G마켓",ROUNDDOWN(G121-G121*$Q$6-V121,0),ROUNDUP(G121-G121*$Q$6-V121,0)))</f>
        <v/>
      </c>
    </row>
    <row r="122">
      <c r="B122" s="6" t="n"/>
      <c r="C122" s="6" t="n"/>
      <c r="D122" s="24" t="n"/>
      <c r="E122" s="25" t="n"/>
      <c r="F122" s="25" t="n"/>
      <c r="G122" s="21">
        <f>IF(E122="","",E122-N(F122))</f>
        <v/>
      </c>
      <c r="I122" s="22">
        <f>IF(G122="","",IF(G122&gt;=$C$10,IF(B122="G마켓",ROUNDDOWN(MIN(G122*$D$10,$E$10),0),ROUNDUP(MIN(G122*$D$10,$E$10),0)),0))</f>
        <v/>
      </c>
      <c r="J122" s="22">
        <f>IF(G122="","",IF(G122&gt;=$C$11,IF(B122="G마켓",ROUNDDOWN(MIN(G122*$D$11,$E$11),0),ROUNDUP(MIN(G122*$D$11,$E$11),0)),0))</f>
        <v/>
      </c>
      <c r="K122" s="22">
        <f>IF(G122="","",IF(G122&gt;=$C$12,IF(B122="G마켓",ROUNDDOWN(MIN(G122*$D$12,$E$12),0),ROUNDUP(MIN(G122*$D$12,$E$12),0)),0))</f>
        <v/>
      </c>
      <c r="L122" s="22">
        <f>IF(G122="","",IF(G122&gt;=$C$13,IF(B122="G마켓",ROUNDDOWN(MIN(G122*$D$13,$E$13),0),ROUNDUP(MIN(G122*$D$13,$E$13),0)),0))</f>
        <v/>
      </c>
      <c r="N122" s="21">
        <f>IF(G122="","",MAX(I122,J122,K122,L122))</f>
        <v/>
      </c>
      <c r="O122" s="21">
        <f>IF(G122="","",G122-N122)</f>
        <v/>
      </c>
      <c r="Q122" s="22">
        <f>IF(O122="","",IF(O122&gt;=$C$17,IF(B122="G마켓",ROUNDDOWN(MIN(O122*$D$17,$E$17),0),ROUNDUP(MIN(O122*$D$17,$E$17),0)),0))</f>
        <v/>
      </c>
      <c r="R122" s="22">
        <f>IF(O122="","",IF(O122&gt;=$C$18,IF(B122="G마켓",ROUNDDOWN(MIN(O122*$D$18,$E$18),0),ROUNDUP(MIN(O122*$D$18,$E$18),0)),0))</f>
        <v/>
      </c>
      <c r="S122" s="22">
        <f>IF(O122="","",IF(O122&gt;=$C$19,IF(B122="G마켓",ROUNDDOWN(MIN(O122*$D$19,$E$19),0),ROUNDUP(MIN(O122*$D$19,$E$19),0)),0))</f>
        <v/>
      </c>
      <c r="T122" s="21">
        <f>IF(O122="","",MAX(Q122,R122,S122))</f>
        <v/>
      </c>
      <c r="U122" s="23">
        <f>IF(O122="","",O122-T122)</f>
        <v/>
      </c>
      <c r="V122" s="22">
        <f>IF(O122="","",IF(B122="G마켓",ROUNDDOWN(MAX(Q122*$G$17,R122*$G$18,S122*$G$19),0),ROUNDUP(MAX(Q122*$G$17,R122*$G$18,S122*$G$19),0)))</f>
        <v/>
      </c>
      <c r="W122" s="23">
        <f>IF(G122="","",IF(B122="G마켓",ROUNDDOWN(G122-G122*$Q$6-V122,0),ROUNDUP(G122-G122*$Q$6-V122,0)))</f>
        <v/>
      </c>
    </row>
    <row r="123">
      <c r="B123" s="6" t="n"/>
      <c r="C123" s="6" t="n"/>
      <c r="D123" s="24" t="n"/>
      <c r="E123" s="25" t="n"/>
      <c r="F123" s="25" t="n"/>
      <c r="G123" s="21">
        <f>IF(E123="","",E123-N(F123))</f>
        <v/>
      </c>
      <c r="I123" s="22">
        <f>IF(G123="","",IF(G123&gt;=$C$10,IF(B123="G마켓",ROUNDDOWN(MIN(G123*$D$10,$E$10),0),ROUNDUP(MIN(G123*$D$10,$E$10),0)),0))</f>
        <v/>
      </c>
      <c r="J123" s="22">
        <f>IF(G123="","",IF(G123&gt;=$C$11,IF(B123="G마켓",ROUNDDOWN(MIN(G123*$D$11,$E$11),0),ROUNDUP(MIN(G123*$D$11,$E$11),0)),0))</f>
        <v/>
      </c>
      <c r="K123" s="22">
        <f>IF(G123="","",IF(G123&gt;=$C$12,IF(B123="G마켓",ROUNDDOWN(MIN(G123*$D$12,$E$12),0),ROUNDUP(MIN(G123*$D$12,$E$12),0)),0))</f>
        <v/>
      </c>
      <c r="L123" s="22">
        <f>IF(G123="","",IF(G123&gt;=$C$13,IF(B123="G마켓",ROUNDDOWN(MIN(G123*$D$13,$E$13),0),ROUNDUP(MIN(G123*$D$13,$E$13),0)),0))</f>
        <v/>
      </c>
      <c r="N123" s="21">
        <f>IF(G123="","",MAX(I123,J123,K123,L123))</f>
        <v/>
      </c>
      <c r="O123" s="21">
        <f>IF(G123="","",G123-N123)</f>
        <v/>
      </c>
      <c r="Q123" s="22">
        <f>IF(O123="","",IF(O123&gt;=$C$17,IF(B123="G마켓",ROUNDDOWN(MIN(O123*$D$17,$E$17),0),ROUNDUP(MIN(O123*$D$17,$E$17),0)),0))</f>
        <v/>
      </c>
      <c r="R123" s="22">
        <f>IF(O123="","",IF(O123&gt;=$C$18,IF(B123="G마켓",ROUNDDOWN(MIN(O123*$D$18,$E$18),0),ROUNDUP(MIN(O123*$D$18,$E$18),0)),0))</f>
        <v/>
      </c>
      <c r="S123" s="22">
        <f>IF(O123="","",IF(O123&gt;=$C$19,IF(B123="G마켓",ROUNDDOWN(MIN(O123*$D$19,$E$19),0),ROUNDUP(MIN(O123*$D$19,$E$19),0)),0))</f>
        <v/>
      </c>
      <c r="T123" s="21">
        <f>IF(O123="","",MAX(Q123,R123,S123))</f>
        <v/>
      </c>
      <c r="U123" s="23">
        <f>IF(O123="","",O123-T123)</f>
        <v/>
      </c>
      <c r="V123" s="22">
        <f>IF(O123="","",IF(B123="G마켓",ROUNDDOWN(MAX(Q123*$G$17,R123*$G$18,S123*$G$19),0),ROUNDUP(MAX(Q123*$G$17,R123*$G$18,S123*$G$19),0)))</f>
        <v/>
      </c>
      <c r="W123" s="23">
        <f>IF(G123="","",IF(B123="G마켓",ROUNDDOWN(G123-G123*$Q$6-V123,0),ROUNDUP(G123-G123*$Q$6-V123,0)))</f>
        <v/>
      </c>
    </row>
    <row r="124">
      <c r="B124" s="6" t="n"/>
      <c r="C124" s="6" t="n"/>
      <c r="D124" s="24" t="n"/>
      <c r="E124" s="25" t="n"/>
      <c r="F124" s="25" t="n"/>
      <c r="G124" s="21">
        <f>IF(E124="","",E124-N(F124))</f>
        <v/>
      </c>
      <c r="I124" s="22">
        <f>IF(G124="","",IF(G124&gt;=$C$10,IF(B124="G마켓",ROUNDDOWN(MIN(G124*$D$10,$E$10),0),ROUNDUP(MIN(G124*$D$10,$E$10),0)),0))</f>
        <v/>
      </c>
      <c r="J124" s="22">
        <f>IF(G124="","",IF(G124&gt;=$C$11,IF(B124="G마켓",ROUNDDOWN(MIN(G124*$D$11,$E$11),0),ROUNDUP(MIN(G124*$D$11,$E$11),0)),0))</f>
        <v/>
      </c>
      <c r="K124" s="22">
        <f>IF(G124="","",IF(G124&gt;=$C$12,IF(B124="G마켓",ROUNDDOWN(MIN(G124*$D$12,$E$12),0),ROUNDUP(MIN(G124*$D$12,$E$12),0)),0))</f>
        <v/>
      </c>
      <c r="L124" s="22">
        <f>IF(G124="","",IF(G124&gt;=$C$13,IF(B124="G마켓",ROUNDDOWN(MIN(G124*$D$13,$E$13),0),ROUNDUP(MIN(G124*$D$13,$E$13),0)),0))</f>
        <v/>
      </c>
      <c r="N124" s="21">
        <f>IF(G124="","",MAX(I124,J124,K124,L124))</f>
        <v/>
      </c>
      <c r="O124" s="21">
        <f>IF(G124="","",G124-N124)</f>
        <v/>
      </c>
      <c r="Q124" s="22">
        <f>IF(O124="","",IF(O124&gt;=$C$17,IF(B124="G마켓",ROUNDDOWN(MIN(O124*$D$17,$E$17),0),ROUNDUP(MIN(O124*$D$17,$E$17),0)),0))</f>
        <v/>
      </c>
      <c r="R124" s="22">
        <f>IF(O124="","",IF(O124&gt;=$C$18,IF(B124="G마켓",ROUNDDOWN(MIN(O124*$D$18,$E$18),0),ROUNDUP(MIN(O124*$D$18,$E$18),0)),0))</f>
        <v/>
      </c>
      <c r="S124" s="22">
        <f>IF(O124="","",IF(O124&gt;=$C$19,IF(B124="G마켓",ROUNDDOWN(MIN(O124*$D$19,$E$19),0),ROUNDUP(MIN(O124*$D$19,$E$19),0)),0))</f>
        <v/>
      </c>
      <c r="T124" s="21">
        <f>IF(O124="","",MAX(Q124,R124,S124))</f>
        <v/>
      </c>
      <c r="U124" s="23">
        <f>IF(O124="","",O124-T124)</f>
        <v/>
      </c>
      <c r="V124" s="22">
        <f>IF(O124="","",IF(B124="G마켓",ROUNDDOWN(MAX(Q124*$G$17,R124*$G$18,S124*$G$19),0),ROUNDUP(MAX(Q124*$G$17,R124*$G$18,S124*$G$19),0)))</f>
        <v/>
      </c>
      <c r="W124" s="23">
        <f>IF(G124="","",IF(B124="G마켓",ROUNDDOWN(G124-G124*$Q$6-V124,0),ROUNDUP(G124-G124*$Q$6-V124,0)))</f>
        <v/>
      </c>
    </row>
    <row r="125">
      <c r="B125" s="6" t="n"/>
      <c r="C125" s="6" t="n"/>
      <c r="D125" s="24" t="n"/>
      <c r="E125" s="25" t="n"/>
      <c r="F125" s="25" t="n"/>
      <c r="G125" s="21">
        <f>IF(E125="","",E125-N(F125))</f>
        <v/>
      </c>
      <c r="I125" s="22">
        <f>IF(G125="","",IF(G125&gt;=$C$10,IF(B125="G마켓",ROUNDDOWN(MIN(G125*$D$10,$E$10),0),ROUNDUP(MIN(G125*$D$10,$E$10),0)),0))</f>
        <v/>
      </c>
      <c r="J125" s="22">
        <f>IF(G125="","",IF(G125&gt;=$C$11,IF(B125="G마켓",ROUNDDOWN(MIN(G125*$D$11,$E$11),0),ROUNDUP(MIN(G125*$D$11,$E$11),0)),0))</f>
        <v/>
      </c>
      <c r="K125" s="22">
        <f>IF(G125="","",IF(G125&gt;=$C$12,IF(B125="G마켓",ROUNDDOWN(MIN(G125*$D$12,$E$12),0),ROUNDUP(MIN(G125*$D$12,$E$12),0)),0))</f>
        <v/>
      </c>
      <c r="L125" s="22">
        <f>IF(G125="","",IF(G125&gt;=$C$13,IF(B125="G마켓",ROUNDDOWN(MIN(G125*$D$13,$E$13),0),ROUNDUP(MIN(G125*$D$13,$E$13),0)),0))</f>
        <v/>
      </c>
      <c r="N125" s="21">
        <f>IF(G125="","",MAX(I125,J125,K125,L125))</f>
        <v/>
      </c>
      <c r="O125" s="21">
        <f>IF(G125="","",G125-N125)</f>
        <v/>
      </c>
      <c r="Q125" s="22">
        <f>IF(O125="","",IF(O125&gt;=$C$17,IF(B125="G마켓",ROUNDDOWN(MIN(O125*$D$17,$E$17),0),ROUNDUP(MIN(O125*$D$17,$E$17),0)),0))</f>
        <v/>
      </c>
      <c r="R125" s="22">
        <f>IF(O125="","",IF(O125&gt;=$C$18,IF(B125="G마켓",ROUNDDOWN(MIN(O125*$D$18,$E$18),0),ROUNDUP(MIN(O125*$D$18,$E$18),0)),0))</f>
        <v/>
      </c>
      <c r="S125" s="22">
        <f>IF(O125="","",IF(O125&gt;=$C$19,IF(B125="G마켓",ROUNDDOWN(MIN(O125*$D$19,$E$19),0),ROUNDUP(MIN(O125*$D$19,$E$19),0)),0))</f>
        <v/>
      </c>
      <c r="T125" s="21">
        <f>IF(O125="","",MAX(Q125,R125,S125))</f>
        <v/>
      </c>
      <c r="U125" s="23">
        <f>IF(O125="","",O125-T125)</f>
        <v/>
      </c>
      <c r="V125" s="22">
        <f>IF(O125="","",IF(B125="G마켓",ROUNDDOWN(MAX(Q125*$G$17,R125*$G$18,S125*$G$19),0),ROUNDUP(MAX(Q125*$G$17,R125*$G$18,S125*$G$19),0)))</f>
        <v/>
      </c>
      <c r="W125" s="23">
        <f>IF(G125="","",IF(B125="G마켓",ROUNDDOWN(G125-G125*$Q$6-V125,0),ROUNDUP(G125-G125*$Q$6-V125,0)))</f>
        <v/>
      </c>
    </row>
    <row r="126">
      <c r="B126" s="6" t="n"/>
      <c r="C126" s="6" t="n"/>
      <c r="D126" s="24" t="n"/>
      <c r="E126" s="25" t="n"/>
      <c r="F126" s="25" t="n"/>
      <c r="G126" s="21">
        <f>IF(E126="","",E126-N(F126))</f>
        <v/>
      </c>
      <c r="I126" s="22">
        <f>IF(G126="","",IF(G126&gt;=$C$10,IF(B126="G마켓",ROUNDDOWN(MIN(G126*$D$10,$E$10),0),ROUNDUP(MIN(G126*$D$10,$E$10),0)),0))</f>
        <v/>
      </c>
      <c r="J126" s="22">
        <f>IF(G126="","",IF(G126&gt;=$C$11,IF(B126="G마켓",ROUNDDOWN(MIN(G126*$D$11,$E$11),0),ROUNDUP(MIN(G126*$D$11,$E$11),0)),0))</f>
        <v/>
      </c>
      <c r="K126" s="22">
        <f>IF(G126="","",IF(G126&gt;=$C$12,IF(B126="G마켓",ROUNDDOWN(MIN(G126*$D$12,$E$12),0),ROUNDUP(MIN(G126*$D$12,$E$12),0)),0))</f>
        <v/>
      </c>
      <c r="L126" s="22">
        <f>IF(G126="","",IF(G126&gt;=$C$13,IF(B126="G마켓",ROUNDDOWN(MIN(G126*$D$13,$E$13),0),ROUNDUP(MIN(G126*$D$13,$E$13),0)),0))</f>
        <v/>
      </c>
      <c r="N126" s="21">
        <f>IF(G126="","",MAX(I126,J126,K126,L126))</f>
        <v/>
      </c>
      <c r="O126" s="21">
        <f>IF(G126="","",G126-N126)</f>
        <v/>
      </c>
      <c r="Q126" s="22">
        <f>IF(O126="","",IF(O126&gt;=$C$17,IF(B126="G마켓",ROUNDDOWN(MIN(O126*$D$17,$E$17),0),ROUNDUP(MIN(O126*$D$17,$E$17),0)),0))</f>
        <v/>
      </c>
      <c r="R126" s="22">
        <f>IF(O126="","",IF(O126&gt;=$C$18,IF(B126="G마켓",ROUNDDOWN(MIN(O126*$D$18,$E$18),0),ROUNDUP(MIN(O126*$D$18,$E$18),0)),0))</f>
        <v/>
      </c>
      <c r="S126" s="22">
        <f>IF(O126="","",IF(O126&gt;=$C$19,IF(B126="G마켓",ROUNDDOWN(MIN(O126*$D$19,$E$19),0),ROUNDUP(MIN(O126*$D$19,$E$19),0)),0))</f>
        <v/>
      </c>
      <c r="T126" s="21">
        <f>IF(O126="","",MAX(Q126,R126,S126))</f>
        <v/>
      </c>
      <c r="U126" s="23">
        <f>IF(O126="","",O126-T126)</f>
        <v/>
      </c>
      <c r="V126" s="22">
        <f>IF(O126="","",IF(B126="G마켓",ROUNDDOWN(MAX(Q126*$G$17,R126*$G$18,S126*$G$19),0),ROUNDUP(MAX(Q126*$G$17,R126*$G$18,S126*$G$19),0)))</f>
        <v/>
      </c>
      <c r="W126" s="23">
        <f>IF(G126="","",IF(B126="G마켓",ROUNDDOWN(G126-G126*$Q$6-V126,0),ROUNDUP(G126-G126*$Q$6-V126,0)))</f>
        <v/>
      </c>
    </row>
    <row r="127">
      <c r="B127" s="6" t="n"/>
      <c r="C127" s="6" t="n"/>
      <c r="D127" s="24" t="n"/>
      <c r="E127" s="25" t="n"/>
      <c r="F127" s="25" t="n"/>
      <c r="G127" s="21">
        <f>IF(E127="","",E127-N(F127))</f>
        <v/>
      </c>
      <c r="I127" s="22">
        <f>IF(G127="","",IF(G127&gt;=$C$10,IF(B127="G마켓",ROUNDDOWN(MIN(G127*$D$10,$E$10),0),ROUNDUP(MIN(G127*$D$10,$E$10),0)),0))</f>
        <v/>
      </c>
      <c r="J127" s="22">
        <f>IF(G127="","",IF(G127&gt;=$C$11,IF(B127="G마켓",ROUNDDOWN(MIN(G127*$D$11,$E$11),0),ROUNDUP(MIN(G127*$D$11,$E$11),0)),0))</f>
        <v/>
      </c>
      <c r="K127" s="22">
        <f>IF(G127="","",IF(G127&gt;=$C$12,IF(B127="G마켓",ROUNDDOWN(MIN(G127*$D$12,$E$12),0),ROUNDUP(MIN(G127*$D$12,$E$12),0)),0))</f>
        <v/>
      </c>
      <c r="L127" s="22">
        <f>IF(G127="","",IF(G127&gt;=$C$13,IF(B127="G마켓",ROUNDDOWN(MIN(G127*$D$13,$E$13),0),ROUNDUP(MIN(G127*$D$13,$E$13),0)),0))</f>
        <v/>
      </c>
      <c r="N127" s="21">
        <f>IF(G127="","",MAX(I127,J127,K127,L127))</f>
        <v/>
      </c>
      <c r="O127" s="21">
        <f>IF(G127="","",G127-N127)</f>
        <v/>
      </c>
      <c r="Q127" s="22">
        <f>IF(O127="","",IF(O127&gt;=$C$17,IF(B127="G마켓",ROUNDDOWN(MIN(O127*$D$17,$E$17),0),ROUNDUP(MIN(O127*$D$17,$E$17),0)),0))</f>
        <v/>
      </c>
      <c r="R127" s="22">
        <f>IF(O127="","",IF(O127&gt;=$C$18,IF(B127="G마켓",ROUNDDOWN(MIN(O127*$D$18,$E$18),0),ROUNDUP(MIN(O127*$D$18,$E$18),0)),0))</f>
        <v/>
      </c>
      <c r="S127" s="22">
        <f>IF(O127="","",IF(O127&gt;=$C$19,IF(B127="G마켓",ROUNDDOWN(MIN(O127*$D$19,$E$19),0),ROUNDUP(MIN(O127*$D$19,$E$19),0)),0))</f>
        <v/>
      </c>
      <c r="T127" s="21">
        <f>IF(O127="","",MAX(Q127,R127,S127))</f>
        <v/>
      </c>
      <c r="U127" s="23">
        <f>IF(O127="","",O127-T127)</f>
        <v/>
      </c>
      <c r="V127" s="22">
        <f>IF(O127="","",IF(B127="G마켓",ROUNDDOWN(MAX(Q127*$G$17,R127*$G$18,S127*$G$19),0),ROUNDUP(MAX(Q127*$G$17,R127*$G$18,S127*$G$19),0)))</f>
        <v/>
      </c>
      <c r="W127" s="23">
        <f>IF(G127="","",IF(B127="G마켓",ROUNDDOWN(G127-G127*$Q$6-V127,0),ROUNDUP(G127-G127*$Q$6-V127,0)))</f>
        <v/>
      </c>
    </row>
    <row r="128">
      <c r="B128" s="6" t="n"/>
      <c r="C128" s="6" t="n"/>
      <c r="D128" s="24" t="n"/>
      <c r="E128" s="25" t="n"/>
      <c r="F128" s="25" t="n"/>
      <c r="G128" s="21">
        <f>IF(E128="","",E128-N(F128))</f>
        <v/>
      </c>
      <c r="I128" s="22">
        <f>IF(G128="","",IF(G128&gt;=$C$10,IF(B128="G마켓",ROUNDDOWN(MIN(G128*$D$10,$E$10),0),ROUNDUP(MIN(G128*$D$10,$E$10),0)),0))</f>
        <v/>
      </c>
      <c r="J128" s="22">
        <f>IF(G128="","",IF(G128&gt;=$C$11,IF(B128="G마켓",ROUNDDOWN(MIN(G128*$D$11,$E$11),0),ROUNDUP(MIN(G128*$D$11,$E$11),0)),0))</f>
        <v/>
      </c>
      <c r="K128" s="22">
        <f>IF(G128="","",IF(G128&gt;=$C$12,IF(B128="G마켓",ROUNDDOWN(MIN(G128*$D$12,$E$12),0),ROUNDUP(MIN(G128*$D$12,$E$12),0)),0))</f>
        <v/>
      </c>
      <c r="L128" s="22">
        <f>IF(G128="","",IF(G128&gt;=$C$13,IF(B128="G마켓",ROUNDDOWN(MIN(G128*$D$13,$E$13),0),ROUNDUP(MIN(G128*$D$13,$E$13),0)),0))</f>
        <v/>
      </c>
      <c r="N128" s="21">
        <f>IF(G128="","",MAX(I128,J128,K128,L128))</f>
        <v/>
      </c>
      <c r="O128" s="21">
        <f>IF(G128="","",G128-N128)</f>
        <v/>
      </c>
      <c r="Q128" s="22">
        <f>IF(O128="","",IF(O128&gt;=$C$17,IF(B128="G마켓",ROUNDDOWN(MIN(O128*$D$17,$E$17),0),ROUNDUP(MIN(O128*$D$17,$E$17),0)),0))</f>
        <v/>
      </c>
      <c r="R128" s="22">
        <f>IF(O128="","",IF(O128&gt;=$C$18,IF(B128="G마켓",ROUNDDOWN(MIN(O128*$D$18,$E$18),0),ROUNDUP(MIN(O128*$D$18,$E$18),0)),0))</f>
        <v/>
      </c>
      <c r="S128" s="22">
        <f>IF(O128="","",IF(O128&gt;=$C$19,IF(B128="G마켓",ROUNDDOWN(MIN(O128*$D$19,$E$19),0),ROUNDUP(MIN(O128*$D$19,$E$19),0)),0))</f>
        <v/>
      </c>
      <c r="T128" s="21">
        <f>IF(O128="","",MAX(Q128,R128,S128))</f>
        <v/>
      </c>
      <c r="U128" s="23">
        <f>IF(O128="","",O128-T128)</f>
        <v/>
      </c>
      <c r="V128" s="22">
        <f>IF(O128="","",IF(B128="G마켓",ROUNDDOWN(MAX(Q128*$G$17,R128*$G$18,S128*$G$19),0),ROUNDUP(MAX(Q128*$G$17,R128*$G$18,S128*$G$19),0)))</f>
        <v/>
      </c>
      <c r="W128" s="23">
        <f>IF(G128="","",IF(B128="G마켓",ROUNDDOWN(G128-G128*$Q$6-V128,0),ROUNDUP(G128-G128*$Q$6-V128,0)))</f>
        <v/>
      </c>
    </row>
    <row r="129">
      <c r="B129" s="6" t="n"/>
      <c r="C129" s="6" t="n"/>
      <c r="D129" s="24" t="n"/>
      <c r="E129" s="25" t="n"/>
      <c r="F129" s="25" t="n"/>
      <c r="G129" s="21">
        <f>IF(E129="","",E129-N(F129))</f>
        <v/>
      </c>
      <c r="I129" s="22">
        <f>IF(G129="","",IF(G129&gt;=$C$10,IF(B129="G마켓",ROUNDDOWN(MIN(G129*$D$10,$E$10),0),ROUNDUP(MIN(G129*$D$10,$E$10),0)),0))</f>
        <v/>
      </c>
      <c r="J129" s="22">
        <f>IF(G129="","",IF(G129&gt;=$C$11,IF(B129="G마켓",ROUNDDOWN(MIN(G129*$D$11,$E$11),0),ROUNDUP(MIN(G129*$D$11,$E$11),0)),0))</f>
        <v/>
      </c>
      <c r="K129" s="22">
        <f>IF(G129="","",IF(G129&gt;=$C$12,IF(B129="G마켓",ROUNDDOWN(MIN(G129*$D$12,$E$12),0),ROUNDUP(MIN(G129*$D$12,$E$12),0)),0))</f>
        <v/>
      </c>
      <c r="L129" s="22">
        <f>IF(G129="","",IF(G129&gt;=$C$13,IF(B129="G마켓",ROUNDDOWN(MIN(G129*$D$13,$E$13),0),ROUNDUP(MIN(G129*$D$13,$E$13),0)),0))</f>
        <v/>
      </c>
      <c r="N129" s="21">
        <f>IF(G129="","",MAX(I129,J129,K129,L129))</f>
        <v/>
      </c>
      <c r="O129" s="21">
        <f>IF(G129="","",G129-N129)</f>
        <v/>
      </c>
      <c r="Q129" s="22">
        <f>IF(O129="","",IF(O129&gt;=$C$17,IF(B129="G마켓",ROUNDDOWN(MIN(O129*$D$17,$E$17),0),ROUNDUP(MIN(O129*$D$17,$E$17),0)),0))</f>
        <v/>
      </c>
      <c r="R129" s="22">
        <f>IF(O129="","",IF(O129&gt;=$C$18,IF(B129="G마켓",ROUNDDOWN(MIN(O129*$D$18,$E$18),0),ROUNDUP(MIN(O129*$D$18,$E$18),0)),0))</f>
        <v/>
      </c>
      <c r="S129" s="22">
        <f>IF(O129="","",IF(O129&gt;=$C$19,IF(B129="G마켓",ROUNDDOWN(MIN(O129*$D$19,$E$19),0),ROUNDUP(MIN(O129*$D$19,$E$19),0)),0))</f>
        <v/>
      </c>
      <c r="T129" s="21">
        <f>IF(O129="","",MAX(Q129,R129,S129))</f>
        <v/>
      </c>
      <c r="U129" s="23">
        <f>IF(O129="","",O129-T129)</f>
        <v/>
      </c>
      <c r="V129" s="22">
        <f>IF(O129="","",IF(B129="G마켓",ROUNDDOWN(MAX(Q129*$G$17,R129*$G$18,S129*$G$19),0),ROUNDUP(MAX(Q129*$G$17,R129*$G$18,S129*$G$19),0)))</f>
        <v/>
      </c>
      <c r="W129" s="23">
        <f>IF(G129="","",IF(B129="G마켓",ROUNDDOWN(G129-G129*$Q$6-V129,0),ROUNDUP(G129-G129*$Q$6-V129,0)))</f>
        <v/>
      </c>
    </row>
    <row r="130">
      <c r="B130" s="6" t="n"/>
      <c r="C130" s="6" t="n"/>
      <c r="D130" s="24" t="n"/>
      <c r="E130" s="25" t="n"/>
      <c r="F130" s="25" t="n"/>
      <c r="G130" s="21">
        <f>IF(E130="","",E130-N(F130))</f>
        <v/>
      </c>
      <c r="I130" s="22">
        <f>IF(G130="","",IF(G130&gt;=$C$10,IF(B130="G마켓",ROUNDDOWN(MIN(G130*$D$10,$E$10),0),ROUNDUP(MIN(G130*$D$10,$E$10),0)),0))</f>
        <v/>
      </c>
      <c r="J130" s="22">
        <f>IF(G130="","",IF(G130&gt;=$C$11,IF(B130="G마켓",ROUNDDOWN(MIN(G130*$D$11,$E$11),0),ROUNDUP(MIN(G130*$D$11,$E$11),0)),0))</f>
        <v/>
      </c>
      <c r="K130" s="22">
        <f>IF(G130="","",IF(G130&gt;=$C$12,IF(B130="G마켓",ROUNDDOWN(MIN(G130*$D$12,$E$12),0),ROUNDUP(MIN(G130*$D$12,$E$12),0)),0))</f>
        <v/>
      </c>
      <c r="L130" s="22">
        <f>IF(G130="","",IF(G130&gt;=$C$13,IF(B130="G마켓",ROUNDDOWN(MIN(G130*$D$13,$E$13),0),ROUNDUP(MIN(G130*$D$13,$E$13),0)),0))</f>
        <v/>
      </c>
      <c r="N130" s="21">
        <f>IF(G130="","",MAX(I130,J130,K130,L130))</f>
        <v/>
      </c>
      <c r="O130" s="21">
        <f>IF(G130="","",G130-N130)</f>
        <v/>
      </c>
      <c r="Q130" s="22">
        <f>IF(O130="","",IF(O130&gt;=$C$17,IF(B130="G마켓",ROUNDDOWN(MIN(O130*$D$17,$E$17),0),ROUNDUP(MIN(O130*$D$17,$E$17),0)),0))</f>
        <v/>
      </c>
      <c r="R130" s="22">
        <f>IF(O130="","",IF(O130&gt;=$C$18,IF(B130="G마켓",ROUNDDOWN(MIN(O130*$D$18,$E$18),0),ROUNDUP(MIN(O130*$D$18,$E$18),0)),0))</f>
        <v/>
      </c>
      <c r="S130" s="22">
        <f>IF(O130="","",IF(O130&gt;=$C$19,IF(B130="G마켓",ROUNDDOWN(MIN(O130*$D$19,$E$19),0),ROUNDUP(MIN(O130*$D$19,$E$19),0)),0))</f>
        <v/>
      </c>
      <c r="T130" s="21">
        <f>IF(O130="","",MAX(Q130,R130,S130))</f>
        <v/>
      </c>
      <c r="U130" s="23">
        <f>IF(O130="","",O130-T130)</f>
        <v/>
      </c>
      <c r="V130" s="22">
        <f>IF(O130="","",IF(B130="G마켓",ROUNDDOWN(MAX(Q130*$G$17,R130*$G$18,S130*$G$19),0),ROUNDUP(MAX(Q130*$G$17,R130*$G$18,S130*$G$19),0)))</f>
        <v/>
      </c>
      <c r="W130" s="23">
        <f>IF(G130="","",IF(B130="G마켓",ROUNDDOWN(G130-G130*$Q$6-V130,0),ROUNDUP(G130-G130*$Q$6-V130,0)))</f>
        <v/>
      </c>
    </row>
    <row r="131">
      <c r="B131" s="6" t="n"/>
      <c r="C131" s="6" t="n"/>
      <c r="D131" s="24" t="n"/>
      <c r="E131" s="25" t="n"/>
      <c r="F131" s="25" t="n"/>
      <c r="G131" s="21">
        <f>IF(E131="","",E131-N(F131))</f>
        <v/>
      </c>
      <c r="I131" s="22">
        <f>IF(G131="","",IF(G131&gt;=$C$10,IF(B131="G마켓",ROUNDDOWN(MIN(G131*$D$10,$E$10),0),ROUNDUP(MIN(G131*$D$10,$E$10),0)),0))</f>
        <v/>
      </c>
      <c r="J131" s="22">
        <f>IF(G131="","",IF(G131&gt;=$C$11,IF(B131="G마켓",ROUNDDOWN(MIN(G131*$D$11,$E$11),0),ROUNDUP(MIN(G131*$D$11,$E$11),0)),0))</f>
        <v/>
      </c>
      <c r="K131" s="22">
        <f>IF(G131="","",IF(G131&gt;=$C$12,IF(B131="G마켓",ROUNDDOWN(MIN(G131*$D$12,$E$12),0),ROUNDUP(MIN(G131*$D$12,$E$12),0)),0))</f>
        <v/>
      </c>
      <c r="L131" s="22">
        <f>IF(G131="","",IF(G131&gt;=$C$13,IF(B131="G마켓",ROUNDDOWN(MIN(G131*$D$13,$E$13),0),ROUNDUP(MIN(G131*$D$13,$E$13),0)),0))</f>
        <v/>
      </c>
      <c r="N131" s="21">
        <f>IF(G131="","",MAX(I131,J131,K131,L131))</f>
        <v/>
      </c>
      <c r="O131" s="21">
        <f>IF(G131="","",G131-N131)</f>
        <v/>
      </c>
      <c r="Q131" s="22">
        <f>IF(O131="","",IF(O131&gt;=$C$17,IF(B131="G마켓",ROUNDDOWN(MIN(O131*$D$17,$E$17),0),ROUNDUP(MIN(O131*$D$17,$E$17),0)),0))</f>
        <v/>
      </c>
      <c r="R131" s="22">
        <f>IF(O131="","",IF(O131&gt;=$C$18,IF(B131="G마켓",ROUNDDOWN(MIN(O131*$D$18,$E$18),0),ROUNDUP(MIN(O131*$D$18,$E$18),0)),0))</f>
        <v/>
      </c>
      <c r="S131" s="22">
        <f>IF(O131="","",IF(O131&gt;=$C$19,IF(B131="G마켓",ROUNDDOWN(MIN(O131*$D$19,$E$19),0),ROUNDUP(MIN(O131*$D$19,$E$19),0)),0))</f>
        <v/>
      </c>
      <c r="T131" s="21">
        <f>IF(O131="","",MAX(Q131,R131,S131))</f>
        <v/>
      </c>
      <c r="U131" s="23">
        <f>IF(O131="","",O131-T131)</f>
        <v/>
      </c>
      <c r="V131" s="22">
        <f>IF(O131="","",IF(B131="G마켓",ROUNDDOWN(MAX(Q131*$G$17,R131*$G$18,S131*$G$19),0),ROUNDUP(MAX(Q131*$G$17,R131*$G$18,S131*$G$19),0)))</f>
        <v/>
      </c>
      <c r="W131" s="23">
        <f>IF(G131="","",IF(B131="G마켓",ROUNDDOWN(G131-G131*$Q$6-V131,0),ROUNDUP(G131-G131*$Q$6-V131,0)))</f>
        <v/>
      </c>
    </row>
    <row r="132">
      <c r="B132" s="6" t="n"/>
      <c r="C132" s="6" t="n"/>
      <c r="D132" s="24" t="n"/>
      <c r="E132" s="25" t="n"/>
      <c r="F132" s="25" t="n"/>
      <c r="G132" s="21">
        <f>IF(E132="","",E132-N(F132))</f>
        <v/>
      </c>
      <c r="I132" s="22">
        <f>IF(G132="","",IF(G132&gt;=$C$10,IF(B132="G마켓",ROUNDDOWN(MIN(G132*$D$10,$E$10),0),ROUNDUP(MIN(G132*$D$10,$E$10),0)),0))</f>
        <v/>
      </c>
      <c r="J132" s="22">
        <f>IF(G132="","",IF(G132&gt;=$C$11,IF(B132="G마켓",ROUNDDOWN(MIN(G132*$D$11,$E$11),0),ROUNDUP(MIN(G132*$D$11,$E$11),0)),0))</f>
        <v/>
      </c>
      <c r="K132" s="22">
        <f>IF(G132="","",IF(G132&gt;=$C$12,IF(B132="G마켓",ROUNDDOWN(MIN(G132*$D$12,$E$12),0),ROUNDUP(MIN(G132*$D$12,$E$12),0)),0))</f>
        <v/>
      </c>
      <c r="L132" s="22">
        <f>IF(G132="","",IF(G132&gt;=$C$13,IF(B132="G마켓",ROUNDDOWN(MIN(G132*$D$13,$E$13),0),ROUNDUP(MIN(G132*$D$13,$E$13),0)),0))</f>
        <v/>
      </c>
      <c r="N132" s="21">
        <f>IF(G132="","",MAX(I132,J132,K132,L132))</f>
        <v/>
      </c>
      <c r="O132" s="21">
        <f>IF(G132="","",G132-N132)</f>
        <v/>
      </c>
      <c r="Q132" s="22">
        <f>IF(O132="","",IF(O132&gt;=$C$17,IF(B132="G마켓",ROUNDDOWN(MIN(O132*$D$17,$E$17),0),ROUNDUP(MIN(O132*$D$17,$E$17),0)),0))</f>
        <v/>
      </c>
      <c r="R132" s="22">
        <f>IF(O132="","",IF(O132&gt;=$C$18,IF(B132="G마켓",ROUNDDOWN(MIN(O132*$D$18,$E$18),0),ROUNDUP(MIN(O132*$D$18,$E$18),0)),0))</f>
        <v/>
      </c>
      <c r="S132" s="22">
        <f>IF(O132="","",IF(O132&gt;=$C$19,IF(B132="G마켓",ROUNDDOWN(MIN(O132*$D$19,$E$19),0),ROUNDUP(MIN(O132*$D$19,$E$19),0)),0))</f>
        <v/>
      </c>
      <c r="T132" s="21">
        <f>IF(O132="","",MAX(Q132,R132,S132))</f>
        <v/>
      </c>
      <c r="U132" s="23">
        <f>IF(O132="","",O132-T132)</f>
        <v/>
      </c>
      <c r="V132" s="22">
        <f>IF(O132="","",IF(B132="G마켓",ROUNDDOWN(MAX(Q132*$G$17,R132*$G$18,S132*$G$19),0),ROUNDUP(MAX(Q132*$G$17,R132*$G$18,S132*$G$19),0)))</f>
        <v/>
      </c>
      <c r="W132" s="23">
        <f>IF(G132="","",IF(B132="G마켓",ROUNDDOWN(G132-G132*$Q$6-V132,0),ROUNDUP(G132-G132*$Q$6-V132,0)))</f>
        <v/>
      </c>
    </row>
    <row r="133">
      <c r="B133" s="6" t="n"/>
      <c r="C133" s="6" t="n"/>
      <c r="D133" s="24" t="n"/>
      <c r="E133" s="25" t="n"/>
      <c r="F133" s="25" t="n"/>
      <c r="G133" s="21">
        <f>IF(E133="","",E133-N(F133))</f>
        <v/>
      </c>
      <c r="I133" s="22">
        <f>IF(G133="","",IF(G133&gt;=$C$10,IF(B133="G마켓",ROUNDDOWN(MIN(G133*$D$10,$E$10),0),ROUNDUP(MIN(G133*$D$10,$E$10),0)),0))</f>
        <v/>
      </c>
      <c r="J133" s="22">
        <f>IF(G133="","",IF(G133&gt;=$C$11,IF(B133="G마켓",ROUNDDOWN(MIN(G133*$D$11,$E$11),0),ROUNDUP(MIN(G133*$D$11,$E$11),0)),0))</f>
        <v/>
      </c>
      <c r="K133" s="22">
        <f>IF(G133="","",IF(G133&gt;=$C$12,IF(B133="G마켓",ROUNDDOWN(MIN(G133*$D$12,$E$12),0),ROUNDUP(MIN(G133*$D$12,$E$12),0)),0))</f>
        <v/>
      </c>
      <c r="L133" s="22">
        <f>IF(G133="","",IF(G133&gt;=$C$13,IF(B133="G마켓",ROUNDDOWN(MIN(G133*$D$13,$E$13),0),ROUNDUP(MIN(G133*$D$13,$E$13),0)),0))</f>
        <v/>
      </c>
      <c r="N133" s="21">
        <f>IF(G133="","",MAX(I133,J133,K133,L133))</f>
        <v/>
      </c>
      <c r="O133" s="21">
        <f>IF(G133="","",G133-N133)</f>
        <v/>
      </c>
      <c r="Q133" s="22">
        <f>IF(O133="","",IF(O133&gt;=$C$17,IF(B133="G마켓",ROUNDDOWN(MIN(O133*$D$17,$E$17),0),ROUNDUP(MIN(O133*$D$17,$E$17),0)),0))</f>
        <v/>
      </c>
      <c r="R133" s="22">
        <f>IF(O133="","",IF(O133&gt;=$C$18,IF(B133="G마켓",ROUNDDOWN(MIN(O133*$D$18,$E$18),0),ROUNDUP(MIN(O133*$D$18,$E$18),0)),0))</f>
        <v/>
      </c>
      <c r="S133" s="22">
        <f>IF(O133="","",IF(O133&gt;=$C$19,IF(B133="G마켓",ROUNDDOWN(MIN(O133*$D$19,$E$19),0),ROUNDUP(MIN(O133*$D$19,$E$19),0)),0))</f>
        <v/>
      </c>
      <c r="T133" s="21">
        <f>IF(O133="","",MAX(Q133,R133,S133))</f>
        <v/>
      </c>
      <c r="U133" s="23">
        <f>IF(O133="","",O133-T133)</f>
        <v/>
      </c>
      <c r="V133" s="22">
        <f>IF(O133="","",IF(B133="G마켓",ROUNDDOWN(MAX(Q133*$G$17,R133*$G$18,S133*$G$19),0),ROUNDUP(MAX(Q133*$G$17,R133*$G$18,S133*$G$19),0)))</f>
        <v/>
      </c>
      <c r="W133" s="23">
        <f>IF(G133="","",IF(B133="G마켓",ROUNDDOWN(G133-G133*$Q$6-V133,0),ROUNDUP(G133-G133*$Q$6-V133,0)))</f>
        <v/>
      </c>
    </row>
    <row r="134">
      <c r="B134" s="6" t="n"/>
      <c r="C134" s="6" t="n"/>
      <c r="D134" s="24" t="n"/>
      <c r="E134" s="25" t="n"/>
      <c r="F134" s="25" t="n"/>
      <c r="G134" s="21">
        <f>IF(E134="","",E134-N(F134))</f>
        <v/>
      </c>
      <c r="I134" s="22">
        <f>IF(G134="","",IF(G134&gt;=$C$10,IF(B134="G마켓",ROUNDDOWN(MIN(G134*$D$10,$E$10),0),ROUNDUP(MIN(G134*$D$10,$E$10),0)),0))</f>
        <v/>
      </c>
      <c r="J134" s="22">
        <f>IF(G134="","",IF(G134&gt;=$C$11,IF(B134="G마켓",ROUNDDOWN(MIN(G134*$D$11,$E$11),0),ROUNDUP(MIN(G134*$D$11,$E$11),0)),0))</f>
        <v/>
      </c>
      <c r="K134" s="22">
        <f>IF(G134="","",IF(G134&gt;=$C$12,IF(B134="G마켓",ROUNDDOWN(MIN(G134*$D$12,$E$12),0),ROUNDUP(MIN(G134*$D$12,$E$12),0)),0))</f>
        <v/>
      </c>
      <c r="L134" s="22">
        <f>IF(G134="","",IF(G134&gt;=$C$13,IF(B134="G마켓",ROUNDDOWN(MIN(G134*$D$13,$E$13),0),ROUNDUP(MIN(G134*$D$13,$E$13),0)),0))</f>
        <v/>
      </c>
      <c r="N134" s="21">
        <f>IF(G134="","",MAX(I134,J134,K134,L134))</f>
        <v/>
      </c>
      <c r="O134" s="21">
        <f>IF(G134="","",G134-N134)</f>
        <v/>
      </c>
      <c r="Q134" s="22">
        <f>IF(O134="","",IF(O134&gt;=$C$17,IF(B134="G마켓",ROUNDDOWN(MIN(O134*$D$17,$E$17),0),ROUNDUP(MIN(O134*$D$17,$E$17),0)),0))</f>
        <v/>
      </c>
      <c r="R134" s="22">
        <f>IF(O134="","",IF(O134&gt;=$C$18,IF(B134="G마켓",ROUNDDOWN(MIN(O134*$D$18,$E$18),0),ROUNDUP(MIN(O134*$D$18,$E$18),0)),0))</f>
        <v/>
      </c>
      <c r="S134" s="22">
        <f>IF(O134="","",IF(O134&gt;=$C$19,IF(B134="G마켓",ROUNDDOWN(MIN(O134*$D$19,$E$19),0),ROUNDUP(MIN(O134*$D$19,$E$19),0)),0))</f>
        <v/>
      </c>
      <c r="T134" s="21">
        <f>IF(O134="","",MAX(Q134,R134,S134))</f>
        <v/>
      </c>
      <c r="U134" s="23">
        <f>IF(O134="","",O134-T134)</f>
        <v/>
      </c>
      <c r="V134" s="22">
        <f>IF(O134="","",IF(B134="G마켓",ROUNDDOWN(MAX(Q134*$G$17,R134*$G$18,S134*$G$19),0),ROUNDUP(MAX(Q134*$G$17,R134*$G$18,S134*$G$19),0)))</f>
        <v/>
      </c>
      <c r="W134" s="23">
        <f>IF(G134="","",IF(B134="G마켓",ROUNDDOWN(G134-G134*$Q$6-V134,0),ROUNDUP(G134-G134*$Q$6-V134,0)))</f>
        <v/>
      </c>
    </row>
    <row r="135">
      <c r="B135" s="6" t="n"/>
      <c r="C135" s="6" t="n"/>
      <c r="D135" s="24" t="n"/>
      <c r="E135" s="25" t="n"/>
      <c r="F135" s="25" t="n"/>
      <c r="G135" s="21">
        <f>IF(E135="","",E135-N(F135))</f>
        <v/>
      </c>
      <c r="I135" s="22">
        <f>IF(G135="","",IF(G135&gt;=$C$10,IF(B135="G마켓",ROUNDDOWN(MIN(G135*$D$10,$E$10),0),ROUNDUP(MIN(G135*$D$10,$E$10),0)),0))</f>
        <v/>
      </c>
      <c r="J135" s="22">
        <f>IF(G135="","",IF(G135&gt;=$C$11,IF(B135="G마켓",ROUNDDOWN(MIN(G135*$D$11,$E$11),0),ROUNDUP(MIN(G135*$D$11,$E$11),0)),0))</f>
        <v/>
      </c>
      <c r="K135" s="22">
        <f>IF(G135="","",IF(G135&gt;=$C$12,IF(B135="G마켓",ROUNDDOWN(MIN(G135*$D$12,$E$12),0),ROUNDUP(MIN(G135*$D$12,$E$12),0)),0))</f>
        <v/>
      </c>
      <c r="L135" s="22">
        <f>IF(G135="","",IF(G135&gt;=$C$13,IF(B135="G마켓",ROUNDDOWN(MIN(G135*$D$13,$E$13),0),ROUNDUP(MIN(G135*$D$13,$E$13),0)),0))</f>
        <v/>
      </c>
      <c r="N135" s="21">
        <f>IF(G135="","",MAX(I135,J135,K135,L135))</f>
        <v/>
      </c>
      <c r="O135" s="21">
        <f>IF(G135="","",G135-N135)</f>
        <v/>
      </c>
      <c r="Q135" s="22">
        <f>IF(O135="","",IF(O135&gt;=$C$17,IF(B135="G마켓",ROUNDDOWN(MIN(O135*$D$17,$E$17),0),ROUNDUP(MIN(O135*$D$17,$E$17),0)),0))</f>
        <v/>
      </c>
      <c r="R135" s="22">
        <f>IF(O135="","",IF(O135&gt;=$C$18,IF(B135="G마켓",ROUNDDOWN(MIN(O135*$D$18,$E$18),0),ROUNDUP(MIN(O135*$D$18,$E$18),0)),0))</f>
        <v/>
      </c>
      <c r="S135" s="22">
        <f>IF(O135="","",IF(O135&gt;=$C$19,IF(B135="G마켓",ROUNDDOWN(MIN(O135*$D$19,$E$19),0),ROUNDUP(MIN(O135*$D$19,$E$19),0)),0))</f>
        <v/>
      </c>
      <c r="T135" s="21">
        <f>IF(O135="","",MAX(Q135,R135,S135))</f>
        <v/>
      </c>
      <c r="U135" s="23">
        <f>IF(O135="","",O135-T135)</f>
        <v/>
      </c>
      <c r="V135" s="22">
        <f>IF(O135="","",IF(B135="G마켓",ROUNDDOWN(MAX(Q135*$G$17,R135*$G$18,S135*$G$19),0),ROUNDUP(MAX(Q135*$G$17,R135*$G$18,S135*$G$19),0)))</f>
        <v/>
      </c>
      <c r="W135" s="23">
        <f>IF(G135="","",IF(B135="G마켓",ROUNDDOWN(G135-G135*$Q$6-V135,0),ROUNDUP(G135-G135*$Q$6-V135,0)))</f>
        <v/>
      </c>
    </row>
    <row r="136">
      <c r="B136" s="6" t="n"/>
      <c r="C136" s="6" t="n"/>
      <c r="D136" s="24" t="n"/>
      <c r="E136" s="25" t="n"/>
      <c r="F136" s="25" t="n"/>
      <c r="G136" s="21">
        <f>IF(E136="","",E136-N(F136))</f>
        <v/>
      </c>
      <c r="I136" s="22">
        <f>IF(G136="","",IF(G136&gt;=$C$10,IF(B136="G마켓",ROUNDDOWN(MIN(G136*$D$10,$E$10),0),ROUNDUP(MIN(G136*$D$10,$E$10),0)),0))</f>
        <v/>
      </c>
      <c r="J136" s="22">
        <f>IF(G136="","",IF(G136&gt;=$C$11,IF(B136="G마켓",ROUNDDOWN(MIN(G136*$D$11,$E$11),0),ROUNDUP(MIN(G136*$D$11,$E$11),0)),0))</f>
        <v/>
      </c>
      <c r="K136" s="22">
        <f>IF(G136="","",IF(G136&gt;=$C$12,IF(B136="G마켓",ROUNDDOWN(MIN(G136*$D$12,$E$12),0),ROUNDUP(MIN(G136*$D$12,$E$12),0)),0))</f>
        <v/>
      </c>
      <c r="L136" s="22">
        <f>IF(G136="","",IF(G136&gt;=$C$13,IF(B136="G마켓",ROUNDDOWN(MIN(G136*$D$13,$E$13),0),ROUNDUP(MIN(G136*$D$13,$E$13),0)),0))</f>
        <v/>
      </c>
      <c r="N136" s="21">
        <f>IF(G136="","",MAX(I136,J136,K136,L136))</f>
        <v/>
      </c>
      <c r="O136" s="21">
        <f>IF(G136="","",G136-N136)</f>
        <v/>
      </c>
      <c r="Q136" s="22">
        <f>IF(O136="","",IF(O136&gt;=$C$17,IF(B136="G마켓",ROUNDDOWN(MIN(O136*$D$17,$E$17),0),ROUNDUP(MIN(O136*$D$17,$E$17),0)),0))</f>
        <v/>
      </c>
      <c r="R136" s="22">
        <f>IF(O136="","",IF(O136&gt;=$C$18,IF(B136="G마켓",ROUNDDOWN(MIN(O136*$D$18,$E$18),0),ROUNDUP(MIN(O136*$D$18,$E$18),0)),0))</f>
        <v/>
      </c>
      <c r="S136" s="22">
        <f>IF(O136="","",IF(O136&gt;=$C$19,IF(B136="G마켓",ROUNDDOWN(MIN(O136*$D$19,$E$19),0),ROUNDUP(MIN(O136*$D$19,$E$19),0)),0))</f>
        <v/>
      </c>
      <c r="T136" s="21">
        <f>IF(O136="","",MAX(Q136,R136,S136))</f>
        <v/>
      </c>
      <c r="U136" s="23">
        <f>IF(O136="","",O136-T136)</f>
        <v/>
      </c>
      <c r="V136" s="22">
        <f>IF(O136="","",IF(B136="G마켓",ROUNDDOWN(MAX(Q136*$G$17,R136*$G$18,S136*$G$19),0),ROUNDUP(MAX(Q136*$G$17,R136*$G$18,S136*$G$19),0)))</f>
        <v/>
      </c>
      <c r="W136" s="23">
        <f>IF(G136="","",IF(B136="G마켓",ROUNDDOWN(G136-G136*$Q$6-V136,0),ROUNDUP(G136-G136*$Q$6-V136,0)))</f>
        <v/>
      </c>
    </row>
    <row r="137">
      <c r="B137" s="6" t="n"/>
      <c r="C137" s="6" t="n"/>
      <c r="D137" s="24" t="n"/>
      <c r="E137" s="25" t="n"/>
      <c r="F137" s="25" t="n"/>
      <c r="G137" s="21">
        <f>IF(E137="","",E137-N(F137))</f>
        <v/>
      </c>
      <c r="I137" s="22">
        <f>IF(G137="","",IF(G137&gt;=$C$10,IF(B137="G마켓",ROUNDDOWN(MIN(G137*$D$10,$E$10),0),ROUNDUP(MIN(G137*$D$10,$E$10),0)),0))</f>
        <v/>
      </c>
      <c r="J137" s="22">
        <f>IF(G137="","",IF(G137&gt;=$C$11,IF(B137="G마켓",ROUNDDOWN(MIN(G137*$D$11,$E$11),0),ROUNDUP(MIN(G137*$D$11,$E$11),0)),0))</f>
        <v/>
      </c>
      <c r="K137" s="22">
        <f>IF(G137="","",IF(G137&gt;=$C$12,IF(B137="G마켓",ROUNDDOWN(MIN(G137*$D$12,$E$12),0),ROUNDUP(MIN(G137*$D$12,$E$12),0)),0))</f>
        <v/>
      </c>
      <c r="L137" s="22">
        <f>IF(G137="","",IF(G137&gt;=$C$13,IF(B137="G마켓",ROUNDDOWN(MIN(G137*$D$13,$E$13),0),ROUNDUP(MIN(G137*$D$13,$E$13),0)),0))</f>
        <v/>
      </c>
      <c r="N137" s="21">
        <f>IF(G137="","",MAX(I137,J137,K137,L137))</f>
        <v/>
      </c>
      <c r="O137" s="21">
        <f>IF(G137="","",G137-N137)</f>
        <v/>
      </c>
      <c r="Q137" s="22">
        <f>IF(O137="","",IF(O137&gt;=$C$17,IF(B137="G마켓",ROUNDDOWN(MIN(O137*$D$17,$E$17),0),ROUNDUP(MIN(O137*$D$17,$E$17),0)),0))</f>
        <v/>
      </c>
      <c r="R137" s="22">
        <f>IF(O137="","",IF(O137&gt;=$C$18,IF(B137="G마켓",ROUNDDOWN(MIN(O137*$D$18,$E$18),0),ROUNDUP(MIN(O137*$D$18,$E$18),0)),0))</f>
        <v/>
      </c>
      <c r="S137" s="22">
        <f>IF(O137="","",IF(O137&gt;=$C$19,IF(B137="G마켓",ROUNDDOWN(MIN(O137*$D$19,$E$19),0),ROUNDUP(MIN(O137*$D$19,$E$19),0)),0))</f>
        <v/>
      </c>
      <c r="T137" s="21">
        <f>IF(O137="","",MAX(Q137,R137,S137))</f>
        <v/>
      </c>
      <c r="U137" s="23">
        <f>IF(O137="","",O137-T137)</f>
        <v/>
      </c>
      <c r="V137" s="22">
        <f>IF(O137="","",IF(B137="G마켓",ROUNDDOWN(MAX(Q137*$G$17,R137*$G$18,S137*$G$19),0),ROUNDUP(MAX(Q137*$G$17,R137*$G$18,S137*$G$19),0)))</f>
        <v/>
      </c>
      <c r="W137" s="23">
        <f>IF(G137="","",IF(B137="G마켓",ROUNDDOWN(G137-G137*$Q$6-V137,0),ROUNDUP(G137-G137*$Q$6-V137,0)))</f>
        <v/>
      </c>
    </row>
    <row r="138">
      <c r="B138" s="6" t="n"/>
      <c r="C138" s="6" t="n"/>
      <c r="D138" s="24" t="n"/>
      <c r="E138" s="25" t="n"/>
      <c r="F138" s="25" t="n"/>
      <c r="G138" s="21">
        <f>IF(E138="","",E138-N(F138))</f>
        <v/>
      </c>
      <c r="I138" s="22">
        <f>IF(G138="","",IF(G138&gt;=$C$10,IF(B138="G마켓",ROUNDDOWN(MIN(G138*$D$10,$E$10),0),ROUNDUP(MIN(G138*$D$10,$E$10),0)),0))</f>
        <v/>
      </c>
      <c r="J138" s="22">
        <f>IF(G138="","",IF(G138&gt;=$C$11,IF(B138="G마켓",ROUNDDOWN(MIN(G138*$D$11,$E$11),0),ROUNDUP(MIN(G138*$D$11,$E$11),0)),0))</f>
        <v/>
      </c>
      <c r="K138" s="22">
        <f>IF(G138="","",IF(G138&gt;=$C$12,IF(B138="G마켓",ROUNDDOWN(MIN(G138*$D$12,$E$12),0),ROUNDUP(MIN(G138*$D$12,$E$12),0)),0))</f>
        <v/>
      </c>
      <c r="L138" s="22">
        <f>IF(G138="","",IF(G138&gt;=$C$13,IF(B138="G마켓",ROUNDDOWN(MIN(G138*$D$13,$E$13),0),ROUNDUP(MIN(G138*$D$13,$E$13),0)),0))</f>
        <v/>
      </c>
      <c r="N138" s="21">
        <f>IF(G138="","",MAX(I138,J138,K138,L138))</f>
        <v/>
      </c>
      <c r="O138" s="21">
        <f>IF(G138="","",G138-N138)</f>
        <v/>
      </c>
      <c r="Q138" s="22">
        <f>IF(O138="","",IF(O138&gt;=$C$17,IF(B138="G마켓",ROUNDDOWN(MIN(O138*$D$17,$E$17),0),ROUNDUP(MIN(O138*$D$17,$E$17),0)),0))</f>
        <v/>
      </c>
      <c r="R138" s="22">
        <f>IF(O138="","",IF(O138&gt;=$C$18,IF(B138="G마켓",ROUNDDOWN(MIN(O138*$D$18,$E$18),0),ROUNDUP(MIN(O138*$D$18,$E$18),0)),0))</f>
        <v/>
      </c>
      <c r="S138" s="22">
        <f>IF(O138="","",IF(O138&gt;=$C$19,IF(B138="G마켓",ROUNDDOWN(MIN(O138*$D$19,$E$19),0),ROUNDUP(MIN(O138*$D$19,$E$19),0)),0))</f>
        <v/>
      </c>
      <c r="T138" s="21">
        <f>IF(O138="","",MAX(Q138,R138,S138))</f>
        <v/>
      </c>
      <c r="U138" s="23">
        <f>IF(O138="","",O138-T138)</f>
        <v/>
      </c>
      <c r="V138" s="22">
        <f>IF(O138="","",IF(B138="G마켓",ROUNDDOWN(MAX(Q138*$G$17,R138*$G$18,S138*$G$19),0),ROUNDUP(MAX(Q138*$G$17,R138*$G$18,S138*$G$19),0)))</f>
        <v/>
      </c>
      <c r="W138" s="23">
        <f>IF(G138="","",IF(B138="G마켓",ROUNDDOWN(G138-G138*$Q$6-V138,0),ROUNDUP(G138-G138*$Q$6-V138,0)))</f>
        <v/>
      </c>
    </row>
    <row r="139">
      <c r="B139" s="6" t="n"/>
      <c r="C139" s="6" t="n"/>
      <c r="D139" s="24" t="n"/>
      <c r="E139" s="25" t="n"/>
      <c r="F139" s="25" t="n"/>
      <c r="G139" s="21">
        <f>IF(E139="","",E139-N(F139))</f>
        <v/>
      </c>
      <c r="I139" s="22">
        <f>IF(G139="","",IF(G139&gt;=$C$10,IF(B139="G마켓",ROUNDDOWN(MIN(G139*$D$10,$E$10),0),ROUNDUP(MIN(G139*$D$10,$E$10),0)),0))</f>
        <v/>
      </c>
      <c r="J139" s="22">
        <f>IF(G139="","",IF(G139&gt;=$C$11,IF(B139="G마켓",ROUNDDOWN(MIN(G139*$D$11,$E$11),0),ROUNDUP(MIN(G139*$D$11,$E$11),0)),0))</f>
        <v/>
      </c>
      <c r="K139" s="22">
        <f>IF(G139="","",IF(G139&gt;=$C$12,IF(B139="G마켓",ROUNDDOWN(MIN(G139*$D$12,$E$12),0),ROUNDUP(MIN(G139*$D$12,$E$12),0)),0))</f>
        <v/>
      </c>
      <c r="L139" s="22">
        <f>IF(G139="","",IF(G139&gt;=$C$13,IF(B139="G마켓",ROUNDDOWN(MIN(G139*$D$13,$E$13),0),ROUNDUP(MIN(G139*$D$13,$E$13),0)),0))</f>
        <v/>
      </c>
      <c r="N139" s="21">
        <f>IF(G139="","",MAX(I139,J139,K139,L139))</f>
        <v/>
      </c>
      <c r="O139" s="21">
        <f>IF(G139="","",G139-N139)</f>
        <v/>
      </c>
      <c r="Q139" s="22">
        <f>IF(O139="","",IF(O139&gt;=$C$17,IF(B139="G마켓",ROUNDDOWN(MIN(O139*$D$17,$E$17),0),ROUNDUP(MIN(O139*$D$17,$E$17),0)),0))</f>
        <v/>
      </c>
      <c r="R139" s="22">
        <f>IF(O139="","",IF(O139&gt;=$C$18,IF(B139="G마켓",ROUNDDOWN(MIN(O139*$D$18,$E$18),0),ROUNDUP(MIN(O139*$D$18,$E$18),0)),0))</f>
        <v/>
      </c>
      <c r="S139" s="22">
        <f>IF(O139="","",IF(O139&gt;=$C$19,IF(B139="G마켓",ROUNDDOWN(MIN(O139*$D$19,$E$19),0),ROUNDUP(MIN(O139*$D$19,$E$19),0)),0))</f>
        <v/>
      </c>
      <c r="T139" s="21">
        <f>IF(O139="","",MAX(Q139,R139,S139))</f>
        <v/>
      </c>
      <c r="U139" s="23">
        <f>IF(O139="","",O139-T139)</f>
        <v/>
      </c>
      <c r="V139" s="22">
        <f>IF(O139="","",IF(B139="G마켓",ROUNDDOWN(MAX(Q139*$G$17,R139*$G$18,S139*$G$19),0),ROUNDUP(MAX(Q139*$G$17,R139*$G$18,S139*$G$19),0)))</f>
        <v/>
      </c>
      <c r="W139" s="23">
        <f>IF(G139="","",IF(B139="G마켓",ROUNDDOWN(G139-G139*$Q$6-V139,0),ROUNDUP(G139-G139*$Q$6-V139,0)))</f>
        <v/>
      </c>
    </row>
    <row r="140">
      <c r="B140" s="6" t="n"/>
      <c r="C140" s="6" t="n"/>
      <c r="D140" s="24" t="n"/>
      <c r="E140" s="25" t="n"/>
      <c r="F140" s="25" t="n"/>
      <c r="G140" s="21">
        <f>IF(E140="","",E140-N(F140))</f>
        <v/>
      </c>
      <c r="I140" s="22">
        <f>IF(G140="","",IF(G140&gt;=$C$10,IF(B140="G마켓",ROUNDDOWN(MIN(G140*$D$10,$E$10),0),ROUNDUP(MIN(G140*$D$10,$E$10),0)),0))</f>
        <v/>
      </c>
      <c r="J140" s="22">
        <f>IF(G140="","",IF(G140&gt;=$C$11,IF(B140="G마켓",ROUNDDOWN(MIN(G140*$D$11,$E$11),0),ROUNDUP(MIN(G140*$D$11,$E$11),0)),0))</f>
        <v/>
      </c>
      <c r="K140" s="22">
        <f>IF(G140="","",IF(G140&gt;=$C$12,IF(B140="G마켓",ROUNDDOWN(MIN(G140*$D$12,$E$12),0),ROUNDUP(MIN(G140*$D$12,$E$12),0)),0))</f>
        <v/>
      </c>
      <c r="L140" s="22">
        <f>IF(G140="","",IF(G140&gt;=$C$13,IF(B140="G마켓",ROUNDDOWN(MIN(G140*$D$13,$E$13),0),ROUNDUP(MIN(G140*$D$13,$E$13),0)),0))</f>
        <v/>
      </c>
      <c r="N140" s="21">
        <f>IF(G140="","",MAX(I140,J140,K140,L140))</f>
        <v/>
      </c>
      <c r="O140" s="21">
        <f>IF(G140="","",G140-N140)</f>
        <v/>
      </c>
      <c r="Q140" s="22">
        <f>IF(O140="","",IF(O140&gt;=$C$17,IF(B140="G마켓",ROUNDDOWN(MIN(O140*$D$17,$E$17),0),ROUNDUP(MIN(O140*$D$17,$E$17),0)),0))</f>
        <v/>
      </c>
      <c r="R140" s="22">
        <f>IF(O140="","",IF(O140&gt;=$C$18,IF(B140="G마켓",ROUNDDOWN(MIN(O140*$D$18,$E$18),0),ROUNDUP(MIN(O140*$D$18,$E$18),0)),0))</f>
        <v/>
      </c>
      <c r="S140" s="22">
        <f>IF(O140="","",IF(O140&gt;=$C$19,IF(B140="G마켓",ROUNDDOWN(MIN(O140*$D$19,$E$19),0),ROUNDUP(MIN(O140*$D$19,$E$19),0)),0))</f>
        <v/>
      </c>
      <c r="T140" s="21">
        <f>IF(O140="","",MAX(Q140,R140,S140))</f>
        <v/>
      </c>
      <c r="U140" s="23">
        <f>IF(O140="","",O140-T140)</f>
        <v/>
      </c>
      <c r="V140" s="22">
        <f>IF(O140="","",IF(B140="G마켓",ROUNDDOWN(MAX(Q140*$G$17,R140*$G$18,S140*$G$19),0),ROUNDUP(MAX(Q140*$G$17,R140*$G$18,S140*$G$19),0)))</f>
        <v/>
      </c>
      <c r="W140" s="23">
        <f>IF(G140="","",IF(B140="G마켓",ROUNDDOWN(G140-G140*$Q$6-V140,0),ROUNDUP(G140-G140*$Q$6-V140,0)))</f>
        <v/>
      </c>
    </row>
    <row r="141">
      <c r="B141" s="6" t="n"/>
      <c r="C141" s="6" t="n"/>
      <c r="D141" s="24" t="n"/>
      <c r="E141" s="25" t="n"/>
      <c r="F141" s="25" t="n"/>
      <c r="G141" s="21">
        <f>IF(E141="","",E141-N(F141))</f>
        <v/>
      </c>
      <c r="I141" s="22">
        <f>IF(G141="","",IF(G141&gt;=$C$10,IF(B141="G마켓",ROUNDDOWN(MIN(G141*$D$10,$E$10),0),ROUNDUP(MIN(G141*$D$10,$E$10),0)),0))</f>
        <v/>
      </c>
      <c r="J141" s="22">
        <f>IF(G141="","",IF(G141&gt;=$C$11,IF(B141="G마켓",ROUNDDOWN(MIN(G141*$D$11,$E$11),0),ROUNDUP(MIN(G141*$D$11,$E$11),0)),0))</f>
        <v/>
      </c>
      <c r="K141" s="22">
        <f>IF(G141="","",IF(G141&gt;=$C$12,IF(B141="G마켓",ROUNDDOWN(MIN(G141*$D$12,$E$12),0),ROUNDUP(MIN(G141*$D$12,$E$12),0)),0))</f>
        <v/>
      </c>
      <c r="L141" s="22">
        <f>IF(G141="","",IF(G141&gt;=$C$13,IF(B141="G마켓",ROUNDDOWN(MIN(G141*$D$13,$E$13),0),ROUNDUP(MIN(G141*$D$13,$E$13),0)),0))</f>
        <v/>
      </c>
      <c r="N141" s="21">
        <f>IF(G141="","",MAX(I141,J141,K141,L141))</f>
        <v/>
      </c>
      <c r="O141" s="21">
        <f>IF(G141="","",G141-N141)</f>
        <v/>
      </c>
      <c r="Q141" s="22">
        <f>IF(O141="","",IF(O141&gt;=$C$17,IF(B141="G마켓",ROUNDDOWN(MIN(O141*$D$17,$E$17),0),ROUNDUP(MIN(O141*$D$17,$E$17),0)),0))</f>
        <v/>
      </c>
      <c r="R141" s="22">
        <f>IF(O141="","",IF(O141&gt;=$C$18,IF(B141="G마켓",ROUNDDOWN(MIN(O141*$D$18,$E$18),0),ROUNDUP(MIN(O141*$D$18,$E$18),0)),0))</f>
        <v/>
      </c>
      <c r="S141" s="22">
        <f>IF(O141="","",IF(O141&gt;=$C$19,IF(B141="G마켓",ROUNDDOWN(MIN(O141*$D$19,$E$19),0),ROUNDUP(MIN(O141*$D$19,$E$19),0)),0))</f>
        <v/>
      </c>
      <c r="T141" s="21">
        <f>IF(O141="","",MAX(Q141,R141,S141))</f>
        <v/>
      </c>
      <c r="U141" s="23">
        <f>IF(O141="","",O141-T141)</f>
        <v/>
      </c>
      <c r="V141" s="22">
        <f>IF(O141="","",IF(B141="G마켓",ROUNDDOWN(MAX(Q141*$G$17,R141*$G$18,S141*$G$19),0),ROUNDUP(MAX(Q141*$G$17,R141*$G$18,S141*$G$19),0)))</f>
        <v/>
      </c>
      <c r="W141" s="23">
        <f>IF(G141="","",IF(B141="G마켓",ROUNDDOWN(G141-G141*$Q$6-V141,0),ROUNDUP(G141-G141*$Q$6-V141,0)))</f>
        <v/>
      </c>
    </row>
    <row r="142">
      <c r="B142" s="6" t="n"/>
      <c r="C142" s="6" t="n"/>
      <c r="D142" s="24" t="n"/>
      <c r="E142" s="25" t="n"/>
      <c r="F142" s="25" t="n"/>
      <c r="G142" s="21">
        <f>IF(E142="","",E142-N(F142))</f>
        <v/>
      </c>
      <c r="I142" s="22">
        <f>IF(G142="","",IF(G142&gt;=$C$10,IF(B142="G마켓",ROUNDDOWN(MIN(G142*$D$10,$E$10),0),ROUNDUP(MIN(G142*$D$10,$E$10),0)),0))</f>
        <v/>
      </c>
      <c r="J142" s="22">
        <f>IF(G142="","",IF(G142&gt;=$C$11,IF(B142="G마켓",ROUNDDOWN(MIN(G142*$D$11,$E$11),0),ROUNDUP(MIN(G142*$D$11,$E$11),0)),0))</f>
        <v/>
      </c>
      <c r="K142" s="22">
        <f>IF(G142="","",IF(G142&gt;=$C$12,IF(B142="G마켓",ROUNDDOWN(MIN(G142*$D$12,$E$12),0),ROUNDUP(MIN(G142*$D$12,$E$12),0)),0))</f>
        <v/>
      </c>
      <c r="L142" s="22">
        <f>IF(G142="","",IF(G142&gt;=$C$13,IF(B142="G마켓",ROUNDDOWN(MIN(G142*$D$13,$E$13),0),ROUNDUP(MIN(G142*$D$13,$E$13),0)),0))</f>
        <v/>
      </c>
      <c r="N142" s="21">
        <f>IF(G142="","",MAX(I142,J142,K142,L142))</f>
        <v/>
      </c>
      <c r="O142" s="21">
        <f>IF(G142="","",G142-N142)</f>
        <v/>
      </c>
      <c r="Q142" s="22">
        <f>IF(O142="","",IF(O142&gt;=$C$17,IF(B142="G마켓",ROUNDDOWN(MIN(O142*$D$17,$E$17),0),ROUNDUP(MIN(O142*$D$17,$E$17),0)),0))</f>
        <v/>
      </c>
      <c r="R142" s="22">
        <f>IF(O142="","",IF(O142&gt;=$C$18,IF(B142="G마켓",ROUNDDOWN(MIN(O142*$D$18,$E$18),0),ROUNDUP(MIN(O142*$D$18,$E$18),0)),0))</f>
        <v/>
      </c>
      <c r="S142" s="22">
        <f>IF(O142="","",IF(O142&gt;=$C$19,IF(B142="G마켓",ROUNDDOWN(MIN(O142*$D$19,$E$19),0),ROUNDUP(MIN(O142*$D$19,$E$19),0)),0))</f>
        <v/>
      </c>
      <c r="T142" s="21">
        <f>IF(O142="","",MAX(Q142,R142,S142))</f>
        <v/>
      </c>
      <c r="U142" s="23">
        <f>IF(O142="","",O142-T142)</f>
        <v/>
      </c>
      <c r="V142" s="22">
        <f>IF(O142="","",IF(B142="G마켓",ROUNDDOWN(MAX(Q142*$G$17,R142*$G$18,S142*$G$19),0),ROUNDUP(MAX(Q142*$G$17,R142*$G$18,S142*$G$19),0)))</f>
        <v/>
      </c>
      <c r="W142" s="23">
        <f>IF(G142="","",IF(B142="G마켓",ROUNDDOWN(G142-G142*$Q$6-V142,0),ROUNDUP(G142-G142*$Q$6-V142,0)))</f>
        <v/>
      </c>
    </row>
    <row r="143">
      <c r="B143" s="6" t="n"/>
      <c r="C143" s="6" t="n"/>
      <c r="D143" s="24" t="n"/>
      <c r="E143" s="25" t="n"/>
      <c r="F143" s="25" t="n"/>
      <c r="G143" s="21">
        <f>IF(E143="","",E143-N(F143))</f>
        <v/>
      </c>
      <c r="I143" s="22">
        <f>IF(G143="","",IF(G143&gt;=$C$10,IF(B143="G마켓",ROUNDDOWN(MIN(G143*$D$10,$E$10),0),ROUNDUP(MIN(G143*$D$10,$E$10),0)),0))</f>
        <v/>
      </c>
      <c r="J143" s="22">
        <f>IF(G143="","",IF(G143&gt;=$C$11,IF(B143="G마켓",ROUNDDOWN(MIN(G143*$D$11,$E$11),0),ROUNDUP(MIN(G143*$D$11,$E$11),0)),0))</f>
        <v/>
      </c>
      <c r="K143" s="22">
        <f>IF(G143="","",IF(G143&gt;=$C$12,IF(B143="G마켓",ROUNDDOWN(MIN(G143*$D$12,$E$12),0),ROUNDUP(MIN(G143*$D$12,$E$12),0)),0))</f>
        <v/>
      </c>
      <c r="L143" s="22">
        <f>IF(G143="","",IF(G143&gt;=$C$13,IF(B143="G마켓",ROUNDDOWN(MIN(G143*$D$13,$E$13),0),ROUNDUP(MIN(G143*$D$13,$E$13),0)),0))</f>
        <v/>
      </c>
      <c r="N143" s="21">
        <f>IF(G143="","",MAX(I143,J143,K143,L143))</f>
        <v/>
      </c>
      <c r="O143" s="21">
        <f>IF(G143="","",G143-N143)</f>
        <v/>
      </c>
      <c r="Q143" s="22">
        <f>IF(O143="","",IF(O143&gt;=$C$17,IF(B143="G마켓",ROUNDDOWN(MIN(O143*$D$17,$E$17),0),ROUNDUP(MIN(O143*$D$17,$E$17),0)),0))</f>
        <v/>
      </c>
      <c r="R143" s="22">
        <f>IF(O143="","",IF(O143&gt;=$C$18,IF(B143="G마켓",ROUNDDOWN(MIN(O143*$D$18,$E$18),0),ROUNDUP(MIN(O143*$D$18,$E$18),0)),0))</f>
        <v/>
      </c>
      <c r="S143" s="22">
        <f>IF(O143="","",IF(O143&gt;=$C$19,IF(B143="G마켓",ROUNDDOWN(MIN(O143*$D$19,$E$19),0),ROUNDUP(MIN(O143*$D$19,$E$19),0)),0))</f>
        <v/>
      </c>
      <c r="T143" s="21">
        <f>IF(O143="","",MAX(Q143,R143,S143))</f>
        <v/>
      </c>
      <c r="U143" s="23">
        <f>IF(O143="","",O143-T143)</f>
        <v/>
      </c>
      <c r="V143" s="22">
        <f>IF(O143="","",IF(B143="G마켓",ROUNDDOWN(MAX(Q143*$G$17,R143*$G$18,S143*$G$19),0),ROUNDUP(MAX(Q143*$G$17,R143*$G$18,S143*$G$19),0)))</f>
        <v/>
      </c>
      <c r="W143" s="23">
        <f>IF(G143="","",IF(B143="G마켓",ROUNDDOWN(G143-G143*$Q$6-V143,0),ROUNDUP(G143-G143*$Q$6-V143,0)))</f>
        <v/>
      </c>
    </row>
    <row r="144">
      <c r="B144" s="6" t="n"/>
      <c r="C144" s="6" t="n"/>
      <c r="D144" s="24" t="n"/>
      <c r="E144" s="25" t="n"/>
      <c r="F144" s="25" t="n"/>
      <c r="G144" s="21">
        <f>IF(E144="","",E144-N(F144))</f>
        <v/>
      </c>
      <c r="I144" s="22">
        <f>IF(G144="","",IF(G144&gt;=$C$10,IF(B144="G마켓",ROUNDDOWN(MIN(G144*$D$10,$E$10),0),ROUNDUP(MIN(G144*$D$10,$E$10),0)),0))</f>
        <v/>
      </c>
      <c r="J144" s="22">
        <f>IF(G144="","",IF(G144&gt;=$C$11,IF(B144="G마켓",ROUNDDOWN(MIN(G144*$D$11,$E$11),0),ROUNDUP(MIN(G144*$D$11,$E$11),0)),0))</f>
        <v/>
      </c>
      <c r="K144" s="22">
        <f>IF(G144="","",IF(G144&gt;=$C$12,IF(B144="G마켓",ROUNDDOWN(MIN(G144*$D$12,$E$12),0),ROUNDUP(MIN(G144*$D$12,$E$12),0)),0))</f>
        <v/>
      </c>
      <c r="L144" s="22">
        <f>IF(G144="","",IF(G144&gt;=$C$13,IF(B144="G마켓",ROUNDDOWN(MIN(G144*$D$13,$E$13),0),ROUNDUP(MIN(G144*$D$13,$E$13),0)),0))</f>
        <v/>
      </c>
      <c r="N144" s="21">
        <f>IF(G144="","",MAX(I144,J144,K144,L144))</f>
        <v/>
      </c>
      <c r="O144" s="21">
        <f>IF(G144="","",G144-N144)</f>
        <v/>
      </c>
      <c r="Q144" s="22">
        <f>IF(O144="","",IF(O144&gt;=$C$17,IF(B144="G마켓",ROUNDDOWN(MIN(O144*$D$17,$E$17),0),ROUNDUP(MIN(O144*$D$17,$E$17),0)),0))</f>
        <v/>
      </c>
      <c r="R144" s="22">
        <f>IF(O144="","",IF(O144&gt;=$C$18,IF(B144="G마켓",ROUNDDOWN(MIN(O144*$D$18,$E$18),0),ROUNDUP(MIN(O144*$D$18,$E$18),0)),0))</f>
        <v/>
      </c>
      <c r="S144" s="22">
        <f>IF(O144="","",IF(O144&gt;=$C$19,IF(B144="G마켓",ROUNDDOWN(MIN(O144*$D$19,$E$19),0),ROUNDUP(MIN(O144*$D$19,$E$19),0)),0))</f>
        <v/>
      </c>
      <c r="T144" s="21">
        <f>IF(O144="","",MAX(Q144,R144,S144))</f>
        <v/>
      </c>
      <c r="U144" s="23">
        <f>IF(O144="","",O144-T144)</f>
        <v/>
      </c>
      <c r="V144" s="22">
        <f>IF(O144="","",IF(B144="G마켓",ROUNDDOWN(MAX(Q144*$G$17,R144*$G$18,S144*$G$19),0),ROUNDUP(MAX(Q144*$G$17,R144*$G$18,S144*$G$19),0)))</f>
        <v/>
      </c>
      <c r="W144" s="23">
        <f>IF(G144="","",IF(B144="G마켓",ROUNDDOWN(G144-G144*$Q$6-V144,0),ROUNDUP(G144-G144*$Q$6-V144,0)))</f>
        <v/>
      </c>
    </row>
    <row r="145">
      <c r="B145" s="6" t="n"/>
      <c r="C145" s="6" t="n"/>
      <c r="D145" s="24" t="n"/>
      <c r="E145" s="25" t="n"/>
      <c r="F145" s="25" t="n"/>
      <c r="G145" s="21">
        <f>IF(E145="","",E145-N(F145))</f>
        <v/>
      </c>
      <c r="I145" s="22">
        <f>IF(G145="","",IF(G145&gt;=$C$10,IF(B145="G마켓",ROUNDDOWN(MIN(G145*$D$10,$E$10),0),ROUNDUP(MIN(G145*$D$10,$E$10),0)),0))</f>
        <v/>
      </c>
      <c r="J145" s="22">
        <f>IF(G145="","",IF(G145&gt;=$C$11,IF(B145="G마켓",ROUNDDOWN(MIN(G145*$D$11,$E$11),0),ROUNDUP(MIN(G145*$D$11,$E$11),0)),0))</f>
        <v/>
      </c>
      <c r="K145" s="22">
        <f>IF(G145="","",IF(G145&gt;=$C$12,IF(B145="G마켓",ROUNDDOWN(MIN(G145*$D$12,$E$12),0),ROUNDUP(MIN(G145*$D$12,$E$12),0)),0))</f>
        <v/>
      </c>
      <c r="L145" s="22">
        <f>IF(G145="","",IF(G145&gt;=$C$13,IF(B145="G마켓",ROUNDDOWN(MIN(G145*$D$13,$E$13),0),ROUNDUP(MIN(G145*$D$13,$E$13),0)),0))</f>
        <v/>
      </c>
      <c r="N145" s="21">
        <f>IF(G145="","",MAX(I145,J145,K145,L145))</f>
        <v/>
      </c>
      <c r="O145" s="21">
        <f>IF(G145="","",G145-N145)</f>
        <v/>
      </c>
      <c r="Q145" s="22">
        <f>IF(O145="","",IF(O145&gt;=$C$17,IF(B145="G마켓",ROUNDDOWN(MIN(O145*$D$17,$E$17),0),ROUNDUP(MIN(O145*$D$17,$E$17),0)),0))</f>
        <v/>
      </c>
      <c r="R145" s="22">
        <f>IF(O145="","",IF(O145&gt;=$C$18,IF(B145="G마켓",ROUNDDOWN(MIN(O145*$D$18,$E$18),0),ROUNDUP(MIN(O145*$D$18,$E$18),0)),0))</f>
        <v/>
      </c>
      <c r="S145" s="22">
        <f>IF(O145="","",IF(O145&gt;=$C$19,IF(B145="G마켓",ROUNDDOWN(MIN(O145*$D$19,$E$19),0),ROUNDUP(MIN(O145*$D$19,$E$19),0)),0))</f>
        <v/>
      </c>
      <c r="T145" s="21">
        <f>IF(O145="","",MAX(Q145,R145,S145))</f>
        <v/>
      </c>
      <c r="U145" s="23">
        <f>IF(O145="","",O145-T145)</f>
        <v/>
      </c>
      <c r="V145" s="22">
        <f>IF(O145="","",IF(B145="G마켓",ROUNDDOWN(MAX(Q145*$G$17,R145*$G$18,S145*$G$19),0),ROUNDUP(MAX(Q145*$G$17,R145*$G$18,S145*$G$19),0)))</f>
        <v/>
      </c>
      <c r="W145" s="23">
        <f>IF(G145="","",IF(B145="G마켓",ROUNDDOWN(G145-G145*$Q$6-V145,0),ROUNDUP(G145-G145*$Q$6-V145,0)))</f>
        <v/>
      </c>
    </row>
    <row r="146">
      <c r="B146" s="6" t="n"/>
      <c r="C146" s="6" t="n"/>
      <c r="D146" s="24" t="n"/>
      <c r="E146" s="25" t="n"/>
      <c r="F146" s="25" t="n"/>
      <c r="G146" s="21">
        <f>IF(E146="","",E146-N(F146))</f>
        <v/>
      </c>
      <c r="I146" s="22">
        <f>IF(G146="","",IF(G146&gt;=$C$10,IF(B146="G마켓",ROUNDDOWN(MIN(G146*$D$10,$E$10),0),ROUNDUP(MIN(G146*$D$10,$E$10),0)),0))</f>
        <v/>
      </c>
      <c r="J146" s="22">
        <f>IF(G146="","",IF(G146&gt;=$C$11,IF(B146="G마켓",ROUNDDOWN(MIN(G146*$D$11,$E$11),0),ROUNDUP(MIN(G146*$D$11,$E$11),0)),0))</f>
        <v/>
      </c>
      <c r="K146" s="22">
        <f>IF(G146="","",IF(G146&gt;=$C$12,IF(B146="G마켓",ROUNDDOWN(MIN(G146*$D$12,$E$12),0),ROUNDUP(MIN(G146*$D$12,$E$12),0)),0))</f>
        <v/>
      </c>
      <c r="L146" s="22">
        <f>IF(G146="","",IF(G146&gt;=$C$13,IF(B146="G마켓",ROUNDDOWN(MIN(G146*$D$13,$E$13),0),ROUNDUP(MIN(G146*$D$13,$E$13),0)),0))</f>
        <v/>
      </c>
      <c r="N146" s="21">
        <f>IF(G146="","",MAX(I146,J146,K146,L146))</f>
        <v/>
      </c>
      <c r="O146" s="21">
        <f>IF(G146="","",G146-N146)</f>
        <v/>
      </c>
      <c r="Q146" s="22">
        <f>IF(O146="","",IF(O146&gt;=$C$17,IF(B146="G마켓",ROUNDDOWN(MIN(O146*$D$17,$E$17),0),ROUNDUP(MIN(O146*$D$17,$E$17),0)),0))</f>
        <v/>
      </c>
      <c r="R146" s="22">
        <f>IF(O146="","",IF(O146&gt;=$C$18,IF(B146="G마켓",ROUNDDOWN(MIN(O146*$D$18,$E$18),0),ROUNDUP(MIN(O146*$D$18,$E$18),0)),0))</f>
        <v/>
      </c>
      <c r="S146" s="22">
        <f>IF(O146="","",IF(O146&gt;=$C$19,IF(B146="G마켓",ROUNDDOWN(MIN(O146*$D$19,$E$19),0),ROUNDUP(MIN(O146*$D$19,$E$19),0)),0))</f>
        <v/>
      </c>
      <c r="T146" s="21">
        <f>IF(O146="","",MAX(Q146,R146,S146))</f>
        <v/>
      </c>
      <c r="U146" s="23">
        <f>IF(O146="","",O146-T146)</f>
        <v/>
      </c>
      <c r="V146" s="22">
        <f>IF(O146="","",IF(B146="G마켓",ROUNDDOWN(MAX(Q146*$G$17,R146*$G$18,S146*$G$19),0),ROUNDUP(MAX(Q146*$G$17,R146*$G$18,S146*$G$19),0)))</f>
        <v/>
      </c>
      <c r="W146" s="23">
        <f>IF(G146="","",IF(B146="G마켓",ROUNDDOWN(G146-G146*$Q$6-V146,0),ROUNDUP(G146-G146*$Q$6-V146,0)))</f>
        <v/>
      </c>
    </row>
    <row r="147">
      <c r="B147" s="6" t="n"/>
      <c r="C147" s="6" t="n"/>
      <c r="D147" s="24" t="n"/>
      <c r="E147" s="25" t="n"/>
      <c r="F147" s="25" t="n"/>
      <c r="G147" s="21">
        <f>IF(E147="","",E147-N(F147))</f>
        <v/>
      </c>
      <c r="I147" s="22">
        <f>IF(G147="","",IF(G147&gt;=$C$10,IF(B147="G마켓",ROUNDDOWN(MIN(G147*$D$10,$E$10),0),ROUNDUP(MIN(G147*$D$10,$E$10),0)),0))</f>
        <v/>
      </c>
      <c r="J147" s="22">
        <f>IF(G147="","",IF(G147&gt;=$C$11,IF(B147="G마켓",ROUNDDOWN(MIN(G147*$D$11,$E$11),0),ROUNDUP(MIN(G147*$D$11,$E$11),0)),0))</f>
        <v/>
      </c>
      <c r="K147" s="22">
        <f>IF(G147="","",IF(G147&gt;=$C$12,IF(B147="G마켓",ROUNDDOWN(MIN(G147*$D$12,$E$12),0),ROUNDUP(MIN(G147*$D$12,$E$12),0)),0))</f>
        <v/>
      </c>
      <c r="L147" s="22">
        <f>IF(G147="","",IF(G147&gt;=$C$13,IF(B147="G마켓",ROUNDDOWN(MIN(G147*$D$13,$E$13),0),ROUNDUP(MIN(G147*$D$13,$E$13),0)),0))</f>
        <v/>
      </c>
      <c r="N147" s="21">
        <f>IF(G147="","",MAX(I147,J147,K147,L147))</f>
        <v/>
      </c>
      <c r="O147" s="21">
        <f>IF(G147="","",G147-N147)</f>
        <v/>
      </c>
      <c r="Q147" s="22">
        <f>IF(O147="","",IF(O147&gt;=$C$17,IF(B147="G마켓",ROUNDDOWN(MIN(O147*$D$17,$E$17),0),ROUNDUP(MIN(O147*$D$17,$E$17),0)),0))</f>
        <v/>
      </c>
      <c r="R147" s="22">
        <f>IF(O147="","",IF(O147&gt;=$C$18,IF(B147="G마켓",ROUNDDOWN(MIN(O147*$D$18,$E$18),0),ROUNDUP(MIN(O147*$D$18,$E$18),0)),0))</f>
        <v/>
      </c>
      <c r="S147" s="22">
        <f>IF(O147="","",IF(O147&gt;=$C$19,IF(B147="G마켓",ROUNDDOWN(MIN(O147*$D$19,$E$19),0),ROUNDUP(MIN(O147*$D$19,$E$19),0)),0))</f>
        <v/>
      </c>
      <c r="T147" s="21">
        <f>IF(O147="","",MAX(Q147,R147,S147))</f>
        <v/>
      </c>
      <c r="U147" s="23">
        <f>IF(O147="","",O147-T147)</f>
        <v/>
      </c>
      <c r="V147" s="22">
        <f>IF(O147="","",IF(B147="G마켓",ROUNDDOWN(MAX(Q147*$G$17,R147*$G$18,S147*$G$19),0),ROUNDUP(MAX(Q147*$G$17,R147*$G$18,S147*$G$19),0)))</f>
        <v/>
      </c>
      <c r="W147" s="23">
        <f>IF(G147="","",IF(B147="G마켓",ROUNDDOWN(G147-G147*$Q$6-V147,0),ROUNDUP(G147-G147*$Q$6-V147,0)))</f>
        <v/>
      </c>
    </row>
    <row r="148">
      <c r="B148" s="6" t="n"/>
      <c r="C148" s="6" t="n"/>
      <c r="D148" s="24" t="n"/>
      <c r="E148" s="25" t="n"/>
      <c r="F148" s="25" t="n"/>
      <c r="G148" s="21">
        <f>IF(E148="","",E148-N(F148))</f>
        <v/>
      </c>
      <c r="I148" s="22">
        <f>IF(G148="","",IF(G148&gt;=$C$10,IF(B148="G마켓",ROUNDDOWN(MIN(G148*$D$10,$E$10),0),ROUNDUP(MIN(G148*$D$10,$E$10),0)),0))</f>
        <v/>
      </c>
      <c r="J148" s="22">
        <f>IF(G148="","",IF(G148&gt;=$C$11,IF(B148="G마켓",ROUNDDOWN(MIN(G148*$D$11,$E$11),0),ROUNDUP(MIN(G148*$D$11,$E$11),0)),0))</f>
        <v/>
      </c>
      <c r="K148" s="22">
        <f>IF(G148="","",IF(G148&gt;=$C$12,IF(B148="G마켓",ROUNDDOWN(MIN(G148*$D$12,$E$12),0),ROUNDUP(MIN(G148*$D$12,$E$12),0)),0))</f>
        <v/>
      </c>
      <c r="L148" s="22">
        <f>IF(G148="","",IF(G148&gt;=$C$13,IF(B148="G마켓",ROUNDDOWN(MIN(G148*$D$13,$E$13),0),ROUNDUP(MIN(G148*$D$13,$E$13),0)),0))</f>
        <v/>
      </c>
      <c r="N148" s="21">
        <f>IF(G148="","",MAX(I148,J148,K148,L148))</f>
        <v/>
      </c>
      <c r="O148" s="21">
        <f>IF(G148="","",G148-N148)</f>
        <v/>
      </c>
      <c r="Q148" s="22">
        <f>IF(O148="","",IF(O148&gt;=$C$17,IF(B148="G마켓",ROUNDDOWN(MIN(O148*$D$17,$E$17),0),ROUNDUP(MIN(O148*$D$17,$E$17),0)),0))</f>
        <v/>
      </c>
      <c r="R148" s="22">
        <f>IF(O148="","",IF(O148&gt;=$C$18,IF(B148="G마켓",ROUNDDOWN(MIN(O148*$D$18,$E$18),0),ROUNDUP(MIN(O148*$D$18,$E$18),0)),0))</f>
        <v/>
      </c>
      <c r="S148" s="22">
        <f>IF(O148="","",IF(O148&gt;=$C$19,IF(B148="G마켓",ROUNDDOWN(MIN(O148*$D$19,$E$19),0),ROUNDUP(MIN(O148*$D$19,$E$19),0)),0))</f>
        <v/>
      </c>
      <c r="T148" s="21">
        <f>IF(O148="","",MAX(Q148,R148,S148))</f>
        <v/>
      </c>
      <c r="U148" s="23">
        <f>IF(O148="","",O148-T148)</f>
        <v/>
      </c>
      <c r="V148" s="22">
        <f>IF(O148="","",IF(B148="G마켓",ROUNDDOWN(MAX(Q148*$G$17,R148*$G$18,S148*$G$19),0),ROUNDUP(MAX(Q148*$G$17,R148*$G$18,S148*$G$19),0)))</f>
        <v/>
      </c>
      <c r="W148" s="23">
        <f>IF(G148="","",IF(B148="G마켓",ROUNDDOWN(G148-G148*$Q$6-V148,0),ROUNDUP(G148-G148*$Q$6-V148,0)))</f>
        <v/>
      </c>
    </row>
    <row r="149">
      <c r="B149" s="6" t="n"/>
      <c r="C149" s="6" t="n"/>
      <c r="D149" s="24" t="n"/>
      <c r="E149" s="25" t="n"/>
      <c r="F149" s="25" t="n"/>
      <c r="G149" s="21">
        <f>IF(E149="","",E149-N(F149))</f>
        <v/>
      </c>
      <c r="I149" s="22">
        <f>IF(G149="","",IF(G149&gt;=$C$10,IF(B149="G마켓",ROUNDDOWN(MIN(G149*$D$10,$E$10),0),ROUNDUP(MIN(G149*$D$10,$E$10),0)),0))</f>
        <v/>
      </c>
      <c r="J149" s="22">
        <f>IF(G149="","",IF(G149&gt;=$C$11,IF(B149="G마켓",ROUNDDOWN(MIN(G149*$D$11,$E$11),0),ROUNDUP(MIN(G149*$D$11,$E$11),0)),0))</f>
        <v/>
      </c>
      <c r="K149" s="22">
        <f>IF(G149="","",IF(G149&gt;=$C$12,IF(B149="G마켓",ROUNDDOWN(MIN(G149*$D$12,$E$12),0),ROUNDUP(MIN(G149*$D$12,$E$12),0)),0))</f>
        <v/>
      </c>
      <c r="L149" s="22">
        <f>IF(G149="","",IF(G149&gt;=$C$13,IF(B149="G마켓",ROUNDDOWN(MIN(G149*$D$13,$E$13),0),ROUNDUP(MIN(G149*$D$13,$E$13),0)),0))</f>
        <v/>
      </c>
      <c r="N149" s="21">
        <f>IF(G149="","",MAX(I149,J149,K149,L149))</f>
        <v/>
      </c>
      <c r="O149" s="21">
        <f>IF(G149="","",G149-N149)</f>
        <v/>
      </c>
      <c r="Q149" s="22">
        <f>IF(O149="","",IF(O149&gt;=$C$17,IF(B149="G마켓",ROUNDDOWN(MIN(O149*$D$17,$E$17),0),ROUNDUP(MIN(O149*$D$17,$E$17),0)),0))</f>
        <v/>
      </c>
      <c r="R149" s="22">
        <f>IF(O149="","",IF(O149&gt;=$C$18,IF(B149="G마켓",ROUNDDOWN(MIN(O149*$D$18,$E$18),0),ROUNDUP(MIN(O149*$D$18,$E$18),0)),0))</f>
        <v/>
      </c>
      <c r="S149" s="22">
        <f>IF(O149="","",IF(O149&gt;=$C$19,IF(B149="G마켓",ROUNDDOWN(MIN(O149*$D$19,$E$19),0),ROUNDUP(MIN(O149*$D$19,$E$19),0)),0))</f>
        <v/>
      </c>
      <c r="T149" s="21">
        <f>IF(O149="","",MAX(Q149,R149,S149))</f>
        <v/>
      </c>
      <c r="U149" s="23">
        <f>IF(O149="","",O149-T149)</f>
        <v/>
      </c>
      <c r="V149" s="22">
        <f>IF(O149="","",IF(B149="G마켓",ROUNDDOWN(MAX(Q149*$G$17,R149*$G$18,S149*$G$19),0),ROUNDUP(MAX(Q149*$G$17,R149*$G$18,S149*$G$19),0)))</f>
        <v/>
      </c>
      <c r="W149" s="23">
        <f>IF(G149="","",IF(B149="G마켓",ROUNDDOWN(G149-G149*$Q$6-V149,0),ROUNDUP(G149-G149*$Q$6-V149,0)))</f>
        <v/>
      </c>
    </row>
    <row r="150">
      <c r="B150" s="6" t="n"/>
      <c r="C150" s="6" t="n"/>
      <c r="D150" s="24" t="n"/>
      <c r="E150" s="25" t="n"/>
      <c r="F150" s="25" t="n"/>
      <c r="G150" s="21">
        <f>IF(E150="","",E150-N(F150))</f>
        <v/>
      </c>
      <c r="I150" s="22">
        <f>IF(G150="","",IF(G150&gt;=$C$10,IF(B150="G마켓",ROUNDDOWN(MIN(G150*$D$10,$E$10),0),ROUNDUP(MIN(G150*$D$10,$E$10),0)),0))</f>
        <v/>
      </c>
      <c r="J150" s="22">
        <f>IF(G150="","",IF(G150&gt;=$C$11,IF(B150="G마켓",ROUNDDOWN(MIN(G150*$D$11,$E$11),0),ROUNDUP(MIN(G150*$D$11,$E$11),0)),0))</f>
        <v/>
      </c>
      <c r="K150" s="22">
        <f>IF(G150="","",IF(G150&gt;=$C$12,IF(B150="G마켓",ROUNDDOWN(MIN(G150*$D$12,$E$12),0),ROUNDUP(MIN(G150*$D$12,$E$12),0)),0))</f>
        <v/>
      </c>
      <c r="L150" s="22">
        <f>IF(G150="","",IF(G150&gt;=$C$13,IF(B150="G마켓",ROUNDDOWN(MIN(G150*$D$13,$E$13),0),ROUNDUP(MIN(G150*$D$13,$E$13),0)),0))</f>
        <v/>
      </c>
      <c r="N150" s="21">
        <f>IF(G150="","",MAX(I150,J150,K150,L150))</f>
        <v/>
      </c>
      <c r="O150" s="21">
        <f>IF(G150="","",G150-N150)</f>
        <v/>
      </c>
      <c r="Q150" s="22">
        <f>IF(O150="","",IF(O150&gt;=$C$17,IF(B150="G마켓",ROUNDDOWN(MIN(O150*$D$17,$E$17),0),ROUNDUP(MIN(O150*$D$17,$E$17),0)),0))</f>
        <v/>
      </c>
      <c r="R150" s="22">
        <f>IF(O150="","",IF(O150&gt;=$C$18,IF(B150="G마켓",ROUNDDOWN(MIN(O150*$D$18,$E$18),0),ROUNDUP(MIN(O150*$D$18,$E$18),0)),0))</f>
        <v/>
      </c>
      <c r="S150" s="22">
        <f>IF(O150="","",IF(O150&gt;=$C$19,IF(B150="G마켓",ROUNDDOWN(MIN(O150*$D$19,$E$19),0),ROUNDUP(MIN(O150*$D$19,$E$19),0)),0))</f>
        <v/>
      </c>
      <c r="T150" s="21">
        <f>IF(O150="","",MAX(Q150,R150,S150))</f>
        <v/>
      </c>
      <c r="U150" s="23">
        <f>IF(O150="","",O150-T150)</f>
        <v/>
      </c>
      <c r="V150" s="22">
        <f>IF(O150="","",IF(B150="G마켓",ROUNDDOWN(MAX(Q150*$G$17,R150*$G$18,S150*$G$19),0),ROUNDUP(MAX(Q150*$G$17,R150*$G$18,S150*$G$19),0)))</f>
        <v/>
      </c>
      <c r="W150" s="23">
        <f>IF(G150="","",IF(B150="G마켓",ROUNDDOWN(G150-G150*$Q$6-V150,0),ROUNDUP(G150-G150*$Q$6-V150,0)))</f>
        <v/>
      </c>
    </row>
    <row r="151">
      <c r="B151" s="6" t="n"/>
      <c r="C151" s="6" t="n"/>
      <c r="D151" s="24" t="n"/>
      <c r="E151" s="25" t="n"/>
      <c r="F151" s="25" t="n"/>
      <c r="G151" s="21">
        <f>IF(E151="","",E151-N(F151))</f>
        <v/>
      </c>
      <c r="I151" s="22">
        <f>IF(G151="","",IF(G151&gt;=$C$10,IF(B151="G마켓",ROUNDDOWN(MIN(G151*$D$10,$E$10),0),ROUNDUP(MIN(G151*$D$10,$E$10),0)),0))</f>
        <v/>
      </c>
      <c r="J151" s="22">
        <f>IF(G151="","",IF(G151&gt;=$C$11,IF(B151="G마켓",ROUNDDOWN(MIN(G151*$D$11,$E$11),0),ROUNDUP(MIN(G151*$D$11,$E$11),0)),0))</f>
        <v/>
      </c>
      <c r="K151" s="22">
        <f>IF(G151="","",IF(G151&gt;=$C$12,IF(B151="G마켓",ROUNDDOWN(MIN(G151*$D$12,$E$12),0),ROUNDUP(MIN(G151*$D$12,$E$12),0)),0))</f>
        <v/>
      </c>
      <c r="L151" s="22">
        <f>IF(G151="","",IF(G151&gt;=$C$13,IF(B151="G마켓",ROUNDDOWN(MIN(G151*$D$13,$E$13),0),ROUNDUP(MIN(G151*$D$13,$E$13),0)),0))</f>
        <v/>
      </c>
      <c r="N151" s="21">
        <f>IF(G151="","",MAX(I151,J151,K151,L151))</f>
        <v/>
      </c>
      <c r="O151" s="21">
        <f>IF(G151="","",G151-N151)</f>
        <v/>
      </c>
      <c r="Q151" s="22">
        <f>IF(O151="","",IF(O151&gt;=$C$17,IF(B151="G마켓",ROUNDDOWN(MIN(O151*$D$17,$E$17),0),ROUNDUP(MIN(O151*$D$17,$E$17),0)),0))</f>
        <v/>
      </c>
      <c r="R151" s="22">
        <f>IF(O151="","",IF(O151&gt;=$C$18,IF(B151="G마켓",ROUNDDOWN(MIN(O151*$D$18,$E$18),0),ROUNDUP(MIN(O151*$D$18,$E$18),0)),0))</f>
        <v/>
      </c>
      <c r="S151" s="22">
        <f>IF(O151="","",IF(O151&gt;=$C$19,IF(B151="G마켓",ROUNDDOWN(MIN(O151*$D$19,$E$19),0),ROUNDUP(MIN(O151*$D$19,$E$19),0)),0))</f>
        <v/>
      </c>
      <c r="T151" s="21">
        <f>IF(O151="","",MAX(Q151,R151,S151))</f>
        <v/>
      </c>
      <c r="U151" s="23">
        <f>IF(O151="","",O151-T151)</f>
        <v/>
      </c>
      <c r="V151" s="22">
        <f>IF(O151="","",IF(B151="G마켓",ROUNDDOWN(MAX(Q151*$G$17,R151*$G$18,S151*$G$19),0),ROUNDUP(MAX(Q151*$G$17,R151*$G$18,S151*$G$19),0)))</f>
        <v/>
      </c>
      <c r="W151" s="23">
        <f>IF(G151="","",IF(B151="G마켓",ROUNDDOWN(G151-G151*$Q$6-V151,0),ROUNDUP(G151-G151*$Q$6-V151,0)))</f>
        <v/>
      </c>
    </row>
    <row r="152">
      <c r="B152" s="6" t="n"/>
      <c r="C152" s="6" t="n"/>
      <c r="D152" s="24" t="n"/>
      <c r="E152" s="25" t="n"/>
      <c r="F152" s="25" t="n"/>
      <c r="G152" s="21">
        <f>IF(E152="","",E152-N(F152))</f>
        <v/>
      </c>
      <c r="I152" s="22">
        <f>IF(G152="","",IF(G152&gt;=$C$10,IF(B152="G마켓",ROUNDDOWN(MIN(G152*$D$10,$E$10),0),ROUNDUP(MIN(G152*$D$10,$E$10),0)),0))</f>
        <v/>
      </c>
      <c r="J152" s="22">
        <f>IF(G152="","",IF(G152&gt;=$C$11,IF(B152="G마켓",ROUNDDOWN(MIN(G152*$D$11,$E$11),0),ROUNDUP(MIN(G152*$D$11,$E$11),0)),0))</f>
        <v/>
      </c>
      <c r="K152" s="22">
        <f>IF(G152="","",IF(G152&gt;=$C$12,IF(B152="G마켓",ROUNDDOWN(MIN(G152*$D$12,$E$12),0),ROUNDUP(MIN(G152*$D$12,$E$12),0)),0))</f>
        <v/>
      </c>
      <c r="L152" s="22">
        <f>IF(G152="","",IF(G152&gt;=$C$13,IF(B152="G마켓",ROUNDDOWN(MIN(G152*$D$13,$E$13),0),ROUNDUP(MIN(G152*$D$13,$E$13),0)),0))</f>
        <v/>
      </c>
      <c r="N152" s="21">
        <f>IF(G152="","",MAX(I152,J152,K152,L152))</f>
        <v/>
      </c>
      <c r="O152" s="21">
        <f>IF(G152="","",G152-N152)</f>
        <v/>
      </c>
      <c r="Q152" s="22">
        <f>IF(O152="","",IF(O152&gt;=$C$17,IF(B152="G마켓",ROUNDDOWN(MIN(O152*$D$17,$E$17),0),ROUNDUP(MIN(O152*$D$17,$E$17),0)),0))</f>
        <v/>
      </c>
      <c r="R152" s="22">
        <f>IF(O152="","",IF(O152&gt;=$C$18,IF(B152="G마켓",ROUNDDOWN(MIN(O152*$D$18,$E$18),0),ROUNDUP(MIN(O152*$D$18,$E$18),0)),0))</f>
        <v/>
      </c>
      <c r="S152" s="22">
        <f>IF(O152="","",IF(O152&gt;=$C$19,IF(B152="G마켓",ROUNDDOWN(MIN(O152*$D$19,$E$19),0),ROUNDUP(MIN(O152*$D$19,$E$19),0)),0))</f>
        <v/>
      </c>
      <c r="T152" s="21">
        <f>IF(O152="","",MAX(Q152,R152,S152))</f>
        <v/>
      </c>
      <c r="U152" s="23">
        <f>IF(O152="","",O152-T152)</f>
        <v/>
      </c>
      <c r="V152" s="22">
        <f>IF(O152="","",IF(B152="G마켓",ROUNDDOWN(MAX(Q152*$G$17,R152*$G$18,S152*$G$19),0),ROUNDUP(MAX(Q152*$G$17,R152*$G$18,S152*$G$19),0)))</f>
        <v/>
      </c>
      <c r="W152" s="23">
        <f>IF(G152="","",IF(B152="G마켓",ROUNDDOWN(G152-G152*$Q$6-V152,0),ROUNDUP(G152-G152*$Q$6-V152,0)))</f>
        <v/>
      </c>
    </row>
    <row r="153">
      <c r="B153" s="6" t="n"/>
      <c r="C153" s="6" t="n"/>
      <c r="D153" s="24" t="n"/>
      <c r="E153" s="25" t="n"/>
      <c r="F153" s="25" t="n"/>
      <c r="G153" s="21">
        <f>IF(E153="","",E153-N(F153))</f>
        <v/>
      </c>
      <c r="I153" s="22">
        <f>IF(G153="","",IF(G153&gt;=$C$10,IF(B153="G마켓",ROUNDDOWN(MIN(G153*$D$10,$E$10),0),ROUNDUP(MIN(G153*$D$10,$E$10),0)),0))</f>
        <v/>
      </c>
      <c r="J153" s="22">
        <f>IF(G153="","",IF(G153&gt;=$C$11,IF(B153="G마켓",ROUNDDOWN(MIN(G153*$D$11,$E$11),0),ROUNDUP(MIN(G153*$D$11,$E$11),0)),0))</f>
        <v/>
      </c>
      <c r="K153" s="22">
        <f>IF(G153="","",IF(G153&gt;=$C$12,IF(B153="G마켓",ROUNDDOWN(MIN(G153*$D$12,$E$12),0),ROUNDUP(MIN(G153*$D$12,$E$12),0)),0))</f>
        <v/>
      </c>
      <c r="L153" s="22">
        <f>IF(G153="","",IF(G153&gt;=$C$13,IF(B153="G마켓",ROUNDDOWN(MIN(G153*$D$13,$E$13),0),ROUNDUP(MIN(G153*$D$13,$E$13),0)),0))</f>
        <v/>
      </c>
      <c r="N153" s="21">
        <f>IF(G153="","",MAX(I153,J153,K153,L153))</f>
        <v/>
      </c>
      <c r="O153" s="21">
        <f>IF(G153="","",G153-N153)</f>
        <v/>
      </c>
      <c r="Q153" s="22">
        <f>IF(O153="","",IF(O153&gt;=$C$17,IF(B153="G마켓",ROUNDDOWN(MIN(O153*$D$17,$E$17),0),ROUNDUP(MIN(O153*$D$17,$E$17),0)),0))</f>
        <v/>
      </c>
      <c r="R153" s="22">
        <f>IF(O153="","",IF(O153&gt;=$C$18,IF(B153="G마켓",ROUNDDOWN(MIN(O153*$D$18,$E$18),0),ROUNDUP(MIN(O153*$D$18,$E$18),0)),0))</f>
        <v/>
      </c>
      <c r="S153" s="22">
        <f>IF(O153="","",IF(O153&gt;=$C$19,IF(B153="G마켓",ROUNDDOWN(MIN(O153*$D$19,$E$19),0),ROUNDUP(MIN(O153*$D$19,$E$19),0)),0))</f>
        <v/>
      </c>
      <c r="T153" s="21">
        <f>IF(O153="","",MAX(Q153,R153,S153))</f>
        <v/>
      </c>
      <c r="U153" s="23">
        <f>IF(O153="","",O153-T153)</f>
        <v/>
      </c>
      <c r="V153" s="22">
        <f>IF(O153="","",IF(B153="G마켓",ROUNDDOWN(MAX(Q153*$G$17,R153*$G$18,S153*$G$19),0),ROUNDUP(MAX(Q153*$G$17,R153*$G$18,S153*$G$19),0)))</f>
        <v/>
      </c>
      <c r="W153" s="23">
        <f>IF(G153="","",IF(B153="G마켓",ROUNDDOWN(G153-G153*$Q$6-V153,0),ROUNDUP(G153-G153*$Q$6-V153,0)))</f>
        <v/>
      </c>
    </row>
    <row r="154">
      <c r="B154" s="6" t="n"/>
      <c r="C154" s="6" t="n"/>
      <c r="D154" s="24" t="n"/>
      <c r="E154" s="25" t="n"/>
      <c r="F154" s="25" t="n"/>
      <c r="G154" s="21">
        <f>IF(E154="","",E154-N(F154))</f>
        <v/>
      </c>
      <c r="I154" s="22">
        <f>IF(G154="","",IF(G154&gt;=$C$10,IF(B154="G마켓",ROUNDDOWN(MIN(G154*$D$10,$E$10),0),ROUNDUP(MIN(G154*$D$10,$E$10),0)),0))</f>
        <v/>
      </c>
      <c r="J154" s="22">
        <f>IF(G154="","",IF(G154&gt;=$C$11,IF(B154="G마켓",ROUNDDOWN(MIN(G154*$D$11,$E$11),0),ROUNDUP(MIN(G154*$D$11,$E$11),0)),0))</f>
        <v/>
      </c>
      <c r="K154" s="22">
        <f>IF(G154="","",IF(G154&gt;=$C$12,IF(B154="G마켓",ROUNDDOWN(MIN(G154*$D$12,$E$12),0),ROUNDUP(MIN(G154*$D$12,$E$12),0)),0))</f>
        <v/>
      </c>
      <c r="L154" s="22">
        <f>IF(G154="","",IF(G154&gt;=$C$13,IF(B154="G마켓",ROUNDDOWN(MIN(G154*$D$13,$E$13),0),ROUNDUP(MIN(G154*$D$13,$E$13),0)),0))</f>
        <v/>
      </c>
      <c r="N154" s="21">
        <f>IF(G154="","",MAX(I154,J154,K154,L154))</f>
        <v/>
      </c>
      <c r="O154" s="21">
        <f>IF(G154="","",G154-N154)</f>
        <v/>
      </c>
      <c r="Q154" s="22">
        <f>IF(O154="","",IF(O154&gt;=$C$17,IF(B154="G마켓",ROUNDDOWN(MIN(O154*$D$17,$E$17),0),ROUNDUP(MIN(O154*$D$17,$E$17),0)),0))</f>
        <v/>
      </c>
      <c r="R154" s="22">
        <f>IF(O154="","",IF(O154&gt;=$C$18,IF(B154="G마켓",ROUNDDOWN(MIN(O154*$D$18,$E$18),0),ROUNDUP(MIN(O154*$D$18,$E$18),0)),0))</f>
        <v/>
      </c>
      <c r="S154" s="22">
        <f>IF(O154="","",IF(O154&gt;=$C$19,IF(B154="G마켓",ROUNDDOWN(MIN(O154*$D$19,$E$19),0),ROUNDUP(MIN(O154*$D$19,$E$19),0)),0))</f>
        <v/>
      </c>
      <c r="T154" s="21">
        <f>IF(O154="","",MAX(Q154,R154,S154))</f>
        <v/>
      </c>
      <c r="U154" s="23">
        <f>IF(O154="","",O154-T154)</f>
        <v/>
      </c>
      <c r="V154" s="22">
        <f>IF(O154="","",IF(B154="G마켓",ROUNDDOWN(MAX(Q154*$G$17,R154*$G$18,S154*$G$19),0),ROUNDUP(MAX(Q154*$G$17,R154*$G$18,S154*$G$19),0)))</f>
        <v/>
      </c>
      <c r="W154" s="23">
        <f>IF(G154="","",IF(B154="G마켓",ROUNDDOWN(G154-G154*$Q$6-V154,0),ROUNDUP(G154-G154*$Q$6-V154,0)))</f>
        <v/>
      </c>
    </row>
    <row r="155">
      <c r="B155" s="6" t="n"/>
      <c r="C155" s="6" t="n"/>
      <c r="D155" s="24" t="n"/>
      <c r="E155" s="25" t="n"/>
      <c r="F155" s="25" t="n"/>
      <c r="G155" s="21">
        <f>IF(E155="","",E155-N(F155))</f>
        <v/>
      </c>
      <c r="I155" s="22">
        <f>IF(G155="","",IF(G155&gt;=$C$10,IF(B155="G마켓",ROUNDDOWN(MIN(G155*$D$10,$E$10),0),ROUNDUP(MIN(G155*$D$10,$E$10),0)),0))</f>
        <v/>
      </c>
      <c r="J155" s="22">
        <f>IF(G155="","",IF(G155&gt;=$C$11,IF(B155="G마켓",ROUNDDOWN(MIN(G155*$D$11,$E$11),0),ROUNDUP(MIN(G155*$D$11,$E$11),0)),0))</f>
        <v/>
      </c>
      <c r="K155" s="22">
        <f>IF(G155="","",IF(G155&gt;=$C$12,IF(B155="G마켓",ROUNDDOWN(MIN(G155*$D$12,$E$12),0),ROUNDUP(MIN(G155*$D$12,$E$12),0)),0))</f>
        <v/>
      </c>
      <c r="L155" s="22">
        <f>IF(G155="","",IF(G155&gt;=$C$13,IF(B155="G마켓",ROUNDDOWN(MIN(G155*$D$13,$E$13),0),ROUNDUP(MIN(G155*$D$13,$E$13),0)),0))</f>
        <v/>
      </c>
      <c r="N155" s="21">
        <f>IF(G155="","",MAX(I155,J155,K155,L155))</f>
        <v/>
      </c>
      <c r="O155" s="21">
        <f>IF(G155="","",G155-N155)</f>
        <v/>
      </c>
      <c r="Q155" s="22">
        <f>IF(O155="","",IF(O155&gt;=$C$17,IF(B155="G마켓",ROUNDDOWN(MIN(O155*$D$17,$E$17),0),ROUNDUP(MIN(O155*$D$17,$E$17),0)),0))</f>
        <v/>
      </c>
      <c r="R155" s="22">
        <f>IF(O155="","",IF(O155&gt;=$C$18,IF(B155="G마켓",ROUNDDOWN(MIN(O155*$D$18,$E$18),0),ROUNDUP(MIN(O155*$D$18,$E$18),0)),0))</f>
        <v/>
      </c>
      <c r="S155" s="22">
        <f>IF(O155="","",IF(O155&gt;=$C$19,IF(B155="G마켓",ROUNDDOWN(MIN(O155*$D$19,$E$19),0),ROUNDUP(MIN(O155*$D$19,$E$19),0)),0))</f>
        <v/>
      </c>
      <c r="T155" s="21">
        <f>IF(O155="","",MAX(Q155,R155,S155))</f>
        <v/>
      </c>
      <c r="U155" s="23">
        <f>IF(O155="","",O155-T155)</f>
        <v/>
      </c>
      <c r="V155" s="22">
        <f>IF(O155="","",IF(B155="G마켓",ROUNDDOWN(MAX(Q155*$G$17,R155*$G$18,S155*$G$19),0),ROUNDUP(MAX(Q155*$G$17,R155*$G$18,S155*$G$19),0)))</f>
        <v/>
      </c>
      <c r="W155" s="23">
        <f>IF(G155="","",IF(B155="G마켓",ROUNDDOWN(G155-G155*$Q$6-V155,0),ROUNDUP(G155-G155*$Q$6-V155,0)))</f>
        <v/>
      </c>
    </row>
    <row r="156">
      <c r="B156" s="6" t="n"/>
      <c r="C156" s="6" t="n"/>
      <c r="D156" s="24" t="n"/>
      <c r="E156" s="25" t="n"/>
      <c r="F156" s="25" t="n"/>
      <c r="G156" s="21">
        <f>IF(E156="","",E156-N(F156))</f>
        <v/>
      </c>
      <c r="I156" s="22">
        <f>IF(G156="","",IF(G156&gt;=$C$10,IF(B156="G마켓",ROUNDDOWN(MIN(G156*$D$10,$E$10),0),ROUNDUP(MIN(G156*$D$10,$E$10),0)),0))</f>
        <v/>
      </c>
      <c r="J156" s="22">
        <f>IF(G156="","",IF(G156&gt;=$C$11,IF(B156="G마켓",ROUNDDOWN(MIN(G156*$D$11,$E$11),0),ROUNDUP(MIN(G156*$D$11,$E$11),0)),0))</f>
        <v/>
      </c>
      <c r="K156" s="22">
        <f>IF(G156="","",IF(G156&gt;=$C$12,IF(B156="G마켓",ROUNDDOWN(MIN(G156*$D$12,$E$12),0),ROUNDUP(MIN(G156*$D$12,$E$12),0)),0))</f>
        <v/>
      </c>
      <c r="L156" s="22">
        <f>IF(G156="","",IF(G156&gt;=$C$13,IF(B156="G마켓",ROUNDDOWN(MIN(G156*$D$13,$E$13),0),ROUNDUP(MIN(G156*$D$13,$E$13),0)),0))</f>
        <v/>
      </c>
      <c r="N156" s="21">
        <f>IF(G156="","",MAX(I156,J156,K156,L156))</f>
        <v/>
      </c>
      <c r="O156" s="21">
        <f>IF(G156="","",G156-N156)</f>
        <v/>
      </c>
      <c r="Q156" s="22">
        <f>IF(O156="","",IF(O156&gt;=$C$17,IF(B156="G마켓",ROUNDDOWN(MIN(O156*$D$17,$E$17),0),ROUNDUP(MIN(O156*$D$17,$E$17),0)),0))</f>
        <v/>
      </c>
      <c r="R156" s="22">
        <f>IF(O156="","",IF(O156&gt;=$C$18,IF(B156="G마켓",ROUNDDOWN(MIN(O156*$D$18,$E$18),0),ROUNDUP(MIN(O156*$D$18,$E$18),0)),0))</f>
        <v/>
      </c>
      <c r="S156" s="22">
        <f>IF(O156="","",IF(O156&gt;=$C$19,IF(B156="G마켓",ROUNDDOWN(MIN(O156*$D$19,$E$19),0),ROUNDUP(MIN(O156*$D$19,$E$19),0)),0))</f>
        <v/>
      </c>
      <c r="T156" s="21">
        <f>IF(O156="","",MAX(Q156,R156,S156))</f>
        <v/>
      </c>
      <c r="U156" s="23">
        <f>IF(O156="","",O156-T156)</f>
        <v/>
      </c>
      <c r="V156" s="22">
        <f>IF(O156="","",IF(B156="G마켓",ROUNDDOWN(MAX(Q156*$G$17,R156*$G$18,S156*$G$19),0),ROUNDUP(MAX(Q156*$G$17,R156*$G$18,S156*$G$19),0)))</f>
        <v/>
      </c>
      <c r="W156" s="23">
        <f>IF(G156="","",IF(B156="G마켓",ROUNDDOWN(G156-G156*$Q$6-V156,0),ROUNDUP(G156-G156*$Q$6-V156,0)))</f>
        <v/>
      </c>
    </row>
    <row r="157">
      <c r="B157" s="6" t="n"/>
      <c r="C157" s="6" t="n"/>
      <c r="D157" s="24" t="n"/>
      <c r="E157" s="25" t="n"/>
      <c r="F157" s="25" t="n"/>
      <c r="G157" s="21">
        <f>IF(E157="","",E157-N(F157))</f>
        <v/>
      </c>
      <c r="I157" s="22">
        <f>IF(G157="","",IF(G157&gt;=$C$10,IF(B157="G마켓",ROUNDDOWN(MIN(G157*$D$10,$E$10),0),ROUNDUP(MIN(G157*$D$10,$E$10),0)),0))</f>
        <v/>
      </c>
      <c r="J157" s="22">
        <f>IF(G157="","",IF(G157&gt;=$C$11,IF(B157="G마켓",ROUNDDOWN(MIN(G157*$D$11,$E$11),0),ROUNDUP(MIN(G157*$D$11,$E$11),0)),0))</f>
        <v/>
      </c>
      <c r="K157" s="22">
        <f>IF(G157="","",IF(G157&gt;=$C$12,IF(B157="G마켓",ROUNDDOWN(MIN(G157*$D$12,$E$12),0),ROUNDUP(MIN(G157*$D$12,$E$12),0)),0))</f>
        <v/>
      </c>
      <c r="L157" s="22">
        <f>IF(G157="","",IF(G157&gt;=$C$13,IF(B157="G마켓",ROUNDDOWN(MIN(G157*$D$13,$E$13),0),ROUNDUP(MIN(G157*$D$13,$E$13),0)),0))</f>
        <v/>
      </c>
      <c r="N157" s="21">
        <f>IF(G157="","",MAX(I157,J157,K157,L157))</f>
        <v/>
      </c>
      <c r="O157" s="21">
        <f>IF(G157="","",G157-N157)</f>
        <v/>
      </c>
      <c r="Q157" s="22">
        <f>IF(O157="","",IF(O157&gt;=$C$17,IF(B157="G마켓",ROUNDDOWN(MIN(O157*$D$17,$E$17),0),ROUNDUP(MIN(O157*$D$17,$E$17),0)),0))</f>
        <v/>
      </c>
      <c r="R157" s="22">
        <f>IF(O157="","",IF(O157&gt;=$C$18,IF(B157="G마켓",ROUNDDOWN(MIN(O157*$D$18,$E$18),0),ROUNDUP(MIN(O157*$D$18,$E$18),0)),0))</f>
        <v/>
      </c>
      <c r="S157" s="22">
        <f>IF(O157="","",IF(O157&gt;=$C$19,IF(B157="G마켓",ROUNDDOWN(MIN(O157*$D$19,$E$19),0),ROUNDUP(MIN(O157*$D$19,$E$19),0)),0))</f>
        <v/>
      </c>
      <c r="T157" s="21">
        <f>IF(O157="","",MAX(Q157,R157,S157))</f>
        <v/>
      </c>
      <c r="U157" s="23">
        <f>IF(O157="","",O157-T157)</f>
        <v/>
      </c>
      <c r="V157" s="22">
        <f>IF(O157="","",IF(B157="G마켓",ROUNDDOWN(MAX(Q157*$G$17,R157*$G$18,S157*$G$19),0),ROUNDUP(MAX(Q157*$G$17,R157*$G$18,S157*$G$19),0)))</f>
        <v/>
      </c>
      <c r="W157" s="23">
        <f>IF(G157="","",IF(B157="G마켓",ROUNDDOWN(G157-G157*$Q$6-V157,0),ROUNDUP(G157-G157*$Q$6-V157,0)))</f>
        <v/>
      </c>
    </row>
    <row r="158">
      <c r="B158" s="6" t="n"/>
      <c r="C158" s="6" t="n"/>
      <c r="D158" s="24" t="n"/>
      <c r="E158" s="25" t="n"/>
      <c r="F158" s="25" t="n"/>
      <c r="G158" s="21">
        <f>IF(E158="","",E158-N(F158))</f>
        <v/>
      </c>
      <c r="I158" s="22">
        <f>IF(G158="","",IF(G158&gt;=$C$10,IF(B158="G마켓",ROUNDDOWN(MIN(G158*$D$10,$E$10),0),ROUNDUP(MIN(G158*$D$10,$E$10),0)),0))</f>
        <v/>
      </c>
      <c r="J158" s="22">
        <f>IF(G158="","",IF(G158&gt;=$C$11,IF(B158="G마켓",ROUNDDOWN(MIN(G158*$D$11,$E$11),0),ROUNDUP(MIN(G158*$D$11,$E$11),0)),0))</f>
        <v/>
      </c>
      <c r="K158" s="22">
        <f>IF(G158="","",IF(G158&gt;=$C$12,IF(B158="G마켓",ROUNDDOWN(MIN(G158*$D$12,$E$12),0),ROUNDUP(MIN(G158*$D$12,$E$12),0)),0))</f>
        <v/>
      </c>
      <c r="L158" s="22">
        <f>IF(G158="","",IF(G158&gt;=$C$13,IF(B158="G마켓",ROUNDDOWN(MIN(G158*$D$13,$E$13),0),ROUNDUP(MIN(G158*$D$13,$E$13),0)),0))</f>
        <v/>
      </c>
      <c r="N158" s="21">
        <f>IF(G158="","",MAX(I158,J158,K158,L158))</f>
        <v/>
      </c>
      <c r="O158" s="21">
        <f>IF(G158="","",G158-N158)</f>
        <v/>
      </c>
      <c r="Q158" s="22">
        <f>IF(O158="","",IF(O158&gt;=$C$17,IF(B158="G마켓",ROUNDDOWN(MIN(O158*$D$17,$E$17),0),ROUNDUP(MIN(O158*$D$17,$E$17),0)),0))</f>
        <v/>
      </c>
      <c r="R158" s="22">
        <f>IF(O158="","",IF(O158&gt;=$C$18,IF(B158="G마켓",ROUNDDOWN(MIN(O158*$D$18,$E$18),0),ROUNDUP(MIN(O158*$D$18,$E$18),0)),0))</f>
        <v/>
      </c>
      <c r="S158" s="22">
        <f>IF(O158="","",IF(O158&gt;=$C$19,IF(B158="G마켓",ROUNDDOWN(MIN(O158*$D$19,$E$19),0),ROUNDUP(MIN(O158*$D$19,$E$19),0)),0))</f>
        <v/>
      </c>
      <c r="T158" s="21">
        <f>IF(O158="","",MAX(Q158,R158,S158))</f>
        <v/>
      </c>
      <c r="U158" s="23">
        <f>IF(O158="","",O158-T158)</f>
        <v/>
      </c>
      <c r="V158" s="22">
        <f>IF(O158="","",IF(B158="G마켓",ROUNDDOWN(MAX(Q158*$G$17,R158*$G$18,S158*$G$19),0),ROUNDUP(MAX(Q158*$G$17,R158*$G$18,S158*$G$19),0)))</f>
        <v/>
      </c>
      <c r="W158" s="23">
        <f>IF(G158="","",IF(B158="G마켓",ROUNDDOWN(G158-G158*$Q$6-V158,0),ROUNDUP(G158-G158*$Q$6-V158,0)))</f>
        <v/>
      </c>
    </row>
    <row r="159">
      <c r="B159" s="6" t="n"/>
      <c r="C159" s="6" t="n"/>
      <c r="D159" s="24" t="n"/>
      <c r="E159" s="25" t="n"/>
      <c r="F159" s="25" t="n"/>
      <c r="G159" s="21">
        <f>IF(E159="","",E159-N(F159))</f>
        <v/>
      </c>
      <c r="I159" s="22">
        <f>IF(G159="","",IF(G159&gt;=$C$10,IF(B159="G마켓",ROUNDDOWN(MIN(G159*$D$10,$E$10),0),ROUNDUP(MIN(G159*$D$10,$E$10),0)),0))</f>
        <v/>
      </c>
      <c r="J159" s="22">
        <f>IF(G159="","",IF(G159&gt;=$C$11,IF(B159="G마켓",ROUNDDOWN(MIN(G159*$D$11,$E$11),0),ROUNDUP(MIN(G159*$D$11,$E$11),0)),0))</f>
        <v/>
      </c>
      <c r="K159" s="22">
        <f>IF(G159="","",IF(G159&gt;=$C$12,IF(B159="G마켓",ROUNDDOWN(MIN(G159*$D$12,$E$12),0),ROUNDUP(MIN(G159*$D$12,$E$12),0)),0))</f>
        <v/>
      </c>
      <c r="L159" s="22">
        <f>IF(G159="","",IF(G159&gt;=$C$13,IF(B159="G마켓",ROUNDDOWN(MIN(G159*$D$13,$E$13),0),ROUNDUP(MIN(G159*$D$13,$E$13),0)),0))</f>
        <v/>
      </c>
      <c r="N159" s="21">
        <f>IF(G159="","",MAX(I159,J159,K159,L159))</f>
        <v/>
      </c>
      <c r="O159" s="21">
        <f>IF(G159="","",G159-N159)</f>
        <v/>
      </c>
      <c r="Q159" s="22">
        <f>IF(O159="","",IF(O159&gt;=$C$17,IF(B159="G마켓",ROUNDDOWN(MIN(O159*$D$17,$E$17),0),ROUNDUP(MIN(O159*$D$17,$E$17),0)),0))</f>
        <v/>
      </c>
      <c r="R159" s="22">
        <f>IF(O159="","",IF(O159&gt;=$C$18,IF(B159="G마켓",ROUNDDOWN(MIN(O159*$D$18,$E$18),0),ROUNDUP(MIN(O159*$D$18,$E$18),0)),0))</f>
        <v/>
      </c>
      <c r="S159" s="22">
        <f>IF(O159="","",IF(O159&gt;=$C$19,IF(B159="G마켓",ROUNDDOWN(MIN(O159*$D$19,$E$19),0),ROUNDUP(MIN(O159*$D$19,$E$19),0)),0))</f>
        <v/>
      </c>
      <c r="T159" s="21">
        <f>IF(O159="","",MAX(Q159,R159,S159))</f>
        <v/>
      </c>
      <c r="U159" s="23">
        <f>IF(O159="","",O159-T159)</f>
        <v/>
      </c>
      <c r="V159" s="22">
        <f>IF(O159="","",IF(B159="G마켓",ROUNDDOWN(MAX(Q159*$G$17,R159*$G$18,S159*$G$19),0),ROUNDUP(MAX(Q159*$G$17,R159*$G$18,S159*$G$19),0)))</f>
        <v/>
      </c>
      <c r="W159" s="23">
        <f>IF(G159="","",IF(B159="G마켓",ROUNDDOWN(G159-G159*$Q$6-V159,0),ROUNDUP(G159-G159*$Q$6-V159,0)))</f>
        <v/>
      </c>
    </row>
    <row r="160">
      <c r="B160" s="6" t="n"/>
      <c r="C160" s="6" t="n"/>
      <c r="D160" s="24" t="n"/>
      <c r="E160" s="25" t="n"/>
      <c r="F160" s="25" t="n"/>
      <c r="G160" s="21">
        <f>IF(E160="","",E160-N(F160))</f>
        <v/>
      </c>
      <c r="I160" s="22">
        <f>IF(G160="","",IF(G160&gt;=$C$10,IF(B160="G마켓",ROUNDDOWN(MIN(G160*$D$10,$E$10),0),ROUNDUP(MIN(G160*$D$10,$E$10),0)),0))</f>
        <v/>
      </c>
      <c r="J160" s="22">
        <f>IF(G160="","",IF(G160&gt;=$C$11,IF(B160="G마켓",ROUNDDOWN(MIN(G160*$D$11,$E$11),0),ROUNDUP(MIN(G160*$D$11,$E$11),0)),0))</f>
        <v/>
      </c>
      <c r="K160" s="22">
        <f>IF(G160="","",IF(G160&gt;=$C$12,IF(B160="G마켓",ROUNDDOWN(MIN(G160*$D$12,$E$12),0),ROUNDUP(MIN(G160*$D$12,$E$12),0)),0))</f>
        <v/>
      </c>
      <c r="L160" s="22">
        <f>IF(G160="","",IF(G160&gt;=$C$13,IF(B160="G마켓",ROUNDDOWN(MIN(G160*$D$13,$E$13),0),ROUNDUP(MIN(G160*$D$13,$E$13),0)),0))</f>
        <v/>
      </c>
      <c r="N160" s="21">
        <f>IF(G160="","",MAX(I160,J160,K160,L160))</f>
        <v/>
      </c>
      <c r="O160" s="21">
        <f>IF(G160="","",G160-N160)</f>
        <v/>
      </c>
      <c r="Q160" s="22">
        <f>IF(O160="","",IF(O160&gt;=$C$17,IF(B160="G마켓",ROUNDDOWN(MIN(O160*$D$17,$E$17),0),ROUNDUP(MIN(O160*$D$17,$E$17),0)),0))</f>
        <v/>
      </c>
      <c r="R160" s="22">
        <f>IF(O160="","",IF(O160&gt;=$C$18,IF(B160="G마켓",ROUNDDOWN(MIN(O160*$D$18,$E$18),0),ROUNDUP(MIN(O160*$D$18,$E$18),0)),0))</f>
        <v/>
      </c>
      <c r="S160" s="22">
        <f>IF(O160="","",IF(O160&gt;=$C$19,IF(B160="G마켓",ROUNDDOWN(MIN(O160*$D$19,$E$19),0),ROUNDUP(MIN(O160*$D$19,$E$19),0)),0))</f>
        <v/>
      </c>
      <c r="T160" s="21">
        <f>IF(O160="","",MAX(Q160,R160,S160))</f>
        <v/>
      </c>
      <c r="U160" s="23">
        <f>IF(O160="","",O160-T160)</f>
        <v/>
      </c>
      <c r="V160" s="22">
        <f>IF(O160="","",IF(B160="G마켓",ROUNDDOWN(MAX(Q160*$G$17,R160*$G$18,S160*$G$19),0),ROUNDUP(MAX(Q160*$G$17,R160*$G$18,S160*$G$19),0)))</f>
        <v/>
      </c>
      <c r="W160" s="23">
        <f>IF(G160="","",IF(B160="G마켓",ROUNDDOWN(G160-G160*$Q$6-V160,0),ROUNDUP(G160-G160*$Q$6-V160,0)))</f>
        <v/>
      </c>
    </row>
    <row r="161">
      <c r="B161" s="6" t="n"/>
      <c r="C161" s="6" t="n"/>
      <c r="D161" s="24" t="n"/>
      <c r="E161" s="25" t="n"/>
      <c r="F161" s="25" t="n"/>
      <c r="G161" s="21">
        <f>IF(E161="","",E161-N(F161))</f>
        <v/>
      </c>
      <c r="I161" s="22">
        <f>IF(G161="","",IF(G161&gt;=$C$10,IF(B161="G마켓",ROUNDDOWN(MIN(G161*$D$10,$E$10),0),ROUNDUP(MIN(G161*$D$10,$E$10),0)),0))</f>
        <v/>
      </c>
      <c r="J161" s="22">
        <f>IF(G161="","",IF(G161&gt;=$C$11,IF(B161="G마켓",ROUNDDOWN(MIN(G161*$D$11,$E$11),0),ROUNDUP(MIN(G161*$D$11,$E$11),0)),0))</f>
        <v/>
      </c>
      <c r="K161" s="22">
        <f>IF(G161="","",IF(G161&gt;=$C$12,IF(B161="G마켓",ROUNDDOWN(MIN(G161*$D$12,$E$12),0),ROUNDUP(MIN(G161*$D$12,$E$12),0)),0))</f>
        <v/>
      </c>
      <c r="L161" s="22">
        <f>IF(G161="","",IF(G161&gt;=$C$13,IF(B161="G마켓",ROUNDDOWN(MIN(G161*$D$13,$E$13),0),ROUNDUP(MIN(G161*$D$13,$E$13),0)),0))</f>
        <v/>
      </c>
      <c r="N161" s="21">
        <f>IF(G161="","",MAX(I161,J161,K161,L161))</f>
        <v/>
      </c>
      <c r="O161" s="21">
        <f>IF(G161="","",G161-N161)</f>
        <v/>
      </c>
      <c r="Q161" s="22">
        <f>IF(O161="","",IF(O161&gt;=$C$17,IF(B161="G마켓",ROUNDDOWN(MIN(O161*$D$17,$E$17),0),ROUNDUP(MIN(O161*$D$17,$E$17),0)),0))</f>
        <v/>
      </c>
      <c r="R161" s="22">
        <f>IF(O161="","",IF(O161&gt;=$C$18,IF(B161="G마켓",ROUNDDOWN(MIN(O161*$D$18,$E$18),0),ROUNDUP(MIN(O161*$D$18,$E$18),0)),0))</f>
        <v/>
      </c>
      <c r="S161" s="22">
        <f>IF(O161="","",IF(O161&gt;=$C$19,IF(B161="G마켓",ROUNDDOWN(MIN(O161*$D$19,$E$19),0),ROUNDUP(MIN(O161*$D$19,$E$19),0)),0))</f>
        <v/>
      </c>
      <c r="T161" s="21">
        <f>IF(O161="","",MAX(Q161,R161,S161))</f>
        <v/>
      </c>
      <c r="U161" s="23">
        <f>IF(O161="","",O161-T161)</f>
        <v/>
      </c>
      <c r="V161" s="22">
        <f>IF(O161="","",IF(B161="G마켓",ROUNDDOWN(MAX(Q161*$G$17,R161*$G$18,S161*$G$19),0),ROUNDUP(MAX(Q161*$G$17,R161*$G$18,S161*$G$19),0)))</f>
        <v/>
      </c>
      <c r="W161" s="23">
        <f>IF(G161="","",IF(B161="G마켓",ROUNDDOWN(G161-G161*$Q$6-V161,0),ROUNDUP(G161-G161*$Q$6-V161,0)))</f>
        <v/>
      </c>
    </row>
    <row r="162">
      <c r="B162" s="6" t="n"/>
      <c r="C162" s="6" t="n"/>
      <c r="D162" s="24" t="n"/>
      <c r="E162" s="25" t="n"/>
      <c r="F162" s="25" t="n"/>
      <c r="G162" s="21">
        <f>IF(E162="","",E162-N(F162))</f>
        <v/>
      </c>
      <c r="I162" s="22">
        <f>IF(G162="","",IF(G162&gt;=$C$10,IF(B162="G마켓",ROUNDDOWN(MIN(G162*$D$10,$E$10),0),ROUNDUP(MIN(G162*$D$10,$E$10),0)),0))</f>
        <v/>
      </c>
      <c r="J162" s="22">
        <f>IF(G162="","",IF(G162&gt;=$C$11,IF(B162="G마켓",ROUNDDOWN(MIN(G162*$D$11,$E$11),0),ROUNDUP(MIN(G162*$D$11,$E$11),0)),0))</f>
        <v/>
      </c>
      <c r="K162" s="22">
        <f>IF(G162="","",IF(G162&gt;=$C$12,IF(B162="G마켓",ROUNDDOWN(MIN(G162*$D$12,$E$12),0),ROUNDUP(MIN(G162*$D$12,$E$12),0)),0))</f>
        <v/>
      </c>
      <c r="L162" s="22">
        <f>IF(G162="","",IF(G162&gt;=$C$13,IF(B162="G마켓",ROUNDDOWN(MIN(G162*$D$13,$E$13),0),ROUNDUP(MIN(G162*$D$13,$E$13),0)),0))</f>
        <v/>
      </c>
      <c r="N162" s="21">
        <f>IF(G162="","",MAX(I162,J162,K162,L162))</f>
        <v/>
      </c>
      <c r="O162" s="21">
        <f>IF(G162="","",G162-N162)</f>
        <v/>
      </c>
      <c r="Q162" s="22">
        <f>IF(O162="","",IF(O162&gt;=$C$17,IF(B162="G마켓",ROUNDDOWN(MIN(O162*$D$17,$E$17),0),ROUNDUP(MIN(O162*$D$17,$E$17),0)),0))</f>
        <v/>
      </c>
      <c r="R162" s="22">
        <f>IF(O162="","",IF(O162&gt;=$C$18,IF(B162="G마켓",ROUNDDOWN(MIN(O162*$D$18,$E$18),0),ROUNDUP(MIN(O162*$D$18,$E$18),0)),0))</f>
        <v/>
      </c>
      <c r="S162" s="22">
        <f>IF(O162="","",IF(O162&gt;=$C$19,IF(B162="G마켓",ROUNDDOWN(MIN(O162*$D$19,$E$19),0),ROUNDUP(MIN(O162*$D$19,$E$19),0)),0))</f>
        <v/>
      </c>
      <c r="T162" s="21">
        <f>IF(O162="","",MAX(Q162,R162,S162))</f>
        <v/>
      </c>
      <c r="U162" s="23">
        <f>IF(O162="","",O162-T162)</f>
        <v/>
      </c>
      <c r="V162" s="22">
        <f>IF(O162="","",IF(B162="G마켓",ROUNDDOWN(MAX(Q162*$G$17,R162*$G$18,S162*$G$19),0),ROUNDUP(MAX(Q162*$G$17,R162*$G$18,S162*$G$19),0)))</f>
        <v/>
      </c>
      <c r="W162" s="23">
        <f>IF(G162="","",IF(B162="G마켓",ROUNDDOWN(G162-G162*$Q$6-V162,0),ROUNDUP(G162-G162*$Q$6-V162,0)))</f>
        <v/>
      </c>
    </row>
    <row r="163">
      <c r="B163" s="6" t="n"/>
      <c r="C163" s="6" t="n"/>
      <c r="D163" s="24" t="n"/>
      <c r="E163" s="25" t="n"/>
      <c r="F163" s="25" t="n"/>
      <c r="G163" s="21">
        <f>IF(E163="","",E163-N(F163))</f>
        <v/>
      </c>
      <c r="I163" s="22">
        <f>IF(G163="","",IF(G163&gt;=$C$10,IF(B163="G마켓",ROUNDDOWN(MIN(G163*$D$10,$E$10),0),ROUNDUP(MIN(G163*$D$10,$E$10),0)),0))</f>
        <v/>
      </c>
      <c r="J163" s="22">
        <f>IF(G163="","",IF(G163&gt;=$C$11,IF(B163="G마켓",ROUNDDOWN(MIN(G163*$D$11,$E$11),0),ROUNDUP(MIN(G163*$D$11,$E$11),0)),0))</f>
        <v/>
      </c>
      <c r="K163" s="22">
        <f>IF(G163="","",IF(G163&gt;=$C$12,IF(B163="G마켓",ROUNDDOWN(MIN(G163*$D$12,$E$12),0),ROUNDUP(MIN(G163*$D$12,$E$12),0)),0))</f>
        <v/>
      </c>
      <c r="L163" s="22">
        <f>IF(G163="","",IF(G163&gt;=$C$13,IF(B163="G마켓",ROUNDDOWN(MIN(G163*$D$13,$E$13),0),ROUNDUP(MIN(G163*$D$13,$E$13),0)),0))</f>
        <v/>
      </c>
      <c r="N163" s="21">
        <f>IF(G163="","",MAX(I163,J163,K163,L163))</f>
        <v/>
      </c>
      <c r="O163" s="21">
        <f>IF(G163="","",G163-N163)</f>
        <v/>
      </c>
      <c r="Q163" s="22">
        <f>IF(O163="","",IF(O163&gt;=$C$17,IF(B163="G마켓",ROUNDDOWN(MIN(O163*$D$17,$E$17),0),ROUNDUP(MIN(O163*$D$17,$E$17),0)),0))</f>
        <v/>
      </c>
      <c r="R163" s="22">
        <f>IF(O163="","",IF(O163&gt;=$C$18,IF(B163="G마켓",ROUNDDOWN(MIN(O163*$D$18,$E$18),0),ROUNDUP(MIN(O163*$D$18,$E$18),0)),0))</f>
        <v/>
      </c>
      <c r="S163" s="22">
        <f>IF(O163="","",IF(O163&gt;=$C$19,IF(B163="G마켓",ROUNDDOWN(MIN(O163*$D$19,$E$19),0),ROUNDUP(MIN(O163*$D$19,$E$19),0)),0))</f>
        <v/>
      </c>
      <c r="T163" s="21">
        <f>IF(O163="","",MAX(Q163,R163,S163))</f>
        <v/>
      </c>
      <c r="U163" s="23">
        <f>IF(O163="","",O163-T163)</f>
        <v/>
      </c>
      <c r="V163" s="22">
        <f>IF(O163="","",IF(B163="G마켓",ROUNDDOWN(MAX(Q163*$G$17,R163*$G$18,S163*$G$19),0),ROUNDUP(MAX(Q163*$G$17,R163*$G$18,S163*$G$19),0)))</f>
        <v/>
      </c>
      <c r="W163" s="23">
        <f>IF(G163="","",IF(B163="G마켓",ROUNDDOWN(G163-G163*$Q$6-V163,0),ROUNDUP(G163-G163*$Q$6-V163,0)))</f>
        <v/>
      </c>
    </row>
    <row r="164">
      <c r="B164" s="6" t="n"/>
      <c r="C164" s="6" t="n"/>
      <c r="D164" s="24" t="n"/>
      <c r="E164" s="25" t="n"/>
      <c r="F164" s="25" t="n"/>
      <c r="G164" s="21">
        <f>IF(E164="","",E164-N(F164))</f>
        <v/>
      </c>
      <c r="I164" s="22">
        <f>IF(G164="","",IF(G164&gt;=$C$10,IF(B164="G마켓",ROUNDDOWN(MIN(G164*$D$10,$E$10),0),ROUNDUP(MIN(G164*$D$10,$E$10),0)),0))</f>
        <v/>
      </c>
      <c r="J164" s="22">
        <f>IF(G164="","",IF(G164&gt;=$C$11,IF(B164="G마켓",ROUNDDOWN(MIN(G164*$D$11,$E$11),0),ROUNDUP(MIN(G164*$D$11,$E$11),0)),0))</f>
        <v/>
      </c>
      <c r="K164" s="22">
        <f>IF(G164="","",IF(G164&gt;=$C$12,IF(B164="G마켓",ROUNDDOWN(MIN(G164*$D$12,$E$12),0),ROUNDUP(MIN(G164*$D$12,$E$12),0)),0))</f>
        <v/>
      </c>
      <c r="L164" s="22">
        <f>IF(G164="","",IF(G164&gt;=$C$13,IF(B164="G마켓",ROUNDDOWN(MIN(G164*$D$13,$E$13),0),ROUNDUP(MIN(G164*$D$13,$E$13),0)),0))</f>
        <v/>
      </c>
      <c r="N164" s="21">
        <f>IF(G164="","",MAX(I164,J164,K164,L164))</f>
        <v/>
      </c>
      <c r="O164" s="21">
        <f>IF(G164="","",G164-N164)</f>
        <v/>
      </c>
      <c r="Q164" s="22">
        <f>IF(O164="","",IF(O164&gt;=$C$17,IF(B164="G마켓",ROUNDDOWN(MIN(O164*$D$17,$E$17),0),ROUNDUP(MIN(O164*$D$17,$E$17),0)),0))</f>
        <v/>
      </c>
      <c r="R164" s="22">
        <f>IF(O164="","",IF(O164&gt;=$C$18,IF(B164="G마켓",ROUNDDOWN(MIN(O164*$D$18,$E$18),0),ROUNDUP(MIN(O164*$D$18,$E$18),0)),0))</f>
        <v/>
      </c>
      <c r="S164" s="22">
        <f>IF(O164="","",IF(O164&gt;=$C$19,IF(B164="G마켓",ROUNDDOWN(MIN(O164*$D$19,$E$19),0),ROUNDUP(MIN(O164*$D$19,$E$19),0)),0))</f>
        <v/>
      </c>
      <c r="T164" s="21">
        <f>IF(O164="","",MAX(Q164,R164,S164))</f>
        <v/>
      </c>
      <c r="U164" s="23">
        <f>IF(O164="","",O164-T164)</f>
        <v/>
      </c>
      <c r="V164" s="22">
        <f>IF(O164="","",IF(B164="G마켓",ROUNDDOWN(MAX(Q164*$G$17,R164*$G$18,S164*$G$19),0),ROUNDUP(MAX(Q164*$G$17,R164*$G$18,S164*$G$19),0)))</f>
        <v/>
      </c>
      <c r="W164" s="23">
        <f>IF(G164="","",IF(B164="G마켓",ROUNDDOWN(G164-G164*$Q$6-V164,0),ROUNDUP(G164-G164*$Q$6-V164,0)))</f>
        <v/>
      </c>
    </row>
    <row r="165">
      <c r="B165" s="6" t="n"/>
      <c r="C165" s="6" t="n"/>
      <c r="D165" s="24" t="n"/>
      <c r="E165" s="25" t="n"/>
      <c r="F165" s="25" t="n"/>
      <c r="G165" s="21">
        <f>IF(E165="","",E165-N(F165))</f>
        <v/>
      </c>
      <c r="I165" s="22">
        <f>IF(G165="","",IF(G165&gt;=$C$10,IF(B165="G마켓",ROUNDDOWN(MIN(G165*$D$10,$E$10),0),ROUNDUP(MIN(G165*$D$10,$E$10),0)),0))</f>
        <v/>
      </c>
      <c r="J165" s="22">
        <f>IF(G165="","",IF(G165&gt;=$C$11,IF(B165="G마켓",ROUNDDOWN(MIN(G165*$D$11,$E$11),0),ROUNDUP(MIN(G165*$D$11,$E$11),0)),0))</f>
        <v/>
      </c>
      <c r="K165" s="22">
        <f>IF(G165="","",IF(G165&gt;=$C$12,IF(B165="G마켓",ROUNDDOWN(MIN(G165*$D$12,$E$12),0),ROUNDUP(MIN(G165*$D$12,$E$12),0)),0))</f>
        <v/>
      </c>
      <c r="L165" s="22">
        <f>IF(G165="","",IF(G165&gt;=$C$13,IF(B165="G마켓",ROUNDDOWN(MIN(G165*$D$13,$E$13),0),ROUNDUP(MIN(G165*$D$13,$E$13),0)),0))</f>
        <v/>
      </c>
      <c r="N165" s="21">
        <f>IF(G165="","",MAX(I165,J165,K165,L165))</f>
        <v/>
      </c>
      <c r="O165" s="21">
        <f>IF(G165="","",G165-N165)</f>
        <v/>
      </c>
      <c r="Q165" s="22">
        <f>IF(O165="","",IF(O165&gt;=$C$17,IF(B165="G마켓",ROUNDDOWN(MIN(O165*$D$17,$E$17),0),ROUNDUP(MIN(O165*$D$17,$E$17),0)),0))</f>
        <v/>
      </c>
      <c r="R165" s="22">
        <f>IF(O165="","",IF(O165&gt;=$C$18,IF(B165="G마켓",ROUNDDOWN(MIN(O165*$D$18,$E$18),0),ROUNDUP(MIN(O165*$D$18,$E$18),0)),0))</f>
        <v/>
      </c>
      <c r="S165" s="22">
        <f>IF(O165="","",IF(O165&gt;=$C$19,IF(B165="G마켓",ROUNDDOWN(MIN(O165*$D$19,$E$19),0),ROUNDUP(MIN(O165*$D$19,$E$19),0)),0))</f>
        <v/>
      </c>
      <c r="T165" s="21">
        <f>IF(O165="","",MAX(Q165,R165,S165))</f>
        <v/>
      </c>
      <c r="U165" s="23">
        <f>IF(O165="","",O165-T165)</f>
        <v/>
      </c>
      <c r="V165" s="22">
        <f>IF(O165="","",IF(B165="G마켓",ROUNDDOWN(MAX(Q165*$G$17,R165*$G$18,S165*$G$19),0),ROUNDUP(MAX(Q165*$G$17,R165*$G$18,S165*$G$19),0)))</f>
        <v/>
      </c>
      <c r="W165" s="23">
        <f>IF(G165="","",IF(B165="G마켓",ROUNDDOWN(G165-G165*$Q$6-V165,0),ROUNDUP(G165-G165*$Q$6-V165,0)))</f>
        <v/>
      </c>
    </row>
    <row r="166">
      <c r="B166" s="6" t="n"/>
      <c r="C166" s="6" t="n"/>
      <c r="D166" s="24" t="n"/>
      <c r="E166" s="25" t="n"/>
      <c r="F166" s="25" t="n"/>
      <c r="G166" s="21">
        <f>IF(E166="","",E166-N(F166))</f>
        <v/>
      </c>
      <c r="I166" s="22">
        <f>IF(G166="","",IF(G166&gt;=$C$10,IF(B166="G마켓",ROUNDDOWN(MIN(G166*$D$10,$E$10),0),ROUNDUP(MIN(G166*$D$10,$E$10),0)),0))</f>
        <v/>
      </c>
      <c r="J166" s="22">
        <f>IF(G166="","",IF(G166&gt;=$C$11,IF(B166="G마켓",ROUNDDOWN(MIN(G166*$D$11,$E$11),0),ROUNDUP(MIN(G166*$D$11,$E$11),0)),0))</f>
        <v/>
      </c>
      <c r="K166" s="22">
        <f>IF(G166="","",IF(G166&gt;=$C$12,IF(B166="G마켓",ROUNDDOWN(MIN(G166*$D$12,$E$12),0),ROUNDUP(MIN(G166*$D$12,$E$12),0)),0))</f>
        <v/>
      </c>
      <c r="L166" s="22">
        <f>IF(G166="","",IF(G166&gt;=$C$13,IF(B166="G마켓",ROUNDDOWN(MIN(G166*$D$13,$E$13),0),ROUNDUP(MIN(G166*$D$13,$E$13),0)),0))</f>
        <v/>
      </c>
      <c r="N166" s="21">
        <f>IF(G166="","",MAX(I166,J166,K166,L166))</f>
        <v/>
      </c>
      <c r="O166" s="21">
        <f>IF(G166="","",G166-N166)</f>
        <v/>
      </c>
      <c r="Q166" s="22">
        <f>IF(O166="","",IF(O166&gt;=$C$17,IF(B166="G마켓",ROUNDDOWN(MIN(O166*$D$17,$E$17),0),ROUNDUP(MIN(O166*$D$17,$E$17),0)),0))</f>
        <v/>
      </c>
      <c r="R166" s="22">
        <f>IF(O166="","",IF(O166&gt;=$C$18,IF(B166="G마켓",ROUNDDOWN(MIN(O166*$D$18,$E$18),0),ROUNDUP(MIN(O166*$D$18,$E$18),0)),0))</f>
        <v/>
      </c>
      <c r="S166" s="22">
        <f>IF(O166="","",IF(O166&gt;=$C$19,IF(B166="G마켓",ROUNDDOWN(MIN(O166*$D$19,$E$19),0),ROUNDUP(MIN(O166*$D$19,$E$19),0)),0))</f>
        <v/>
      </c>
      <c r="T166" s="21">
        <f>IF(O166="","",MAX(Q166,R166,S166))</f>
        <v/>
      </c>
      <c r="U166" s="23">
        <f>IF(O166="","",O166-T166)</f>
        <v/>
      </c>
      <c r="V166" s="22">
        <f>IF(O166="","",IF(B166="G마켓",ROUNDDOWN(MAX(Q166*$G$17,R166*$G$18,S166*$G$19),0),ROUNDUP(MAX(Q166*$G$17,R166*$G$18,S166*$G$19),0)))</f>
        <v/>
      </c>
      <c r="W166" s="23">
        <f>IF(G166="","",IF(B166="G마켓",ROUNDDOWN(G166-G166*$Q$6-V166,0),ROUNDUP(G166-G166*$Q$6-V166,0)))</f>
        <v/>
      </c>
    </row>
    <row r="167">
      <c r="B167" s="6" t="n"/>
      <c r="C167" s="6" t="n"/>
      <c r="D167" s="24" t="n"/>
      <c r="E167" s="25" t="n"/>
      <c r="F167" s="25" t="n"/>
      <c r="G167" s="21">
        <f>IF(E167="","",E167-N(F167))</f>
        <v/>
      </c>
      <c r="I167" s="22">
        <f>IF(G167="","",IF(G167&gt;=$C$10,IF(B167="G마켓",ROUNDDOWN(MIN(G167*$D$10,$E$10),0),ROUNDUP(MIN(G167*$D$10,$E$10),0)),0))</f>
        <v/>
      </c>
      <c r="J167" s="22">
        <f>IF(G167="","",IF(G167&gt;=$C$11,IF(B167="G마켓",ROUNDDOWN(MIN(G167*$D$11,$E$11),0),ROUNDUP(MIN(G167*$D$11,$E$11),0)),0))</f>
        <v/>
      </c>
      <c r="K167" s="22">
        <f>IF(G167="","",IF(G167&gt;=$C$12,IF(B167="G마켓",ROUNDDOWN(MIN(G167*$D$12,$E$12),0),ROUNDUP(MIN(G167*$D$12,$E$12),0)),0))</f>
        <v/>
      </c>
      <c r="L167" s="22">
        <f>IF(G167="","",IF(G167&gt;=$C$13,IF(B167="G마켓",ROUNDDOWN(MIN(G167*$D$13,$E$13),0),ROUNDUP(MIN(G167*$D$13,$E$13),0)),0))</f>
        <v/>
      </c>
      <c r="N167" s="21">
        <f>IF(G167="","",MAX(I167,J167,K167,L167))</f>
        <v/>
      </c>
      <c r="O167" s="21">
        <f>IF(G167="","",G167-N167)</f>
        <v/>
      </c>
      <c r="Q167" s="22">
        <f>IF(O167="","",IF(O167&gt;=$C$17,IF(B167="G마켓",ROUNDDOWN(MIN(O167*$D$17,$E$17),0),ROUNDUP(MIN(O167*$D$17,$E$17),0)),0))</f>
        <v/>
      </c>
      <c r="R167" s="22">
        <f>IF(O167="","",IF(O167&gt;=$C$18,IF(B167="G마켓",ROUNDDOWN(MIN(O167*$D$18,$E$18),0),ROUNDUP(MIN(O167*$D$18,$E$18),0)),0))</f>
        <v/>
      </c>
      <c r="S167" s="22">
        <f>IF(O167="","",IF(O167&gt;=$C$19,IF(B167="G마켓",ROUNDDOWN(MIN(O167*$D$19,$E$19),0),ROUNDUP(MIN(O167*$D$19,$E$19),0)),0))</f>
        <v/>
      </c>
      <c r="T167" s="21">
        <f>IF(O167="","",MAX(Q167,R167,S167))</f>
        <v/>
      </c>
      <c r="U167" s="23">
        <f>IF(O167="","",O167-T167)</f>
        <v/>
      </c>
      <c r="V167" s="22">
        <f>IF(O167="","",IF(B167="G마켓",ROUNDDOWN(MAX(Q167*$G$17,R167*$G$18,S167*$G$19),0),ROUNDUP(MAX(Q167*$G$17,R167*$G$18,S167*$G$19),0)))</f>
        <v/>
      </c>
      <c r="W167" s="23">
        <f>IF(G167="","",IF(B167="G마켓",ROUNDDOWN(G167-G167*$Q$6-V167,0),ROUNDUP(G167-G167*$Q$6-V167,0)))</f>
        <v/>
      </c>
    </row>
    <row r="168">
      <c r="B168" s="6" t="n"/>
      <c r="C168" s="6" t="n"/>
      <c r="D168" s="24" t="n"/>
      <c r="E168" s="25" t="n"/>
      <c r="F168" s="25" t="n"/>
      <c r="G168" s="21">
        <f>IF(E168="","",E168-N(F168))</f>
        <v/>
      </c>
      <c r="I168" s="22">
        <f>IF(G168="","",IF(G168&gt;=$C$10,IF(B168="G마켓",ROUNDDOWN(MIN(G168*$D$10,$E$10),0),ROUNDUP(MIN(G168*$D$10,$E$10),0)),0))</f>
        <v/>
      </c>
      <c r="J168" s="22">
        <f>IF(G168="","",IF(G168&gt;=$C$11,IF(B168="G마켓",ROUNDDOWN(MIN(G168*$D$11,$E$11),0),ROUNDUP(MIN(G168*$D$11,$E$11),0)),0))</f>
        <v/>
      </c>
      <c r="K168" s="22">
        <f>IF(G168="","",IF(G168&gt;=$C$12,IF(B168="G마켓",ROUNDDOWN(MIN(G168*$D$12,$E$12),0),ROUNDUP(MIN(G168*$D$12,$E$12),0)),0))</f>
        <v/>
      </c>
      <c r="L168" s="22">
        <f>IF(G168="","",IF(G168&gt;=$C$13,IF(B168="G마켓",ROUNDDOWN(MIN(G168*$D$13,$E$13),0),ROUNDUP(MIN(G168*$D$13,$E$13),0)),0))</f>
        <v/>
      </c>
      <c r="N168" s="21">
        <f>IF(G168="","",MAX(I168,J168,K168,L168))</f>
        <v/>
      </c>
      <c r="O168" s="21">
        <f>IF(G168="","",G168-N168)</f>
        <v/>
      </c>
      <c r="Q168" s="22">
        <f>IF(O168="","",IF(O168&gt;=$C$17,IF(B168="G마켓",ROUNDDOWN(MIN(O168*$D$17,$E$17),0),ROUNDUP(MIN(O168*$D$17,$E$17),0)),0))</f>
        <v/>
      </c>
      <c r="R168" s="22">
        <f>IF(O168="","",IF(O168&gt;=$C$18,IF(B168="G마켓",ROUNDDOWN(MIN(O168*$D$18,$E$18),0),ROUNDUP(MIN(O168*$D$18,$E$18),0)),0))</f>
        <v/>
      </c>
      <c r="S168" s="22">
        <f>IF(O168="","",IF(O168&gt;=$C$19,IF(B168="G마켓",ROUNDDOWN(MIN(O168*$D$19,$E$19),0),ROUNDUP(MIN(O168*$D$19,$E$19),0)),0))</f>
        <v/>
      </c>
      <c r="T168" s="21">
        <f>IF(O168="","",MAX(Q168,R168,S168))</f>
        <v/>
      </c>
      <c r="U168" s="23">
        <f>IF(O168="","",O168-T168)</f>
        <v/>
      </c>
      <c r="V168" s="22">
        <f>IF(O168="","",IF(B168="G마켓",ROUNDDOWN(MAX(Q168*$G$17,R168*$G$18,S168*$G$19),0),ROUNDUP(MAX(Q168*$G$17,R168*$G$18,S168*$G$19),0)))</f>
        <v/>
      </c>
      <c r="W168" s="23">
        <f>IF(G168="","",IF(B168="G마켓",ROUNDDOWN(G168-G168*$Q$6-V168,0),ROUNDUP(G168-G168*$Q$6-V168,0)))</f>
        <v/>
      </c>
    </row>
    <row r="169">
      <c r="B169" s="6" t="n"/>
      <c r="C169" s="6" t="n"/>
      <c r="D169" s="24" t="n"/>
      <c r="E169" s="25" t="n"/>
      <c r="F169" s="25" t="n"/>
      <c r="G169" s="21">
        <f>IF(E169="","",E169-N(F169))</f>
        <v/>
      </c>
      <c r="I169" s="22">
        <f>IF(G169="","",IF(G169&gt;=$C$10,IF(B169="G마켓",ROUNDDOWN(MIN(G169*$D$10,$E$10),0),ROUNDUP(MIN(G169*$D$10,$E$10),0)),0))</f>
        <v/>
      </c>
      <c r="J169" s="22">
        <f>IF(G169="","",IF(G169&gt;=$C$11,IF(B169="G마켓",ROUNDDOWN(MIN(G169*$D$11,$E$11),0),ROUNDUP(MIN(G169*$D$11,$E$11),0)),0))</f>
        <v/>
      </c>
      <c r="K169" s="22">
        <f>IF(G169="","",IF(G169&gt;=$C$12,IF(B169="G마켓",ROUNDDOWN(MIN(G169*$D$12,$E$12),0),ROUNDUP(MIN(G169*$D$12,$E$12),0)),0))</f>
        <v/>
      </c>
      <c r="L169" s="22">
        <f>IF(G169="","",IF(G169&gt;=$C$13,IF(B169="G마켓",ROUNDDOWN(MIN(G169*$D$13,$E$13),0),ROUNDUP(MIN(G169*$D$13,$E$13),0)),0))</f>
        <v/>
      </c>
      <c r="N169" s="21">
        <f>IF(G169="","",MAX(I169,J169,K169,L169))</f>
        <v/>
      </c>
      <c r="O169" s="21">
        <f>IF(G169="","",G169-N169)</f>
        <v/>
      </c>
      <c r="Q169" s="22">
        <f>IF(O169="","",IF(O169&gt;=$C$17,IF(B169="G마켓",ROUNDDOWN(MIN(O169*$D$17,$E$17),0),ROUNDUP(MIN(O169*$D$17,$E$17),0)),0))</f>
        <v/>
      </c>
      <c r="R169" s="22">
        <f>IF(O169="","",IF(O169&gt;=$C$18,IF(B169="G마켓",ROUNDDOWN(MIN(O169*$D$18,$E$18),0),ROUNDUP(MIN(O169*$D$18,$E$18),0)),0))</f>
        <v/>
      </c>
      <c r="S169" s="22">
        <f>IF(O169="","",IF(O169&gt;=$C$19,IF(B169="G마켓",ROUNDDOWN(MIN(O169*$D$19,$E$19),0),ROUNDUP(MIN(O169*$D$19,$E$19),0)),0))</f>
        <v/>
      </c>
      <c r="T169" s="21">
        <f>IF(O169="","",MAX(Q169,R169,S169))</f>
        <v/>
      </c>
      <c r="U169" s="23">
        <f>IF(O169="","",O169-T169)</f>
        <v/>
      </c>
      <c r="V169" s="22">
        <f>IF(O169="","",IF(B169="G마켓",ROUNDDOWN(MAX(Q169*$G$17,R169*$G$18,S169*$G$19),0),ROUNDUP(MAX(Q169*$G$17,R169*$G$18,S169*$G$19),0)))</f>
        <v/>
      </c>
      <c r="W169" s="23">
        <f>IF(G169="","",IF(B169="G마켓",ROUNDDOWN(G169-G169*$Q$6-V169,0),ROUNDUP(G169-G169*$Q$6-V169,0)))</f>
        <v/>
      </c>
    </row>
    <row r="170">
      <c r="B170" s="6" t="n"/>
      <c r="C170" s="6" t="n"/>
      <c r="D170" s="24" t="n"/>
      <c r="E170" s="25" t="n"/>
      <c r="F170" s="25" t="n"/>
      <c r="G170" s="21">
        <f>IF(E170="","",E170-N(F170))</f>
        <v/>
      </c>
      <c r="I170" s="22">
        <f>IF(G170="","",IF(G170&gt;=$C$10,IF(B170="G마켓",ROUNDDOWN(MIN(G170*$D$10,$E$10),0),ROUNDUP(MIN(G170*$D$10,$E$10),0)),0))</f>
        <v/>
      </c>
      <c r="J170" s="22">
        <f>IF(G170="","",IF(G170&gt;=$C$11,IF(B170="G마켓",ROUNDDOWN(MIN(G170*$D$11,$E$11),0),ROUNDUP(MIN(G170*$D$11,$E$11),0)),0))</f>
        <v/>
      </c>
      <c r="K170" s="22">
        <f>IF(G170="","",IF(G170&gt;=$C$12,IF(B170="G마켓",ROUNDDOWN(MIN(G170*$D$12,$E$12),0),ROUNDUP(MIN(G170*$D$12,$E$12),0)),0))</f>
        <v/>
      </c>
      <c r="L170" s="22">
        <f>IF(G170="","",IF(G170&gt;=$C$13,IF(B170="G마켓",ROUNDDOWN(MIN(G170*$D$13,$E$13),0),ROUNDUP(MIN(G170*$D$13,$E$13),0)),0))</f>
        <v/>
      </c>
      <c r="N170" s="21">
        <f>IF(G170="","",MAX(I170,J170,K170,L170))</f>
        <v/>
      </c>
      <c r="O170" s="21">
        <f>IF(G170="","",G170-N170)</f>
        <v/>
      </c>
      <c r="Q170" s="22">
        <f>IF(O170="","",IF(O170&gt;=$C$17,IF(B170="G마켓",ROUNDDOWN(MIN(O170*$D$17,$E$17),0),ROUNDUP(MIN(O170*$D$17,$E$17),0)),0))</f>
        <v/>
      </c>
      <c r="R170" s="22">
        <f>IF(O170="","",IF(O170&gt;=$C$18,IF(B170="G마켓",ROUNDDOWN(MIN(O170*$D$18,$E$18),0),ROUNDUP(MIN(O170*$D$18,$E$18),0)),0))</f>
        <v/>
      </c>
      <c r="S170" s="22">
        <f>IF(O170="","",IF(O170&gt;=$C$19,IF(B170="G마켓",ROUNDDOWN(MIN(O170*$D$19,$E$19),0),ROUNDUP(MIN(O170*$D$19,$E$19),0)),0))</f>
        <v/>
      </c>
      <c r="T170" s="21">
        <f>IF(O170="","",MAX(Q170,R170,S170))</f>
        <v/>
      </c>
      <c r="U170" s="23">
        <f>IF(O170="","",O170-T170)</f>
        <v/>
      </c>
      <c r="V170" s="22">
        <f>IF(O170="","",IF(B170="G마켓",ROUNDDOWN(MAX(Q170*$G$17,R170*$G$18,S170*$G$19),0),ROUNDUP(MAX(Q170*$G$17,R170*$G$18,S170*$G$19),0)))</f>
        <v/>
      </c>
      <c r="W170" s="23">
        <f>IF(G170="","",IF(B170="G마켓",ROUNDDOWN(G170-G170*$Q$6-V170,0),ROUNDUP(G170-G170*$Q$6-V170,0)))</f>
        <v/>
      </c>
    </row>
    <row r="171">
      <c r="B171" s="6" t="n"/>
      <c r="C171" s="6" t="n"/>
      <c r="D171" s="24" t="n"/>
      <c r="E171" s="25" t="n"/>
      <c r="F171" s="25" t="n"/>
      <c r="G171" s="21">
        <f>IF(E171="","",E171-N(F171))</f>
        <v/>
      </c>
      <c r="I171" s="22">
        <f>IF(G171="","",IF(G171&gt;=$C$10,IF(B171="G마켓",ROUNDDOWN(MIN(G171*$D$10,$E$10),0),ROUNDUP(MIN(G171*$D$10,$E$10),0)),0))</f>
        <v/>
      </c>
      <c r="J171" s="22">
        <f>IF(G171="","",IF(G171&gt;=$C$11,IF(B171="G마켓",ROUNDDOWN(MIN(G171*$D$11,$E$11),0),ROUNDUP(MIN(G171*$D$11,$E$11),0)),0))</f>
        <v/>
      </c>
      <c r="K171" s="22">
        <f>IF(G171="","",IF(G171&gt;=$C$12,IF(B171="G마켓",ROUNDDOWN(MIN(G171*$D$12,$E$12),0),ROUNDUP(MIN(G171*$D$12,$E$12),0)),0))</f>
        <v/>
      </c>
      <c r="L171" s="22">
        <f>IF(G171="","",IF(G171&gt;=$C$13,IF(B171="G마켓",ROUNDDOWN(MIN(G171*$D$13,$E$13),0),ROUNDUP(MIN(G171*$D$13,$E$13),0)),0))</f>
        <v/>
      </c>
      <c r="N171" s="21">
        <f>IF(G171="","",MAX(I171,J171,K171,L171))</f>
        <v/>
      </c>
      <c r="O171" s="21">
        <f>IF(G171="","",G171-N171)</f>
        <v/>
      </c>
      <c r="Q171" s="22">
        <f>IF(O171="","",IF(O171&gt;=$C$17,IF(B171="G마켓",ROUNDDOWN(MIN(O171*$D$17,$E$17),0),ROUNDUP(MIN(O171*$D$17,$E$17),0)),0))</f>
        <v/>
      </c>
      <c r="R171" s="22">
        <f>IF(O171="","",IF(O171&gt;=$C$18,IF(B171="G마켓",ROUNDDOWN(MIN(O171*$D$18,$E$18),0),ROUNDUP(MIN(O171*$D$18,$E$18),0)),0))</f>
        <v/>
      </c>
      <c r="S171" s="22">
        <f>IF(O171="","",IF(O171&gt;=$C$19,IF(B171="G마켓",ROUNDDOWN(MIN(O171*$D$19,$E$19),0),ROUNDUP(MIN(O171*$D$19,$E$19),0)),0))</f>
        <v/>
      </c>
      <c r="T171" s="21">
        <f>IF(O171="","",MAX(Q171,R171,S171))</f>
        <v/>
      </c>
      <c r="U171" s="23">
        <f>IF(O171="","",O171-T171)</f>
        <v/>
      </c>
      <c r="V171" s="22">
        <f>IF(O171="","",IF(B171="G마켓",ROUNDDOWN(MAX(Q171*$G$17,R171*$G$18,S171*$G$19),0),ROUNDUP(MAX(Q171*$G$17,R171*$G$18,S171*$G$19),0)))</f>
        <v/>
      </c>
      <c r="W171" s="23">
        <f>IF(G171="","",IF(B171="G마켓",ROUNDDOWN(G171-G171*$Q$6-V171,0),ROUNDUP(G171-G171*$Q$6-V171,0)))</f>
        <v/>
      </c>
    </row>
    <row r="172">
      <c r="B172" s="6" t="n"/>
      <c r="C172" s="6" t="n"/>
      <c r="D172" s="24" t="n"/>
      <c r="E172" s="25" t="n"/>
      <c r="F172" s="25" t="n"/>
      <c r="G172" s="21">
        <f>IF(E172="","",E172-N(F172))</f>
        <v/>
      </c>
      <c r="I172" s="22">
        <f>IF(G172="","",IF(G172&gt;=$C$10,IF(B172="G마켓",ROUNDDOWN(MIN(G172*$D$10,$E$10),0),ROUNDUP(MIN(G172*$D$10,$E$10),0)),0))</f>
        <v/>
      </c>
      <c r="J172" s="22">
        <f>IF(G172="","",IF(G172&gt;=$C$11,IF(B172="G마켓",ROUNDDOWN(MIN(G172*$D$11,$E$11),0),ROUNDUP(MIN(G172*$D$11,$E$11),0)),0))</f>
        <v/>
      </c>
      <c r="K172" s="22">
        <f>IF(G172="","",IF(G172&gt;=$C$12,IF(B172="G마켓",ROUNDDOWN(MIN(G172*$D$12,$E$12),0),ROUNDUP(MIN(G172*$D$12,$E$12),0)),0))</f>
        <v/>
      </c>
      <c r="L172" s="22">
        <f>IF(G172="","",IF(G172&gt;=$C$13,IF(B172="G마켓",ROUNDDOWN(MIN(G172*$D$13,$E$13),0),ROUNDUP(MIN(G172*$D$13,$E$13),0)),0))</f>
        <v/>
      </c>
      <c r="N172" s="21">
        <f>IF(G172="","",MAX(I172,J172,K172,L172))</f>
        <v/>
      </c>
      <c r="O172" s="21">
        <f>IF(G172="","",G172-N172)</f>
        <v/>
      </c>
      <c r="Q172" s="22">
        <f>IF(O172="","",IF(O172&gt;=$C$17,IF(B172="G마켓",ROUNDDOWN(MIN(O172*$D$17,$E$17),0),ROUNDUP(MIN(O172*$D$17,$E$17),0)),0))</f>
        <v/>
      </c>
      <c r="R172" s="22">
        <f>IF(O172="","",IF(O172&gt;=$C$18,IF(B172="G마켓",ROUNDDOWN(MIN(O172*$D$18,$E$18),0),ROUNDUP(MIN(O172*$D$18,$E$18),0)),0))</f>
        <v/>
      </c>
      <c r="S172" s="22">
        <f>IF(O172="","",IF(O172&gt;=$C$19,IF(B172="G마켓",ROUNDDOWN(MIN(O172*$D$19,$E$19),0),ROUNDUP(MIN(O172*$D$19,$E$19),0)),0))</f>
        <v/>
      </c>
      <c r="T172" s="21">
        <f>IF(O172="","",MAX(Q172,R172,S172))</f>
        <v/>
      </c>
      <c r="U172" s="23">
        <f>IF(O172="","",O172-T172)</f>
        <v/>
      </c>
      <c r="V172" s="22">
        <f>IF(O172="","",IF(B172="G마켓",ROUNDDOWN(MAX(Q172*$G$17,R172*$G$18,S172*$G$19),0),ROUNDUP(MAX(Q172*$G$17,R172*$G$18,S172*$G$19),0)))</f>
        <v/>
      </c>
      <c r="W172" s="23">
        <f>IF(G172="","",IF(B172="G마켓",ROUNDDOWN(G172-G172*$Q$6-V172,0),ROUNDUP(G172-G172*$Q$6-V172,0)))</f>
        <v/>
      </c>
    </row>
    <row r="173">
      <c r="B173" s="6" t="n"/>
      <c r="C173" s="6" t="n"/>
      <c r="D173" s="24" t="n"/>
      <c r="E173" s="25" t="n"/>
      <c r="F173" s="25" t="n"/>
      <c r="G173" s="21">
        <f>IF(E173="","",E173-N(F173))</f>
        <v/>
      </c>
      <c r="I173" s="22">
        <f>IF(G173="","",IF(G173&gt;=$C$10,IF(B173="G마켓",ROUNDDOWN(MIN(G173*$D$10,$E$10),0),ROUNDUP(MIN(G173*$D$10,$E$10),0)),0))</f>
        <v/>
      </c>
      <c r="J173" s="22">
        <f>IF(G173="","",IF(G173&gt;=$C$11,IF(B173="G마켓",ROUNDDOWN(MIN(G173*$D$11,$E$11),0),ROUNDUP(MIN(G173*$D$11,$E$11),0)),0))</f>
        <v/>
      </c>
      <c r="K173" s="22">
        <f>IF(G173="","",IF(G173&gt;=$C$12,IF(B173="G마켓",ROUNDDOWN(MIN(G173*$D$12,$E$12),0),ROUNDUP(MIN(G173*$D$12,$E$12),0)),0))</f>
        <v/>
      </c>
      <c r="L173" s="22">
        <f>IF(G173="","",IF(G173&gt;=$C$13,IF(B173="G마켓",ROUNDDOWN(MIN(G173*$D$13,$E$13),0),ROUNDUP(MIN(G173*$D$13,$E$13),0)),0))</f>
        <v/>
      </c>
      <c r="N173" s="21">
        <f>IF(G173="","",MAX(I173,J173,K173,L173))</f>
        <v/>
      </c>
      <c r="O173" s="21">
        <f>IF(G173="","",G173-N173)</f>
        <v/>
      </c>
      <c r="Q173" s="22">
        <f>IF(O173="","",IF(O173&gt;=$C$17,IF(B173="G마켓",ROUNDDOWN(MIN(O173*$D$17,$E$17),0),ROUNDUP(MIN(O173*$D$17,$E$17),0)),0))</f>
        <v/>
      </c>
      <c r="R173" s="22">
        <f>IF(O173="","",IF(O173&gt;=$C$18,IF(B173="G마켓",ROUNDDOWN(MIN(O173*$D$18,$E$18),0),ROUNDUP(MIN(O173*$D$18,$E$18),0)),0))</f>
        <v/>
      </c>
      <c r="S173" s="22">
        <f>IF(O173="","",IF(O173&gt;=$C$19,IF(B173="G마켓",ROUNDDOWN(MIN(O173*$D$19,$E$19),0),ROUNDUP(MIN(O173*$D$19,$E$19),0)),0))</f>
        <v/>
      </c>
      <c r="T173" s="21">
        <f>IF(O173="","",MAX(Q173,R173,S173))</f>
        <v/>
      </c>
      <c r="U173" s="23">
        <f>IF(O173="","",O173-T173)</f>
        <v/>
      </c>
      <c r="V173" s="22">
        <f>IF(O173="","",IF(B173="G마켓",ROUNDDOWN(MAX(Q173*$G$17,R173*$G$18,S173*$G$19),0),ROUNDUP(MAX(Q173*$G$17,R173*$G$18,S173*$G$19),0)))</f>
        <v/>
      </c>
      <c r="W173" s="23">
        <f>IF(G173="","",IF(B173="G마켓",ROUNDDOWN(G173-G173*$Q$6-V173,0),ROUNDUP(G173-G173*$Q$6-V173,0)))</f>
        <v/>
      </c>
    </row>
    <row r="174">
      <c r="B174" s="6" t="n"/>
      <c r="C174" s="6" t="n"/>
      <c r="D174" s="24" t="n"/>
      <c r="E174" s="25" t="n"/>
      <c r="F174" s="25" t="n"/>
      <c r="G174" s="21">
        <f>IF(E174="","",E174-N(F174))</f>
        <v/>
      </c>
      <c r="I174" s="22">
        <f>IF(G174="","",IF(G174&gt;=$C$10,IF(B174="G마켓",ROUNDDOWN(MIN(G174*$D$10,$E$10),0),ROUNDUP(MIN(G174*$D$10,$E$10),0)),0))</f>
        <v/>
      </c>
      <c r="J174" s="22">
        <f>IF(G174="","",IF(G174&gt;=$C$11,IF(B174="G마켓",ROUNDDOWN(MIN(G174*$D$11,$E$11),0),ROUNDUP(MIN(G174*$D$11,$E$11),0)),0))</f>
        <v/>
      </c>
      <c r="K174" s="22">
        <f>IF(G174="","",IF(G174&gt;=$C$12,IF(B174="G마켓",ROUNDDOWN(MIN(G174*$D$12,$E$12),0),ROUNDUP(MIN(G174*$D$12,$E$12),0)),0))</f>
        <v/>
      </c>
      <c r="L174" s="22">
        <f>IF(G174="","",IF(G174&gt;=$C$13,IF(B174="G마켓",ROUNDDOWN(MIN(G174*$D$13,$E$13),0),ROUNDUP(MIN(G174*$D$13,$E$13),0)),0))</f>
        <v/>
      </c>
      <c r="N174" s="21">
        <f>IF(G174="","",MAX(I174,J174,K174,L174))</f>
        <v/>
      </c>
      <c r="O174" s="21">
        <f>IF(G174="","",G174-N174)</f>
        <v/>
      </c>
      <c r="Q174" s="22">
        <f>IF(O174="","",IF(O174&gt;=$C$17,IF(B174="G마켓",ROUNDDOWN(MIN(O174*$D$17,$E$17),0),ROUNDUP(MIN(O174*$D$17,$E$17),0)),0))</f>
        <v/>
      </c>
      <c r="R174" s="22">
        <f>IF(O174="","",IF(O174&gt;=$C$18,IF(B174="G마켓",ROUNDDOWN(MIN(O174*$D$18,$E$18),0),ROUNDUP(MIN(O174*$D$18,$E$18),0)),0))</f>
        <v/>
      </c>
      <c r="S174" s="22">
        <f>IF(O174="","",IF(O174&gt;=$C$19,IF(B174="G마켓",ROUNDDOWN(MIN(O174*$D$19,$E$19),0),ROUNDUP(MIN(O174*$D$19,$E$19),0)),0))</f>
        <v/>
      </c>
      <c r="T174" s="21">
        <f>IF(O174="","",MAX(Q174,R174,S174))</f>
        <v/>
      </c>
      <c r="U174" s="23">
        <f>IF(O174="","",O174-T174)</f>
        <v/>
      </c>
      <c r="V174" s="22">
        <f>IF(O174="","",IF(B174="G마켓",ROUNDDOWN(MAX(Q174*$G$17,R174*$G$18,S174*$G$19),0),ROUNDUP(MAX(Q174*$G$17,R174*$G$18,S174*$G$19),0)))</f>
        <v/>
      </c>
      <c r="W174" s="23">
        <f>IF(G174="","",IF(B174="G마켓",ROUNDDOWN(G174-G174*$Q$6-V174,0),ROUNDUP(G174-G174*$Q$6-V174,0)))</f>
        <v/>
      </c>
    </row>
    <row r="175">
      <c r="B175" s="6" t="n"/>
      <c r="C175" s="6" t="n"/>
      <c r="D175" s="24" t="n"/>
      <c r="E175" s="25" t="n"/>
      <c r="F175" s="25" t="n"/>
      <c r="G175" s="21">
        <f>IF(E175="","",E175-N(F175))</f>
        <v/>
      </c>
      <c r="I175" s="22">
        <f>IF(G175="","",IF(G175&gt;=$C$10,IF(B175="G마켓",ROUNDDOWN(MIN(G175*$D$10,$E$10),0),ROUNDUP(MIN(G175*$D$10,$E$10),0)),0))</f>
        <v/>
      </c>
      <c r="J175" s="22">
        <f>IF(G175="","",IF(G175&gt;=$C$11,IF(B175="G마켓",ROUNDDOWN(MIN(G175*$D$11,$E$11),0),ROUNDUP(MIN(G175*$D$11,$E$11),0)),0))</f>
        <v/>
      </c>
      <c r="K175" s="22">
        <f>IF(G175="","",IF(G175&gt;=$C$12,IF(B175="G마켓",ROUNDDOWN(MIN(G175*$D$12,$E$12),0),ROUNDUP(MIN(G175*$D$12,$E$12),0)),0))</f>
        <v/>
      </c>
      <c r="L175" s="22">
        <f>IF(G175="","",IF(G175&gt;=$C$13,IF(B175="G마켓",ROUNDDOWN(MIN(G175*$D$13,$E$13),0),ROUNDUP(MIN(G175*$D$13,$E$13),0)),0))</f>
        <v/>
      </c>
      <c r="N175" s="21">
        <f>IF(G175="","",MAX(I175,J175,K175,L175))</f>
        <v/>
      </c>
      <c r="O175" s="21">
        <f>IF(G175="","",G175-N175)</f>
        <v/>
      </c>
      <c r="Q175" s="22">
        <f>IF(O175="","",IF(O175&gt;=$C$17,IF(B175="G마켓",ROUNDDOWN(MIN(O175*$D$17,$E$17),0),ROUNDUP(MIN(O175*$D$17,$E$17),0)),0))</f>
        <v/>
      </c>
      <c r="R175" s="22">
        <f>IF(O175="","",IF(O175&gt;=$C$18,IF(B175="G마켓",ROUNDDOWN(MIN(O175*$D$18,$E$18),0),ROUNDUP(MIN(O175*$D$18,$E$18),0)),0))</f>
        <v/>
      </c>
      <c r="S175" s="22">
        <f>IF(O175="","",IF(O175&gt;=$C$19,IF(B175="G마켓",ROUNDDOWN(MIN(O175*$D$19,$E$19),0),ROUNDUP(MIN(O175*$D$19,$E$19),0)),0))</f>
        <v/>
      </c>
      <c r="T175" s="21">
        <f>IF(O175="","",MAX(Q175,R175,S175))</f>
        <v/>
      </c>
      <c r="U175" s="23">
        <f>IF(O175="","",O175-T175)</f>
        <v/>
      </c>
      <c r="V175" s="22">
        <f>IF(O175="","",IF(B175="G마켓",ROUNDDOWN(MAX(Q175*$G$17,R175*$G$18,S175*$G$19),0),ROUNDUP(MAX(Q175*$G$17,R175*$G$18,S175*$G$19),0)))</f>
        <v/>
      </c>
      <c r="W175" s="23">
        <f>IF(G175="","",IF(B175="G마켓",ROUNDDOWN(G175-G175*$Q$6-V175,0),ROUNDUP(G175-G175*$Q$6-V175,0)))</f>
        <v/>
      </c>
    </row>
    <row r="176">
      <c r="B176" s="6" t="n"/>
      <c r="C176" s="6" t="n"/>
      <c r="D176" s="24" t="n"/>
      <c r="E176" s="25" t="n"/>
      <c r="F176" s="25" t="n"/>
      <c r="G176" s="21">
        <f>IF(E176="","",E176-N(F176))</f>
        <v/>
      </c>
      <c r="I176" s="22">
        <f>IF(G176="","",IF(G176&gt;=$C$10,IF(B176="G마켓",ROUNDDOWN(MIN(G176*$D$10,$E$10),0),ROUNDUP(MIN(G176*$D$10,$E$10),0)),0))</f>
        <v/>
      </c>
      <c r="J176" s="22">
        <f>IF(G176="","",IF(G176&gt;=$C$11,IF(B176="G마켓",ROUNDDOWN(MIN(G176*$D$11,$E$11),0),ROUNDUP(MIN(G176*$D$11,$E$11),0)),0))</f>
        <v/>
      </c>
      <c r="K176" s="22">
        <f>IF(G176="","",IF(G176&gt;=$C$12,IF(B176="G마켓",ROUNDDOWN(MIN(G176*$D$12,$E$12),0),ROUNDUP(MIN(G176*$D$12,$E$12),0)),0))</f>
        <v/>
      </c>
      <c r="L176" s="22">
        <f>IF(G176="","",IF(G176&gt;=$C$13,IF(B176="G마켓",ROUNDDOWN(MIN(G176*$D$13,$E$13),0),ROUNDUP(MIN(G176*$D$13,$E$13),0)),0))</f>
        <v/>
      </c>
      <c r="N176" s="21">
        <f>IF(G176="","",MAX(I176,J176,K176,L176))</f>
        <v/>
      </c>
      <c r="O176" s="21">
        <f>IF(G176="","",G176-N176)</f>
        <v/>
      </c>
      <c r="Q176" s="22">
        <f>IF(O176="","",IF(O176&gt;=$C$17,IF(B176="G마켓",ROUNDDOWN(MIN(O176*$D$17,$E$17),0),ROUNDUP(MIN(O176*$D$17,$E$17),0)),0))</f>
        <v/>
      </c>
      <c r="R176" s="22">
        <f>IF(O176="","",IF(O176&gt;=$C$18,IF(B176="G마켓",ROUNDDOWN(MIN(O176*$D$18,$E$18),0),ROUNDUP(MIN(O176*$D$18,$E$18),0)),0))</f>
        <v/>
      </c>
      <c r="S176" s="22">
        <f>IF(O176="","",IF(O176&gt;=$C$19,IF(B176="G마켓",ROUNDDOWN(MIN(O176*$D$19,$E$19),0),ROUNDUP(MIN(O176*$D$19,$E$19),0)),0))</f>
        <v/>
      </c>
      <c r="T176" s="21">
        <f>IF(O176="","",MAX(Q176,R176,S176))</f>
        <v/>
      </c>
      <c r="U176" s="23">
        <f>IF(O176="","",O176-T176)</f>
        <v/>
      </c>
      <c r="V176" s="22">
        <f>IF(O176="","",IF(B176="G마켓",ROUNDDOWN(MAX(Q176*$G$17,R176*$G$18,S176*$G$19),0),ROUNDUP(MAX(Q176*$G$17,R176*$G$18,S176*$G$19),0)))</f>
        <v/>
      </c>
      <c r="W176" s="23">
        <f>IF(G176="","",IF(B176="G마켓",ROUNDDOWN(G176-G176*$Q$6-V176,0),ROUNDUP(G176-G176*$Q$6-V176,0)))</f>
        <v/>
      </c>
    </row>
    <row r="177">
      <c r="B177" s="6" t="n"/>
      <c r="C177" s="6" t="n"/>
      <c r="D177" s="24" t="n"/>
      <c r="E177" s="25" t="n"/>
      <c r="F177" s="25" t="n"/>
      <c r="G177" s="21">
        <f>IF(E177="","",E177-N(F177))</f>
        <v/>
      </c>
      <c r="I177" s="22">
        <f>IF(G177="","",IF(G177&gt;=$C$10,IF(B177="G마켓",ROUNDDOWN(MIN(G177*$D$10,$E$10),0),ROUNDUP(MIN(G177*$D$10,$E$10),0)),0))</f>
        <v/>
      </c>
      <c r="J177" s="22">
        <f>IF(G177="","",IF(G177&gt;=$C$11,IF(B177="G마켓",ROUNDDOWN(MIN(G177*$D$11,$E$11),0),ROUNDUP(MIN(G177*$D$11,$E$11),0)),0))</f>
        <v/>
      </c>
      <c r="K177" s="22">
        <f>IF(G177="","",IF(G177&gt;=$C$12,IF(B177="G마켓",ROUNDDOWN(MIN(G177*$D$12,$E$12),0),ROUNDUP(MIN(G177*$D$12,$E$12),0)),0))</f>
        <v/>
      </c>
      <c r="L177" s="22">
        <f>IF(G177="","",IF(G177&gt;=$C$13,IF(B177="G마켓",ROUNDDOWN(MIN(G177*$D$13,$E$13),0),ROUNDUP(MIN(G177*$D$13,$E$13),0)),0))</f>
        <v/>
      </c>
      <c r="N177" s="21">
        <f>IF(G177="","",MAX(I177,J177,K177,L177))</f>
        <v/>
      </c>
      <c r="O177" s="21">
        <f>IF(G177="","",G177-N177)</f>
        <v/>
      </c>
      <c r="Q177" s="22">
        <f>IF(O177="","",IF(O177&gt;=$C$17,IF(B177="G마켓",ROUNDDOWN(MIN(O177*$D$17,$E$17),0),ROUNDUP(MIN(O177*$D$17,$E$17),0)),0))</f>
        <v/>
      </c>
      <c r="R177" s="22">
        <f>IF(O177="","",IF(O177&gt;=$C$18,IF(B177="G마켓",ROUNDDOWN(MIN(O177*$D$18,$E$18),0),ROUNDUP(MIN(O177*$D$18,$E$18),0)),0))</f>
        <v/>
      </c>
      <c r="S177" s="22">
        <f>IF(O177="","",IF(O177&gt;=$C$19,IF(B177="G마켓",ROUNDDOWN(MIN(O177*$D$19,$E$19),0),ROUNDUP(MIN(O177*$D$19,$E$19),0)),0))</f>
        <v/>
      </c>
      <c r="T177" s="21">
        <f>IF(O177="","",MAX(Q177,R177,S177))</f>
        <v/>
      </c>
      <c r="U177" s="23">
        <f>IF(O177="","",O177-T177)</f>
        <v/>
      </c>
      <c r="V177" s="22">
        <f>IF(O177="","",IF(B177="G마켓",ROUNDDOWN(MAX(Q177*$G$17,R177*$G$18,S177*$G$19),0),ROUNDUP(MAX(Q177*$G$17,R177*$G$18,S177*$G$19),0)))</f>
        <v/>
      </c>
      <c r="W177" s="23">
        <f>IF(G177="","",IF(B177="G마켓",ROUNDDOWN(G177-G177*$Q$6-V177,0),ROUNDUP(G177-G177*$Q$6-V177,0)))</f>
        <v/>
      </c>
    </row>
    <row r="178">
      <c r="B178" s="6" t="n"/>
      <c r="C178" s="6" t="n"/>
      <c r="D178" s="24" t="n"/>
      <c r="E178" s="25" t="n"/>
      <c r="F178" s="25" t="n"/>
      <c r="G178" s="21">
        <f>IF(E178="","",E178-N(F178))</f>
        <v/>
      </c>
      <c r="I178" s="22">
        <f>IF(G178="","",IF(G178&gt;=$C$10,IF(B178="G마켓",ROUNDDOWN(MIN(G178*$D$10,$E$10),0),ROUNDUP(MIN(G178*$D$10,$E$10),0)),0))</f>
        <v/>
      </c>
      <c r="J178" s="22">
        <f>IF(G178="","",IF(G178&gt;=$C$11,IF(B178="G마켓",ROUNDDOWN(MIN(G178*$D$11,$E$11),0),ROUNDUP(MIN(G178*$D$11,$E$11),0)),0))</f>
        <v/>
      </c>
      <c r="K178" s="22">
        <f>IF(G178="","",IF(G178&gt;=$C$12,IF(B178="G마켓",ROUNDDOWN(MIN(G178*$D$12,$E$12),0),ROUNDUP(MIN(G178*$D$12,$E$12),0)),0))</f>
        <v/>
      </c>
      <c r="L178" s="22">
        <f>IF(G178="","",IF(G178&gt;=$C$13,IF(B178="G마켓",ROUNDDOWN(MIN(G178*$D$13,$E$13),0),ROUNDUP(MIN(G178*$D$13,$E$13),0)),0))</f>
        <v/>
      </c>
      <c r="N178" s="21">
        <f>IF(G178="","",MAX(I178,J178,K178,L178))</f>
        <v/>
      </c>
      <c r="O178" s="21">
        <f>IF(G178="","",G178-N178)</f>
        <v/>
      </c>
      <c r="Q178" s="22">
        <f>IF(O178="","",IF(O178&gt;=$C$17,IF(B178="G마켓",ROUNDDOWN(MIN(O178*$D$17,$E$17),0),ROUNDUP(MIN(O178*$D$17,$E$17),0)),0))</f>
        <v/>
      </c>
      <c r="R178" s="22">
        <f>IF(O178="","",IF(O178&gt;=$C$18,IF(B178="G마켓",ROUNDDOWN(MIN(O178*$D$18,$E$18),0),ROUNDUP(MIN(O178*$D$18,$E$18),0)),0))</f>
        <v/>
      </c>
      <c r="S178" s="22">
        <f>IF(O178="","",IF(O178&gt;=$C$19,IF(B178="G마켓",ROUNDDOWN(MIN(O178*$D$19,$E$19),0),ROUNDUP(MIN(O178*$D$19,$E$19),0)),0))</f>
        <v/>
      </c>
      <c r="T178" s="21">
        <f>IF(O178="","",MAX(Q178,R178,S178))</f>
        <v/>
      </c>
      <c r="U178" s="23">
        <f>IF(O178="","",O178-T178)</f>
        <v/>
      </c>
      <c r="V178" s="22">
        <f>IF(O178="","",IF(B178="G마켓",ROUNDDOWN(MAX(Q178*$G$17,R178*$G$18,S178*$G$19),0),ROUNDUP(MAX(Q178*$G$17,R178*$G$18,S178*$G$19),0)))</f>
        <v/>
      </c>
      <c r="W178" s="23">
        <f>IF(G178="","",IF(B178="G마켓",ROUNDDOWN(G178-G178*$Q$6-V178,0),ROUNDUP(G178-G178*$Q$6-V178,0)))</f>
        <v/>
      </c>
    </row>
    <row r="179">
      <c r="B179" s="6" t="n"/>
      <c r="C179" s="6" t="n"/>
      <c r="D179" s="24" t="n"/>
      <c r="E179" s="25" t="n"/>
      <c r="F179" s="25" t="n"/>
      <c r="G179" s="21">
        <f>IF(E179="","",E179-N(F179))</f>
        <v/>
      </c>
      <c r="I179" s="22">
        <f>IF(G179="","",IF(G179&gt;=$C$10,IF(B179="G마켓",ROUNDDOWN(MIN(G179*$D$10,$E$10),0),ROUNDUP(MIN(G179*$D$10,$E$10),0)),0))</f>
        <v/>
      </c>
      <c r="J179" s="22">
        <f>IF(G179="","",IF(G179&gt;=$C$11,IF(B179="G마켓",ROUNDDOWN(MIN(G179*$D$11,$E$11),0),ROUNDUP(MIN(G179*$D$11,$E$11),0)),0))</f>
        <v/>
      </c>
      <c r="K179" s="22">
        <f>IF(G179="","",IF(G179&gt;=$C$12,IF(B179="G마켓",ROUNDDOWN(MIN(G179*$D$12,$E$12),0),ROUNDUP(MIN(G179*$D$12,$E$12),0)),0))</f>
        <v/>
      </c>
      <c r="L179" s="22">
        <f>IF(G179="","",IF(G179&gt;=$C$13,IF(B179="G마켓",ROUNDDOWN(MIN(G179*$D$13,$E$13),0),ROUNDUP(MIN(G179*$D$13,$E$13),0)),0))</f>
        <v/>
      </c>
      <c r="N179" s="21">
        <f>IF(G179="","",MAX(I179,J179,K179,L179))</f>
        <v/>
      </c>
      <c r="O179" s="21">
        <f>IF(G179="","",G179-N179)</f>
        <v/>
      </c>
      <c r="Q179" s="22">
        <f>IF(O179="","",IF(O179&gt;=$C$17,IF(B179="G마켓",ROUNDDOWN(MIN(O179*$D$17,$E$17),0),ROUNDUP(MIN(O179*$D$17,$E$17),0)),0))</f>
        <v/>
      </c>
      <c r="R179" s="22">
        <f>IF(O179="","",IF(O179&gt;=$C$18,IF(B179="G마켓",ROUNDDOWN(MIN(O179*$D$18,$E$18),0),ROUNDUP(MIN(O179*$D$18,$E$18),0)),0))</f>
        <v/>
      </c>
      <c r="S179" s="22">
        <f>IF(O179="","",IF(O179&gt;=$C$19,IF(B179="G마켓",ROUNDDOWN(MIN(O179*$D$19,$E$19),0),ROUNDUP(MIN(O179*$D$19,$E$19),0)),0))</f>
        <v/>
      </c>
      <c r="T179" s="21">
        <f>IF(O179="","",MAX(Q179,R179,S179))</f>
        <v/>
      </c>
      <c r="U179" s="23">
        <f>IF(O179="","",O179-T179)</f>
        <v/>
      </c>
      <c r="V179" s="22">
        <f>IF(O179="","",IF(B179="G마켓",ROUNDDOWN(MAX(Q179*$G$17,R179*$G$18,S179*$G$19),0),ROUNDUP(MAX(Q179*$G$17,R179*$G$18,S179*$G$19),0)))</f>
        <v/>
      </c>
      <c r="W179" s="23">
        <f>IF(G179="","",IF(B179="G마켓",ROUNDDOWN(G179-G179*$Q$6-V179,0),ROUNDUP(G179-G179*$Q$6-V179,0)))</f>
        <v/>
      </c>
    </row>
    <row r="180">
      <c r="B180" s="6" t="n"/>
      <c r="C180" s="6" t="n"/>
      <c r="D180" s="24" t="n"/>
      <c r="E180" s="25" t="n"/>
      <c r="F180" s="25" t="n"/>
      <c r="G180" s="21">
        <f>IF(E180="","",E180-N(F180))</f>
        <v/>
      </c>
      <c r="I180" s="22">
        <f>IF(G180="","",IF(G180&gt;=$C$10,IF(B180="G마켓",ROUNDDOWN(MIN(G180*$D$10,$E$10),0),ROUNDUP(MIN(G180*$D$10,$E$10),0)),0))</f>
        <v/>
      </c>
      <c r="J180" s="22">
        <f>IF(G180="","",IF(G180&gt;=$C$11,IF(B180="G마켓",ROUNDDOWN(MIN(G180*$D$11,$E$11),0),ROUNDUP(MIN(G180*$D$11,$E$11),0)),0))</f>
        <v/>
      </c>
      <c r="K180" s="22">
        <f>IF(G180="","",IF(G180&gt;=$C$12,IF(B180="G마켓",ROUNDDOWN(MIN(G180*$D$12,$E$12),0),ROUNDUP(MIN(G180*$D$12,$E$12),0)),0))</f>
        <v/>
      </c>
      <c r="L180" s="22">
        <f>IF(G180="","",IF(G180&gt;=$C$13,IF(B180="G마켓",ROUNDDOWN(MIN(G180*$D$13,$E$13),0),ROUNDUP(MIN(G180*$D$13,$E$13),0)),0))</f>
        <v/>
      </c>
      <c r="N180" s="21">
        <f>IF(G180="","",MAX(I180,J180,K180,L180))</f>
        <v/>
      </c>
      <c r="O180" s="21">
        <f>IF(G180="","",G180-N180)</f>
        <v/>
      </c>
      <c r="Q180" s="22">
        <f>IF(O180="","",IF(O180&gt;=$C$17,IF(B180="G마켓",ROUNDDOWN(MIN(O180*$D$17,$E$17),0),ROUNDUP(MIN(O180*$D$17,$E$17),0)),0))</f>
        <v/>
      </c>
      <c r="R180" s="22">
        <f>IF(O180="","",IF(O180&gt;=$C$18,IF(B180="G마켓",ROUNDDOWN(MIN(O180*$D$18,$E$18),0),ROUNDUP(MIN(O180*$D$18,$E$18),0)),0))</f>
        <v/>
      </c>
      <c r="S180" s="22">
        <f>IF(O180="","",IF(O180&gt;=$C$19,IF(B180="G마켓",ROUNDDOWN(MIN(O180*$D$19,$E$19),0),ROUNDUP(MIN(O180*$D$19,$E$19),0)),0))</f>
        <v/>
      </c>
      <c r="T180" s="21">
        <f>IF(O180="","",MAX(Q180,R180,S180))</f>
        <v/>
      </c>
      <c r="U180" s="23">
        <f>IF(O180="","",O180-T180)</f>
        <v/>
      </c>
      <c r="V180" s="22">
        <f>IF(O180="","",IF(B180="G마켓",ROUNDDOWN(MAX(Q180*$G$17,R180*$G$18,S180*$G$19),0),ROUNDUP(MAX(Q180*$G$17,R180*$G$18,S180*$G$19),0)))</f>
        <v/>
      </c>
      <c r="W180" s="23">
        <f>IF(G180="","",IF(B180="G마켓",ROUNDDOWN(G180-G180*$Q$6-V180,0),ROUNDUP(G180-G180*$Q$6-V180,0)))</f>
        <v/>
      </c>
    </row>
    <row r="181">
      <c r="B181" s="6" t="n"/>
      <c r="C181" s="6" t="n"/>
      <c r="D181" s="24" t="n"/>
      <c r="E181" s="25" t="n"/>
      <c r="F181" s="25" t="n"/>
      <c r="G181" s="21">
        <f>IF(E181="","",E181-N(F181))</f>
        <v/>
      </c>
      <c r="I181" s="22">
        <f>IF(G181="","",IF(G181&gt;=$C$10,IF(B181="G마켓",ROUNDDOWN(MIN(G181*$D$10,$E$10),0),ROUNDUP(MIN(G181*$D$10,$E$10),0)),0))</f>
        <v/>
      </c>
      <c r="J181" s="22">
        <f>IF(G181="","",IF(G181&gt;=$C$11,IF(B181="G마켓",ROUNDDOWN(MIN(G181*$D$11,$E$11),0),ROUNDUP(MIN(G181*$D$11,$E$11),0)),0))</f>
        <v/>
      </c>
      <c r="K181" s="22">
        <f>IF(G181="","",IF(G181&gt;=$C$12,IF(B181="G마켓",ROUNDDOWN(MIN(G181*$D$12,$E$12),0),ROUNDUP(MIN(G181*$D$12,$E$12),0)),0))</f>
        <v/>
      </c>
      <c r="L181" s="22">
        <f>IF(G181="","",IF(G181&gt;=$C$13,IF(B181="G마켓",ROUNDDOWN(MIN(G181*$D$13,$E$13),0),ROUNDUP(MIN(G181*$D$13,$E$13),0)),0))</f>
        <v/>
      </c>
      <c r="N181" s="21">
        <f>IF(G181="","",MAX(I181,J181,K181,L181))</f>
        <v/>
      </c>
      <c r="O181" s="21">
        <f>IF(G181="","",G181-N181)</f>
        <v/>
      </c>
      <c r="Q181" s="22">
        <f>IF(O181="","",IF(O181&gt;=$C$17,IF(B181="G마켓",ROUNDDOWN(MIN(O181*$D$17,$E$17),0),ROUNDUP(MIN(O181*$D$17,$E$17),0)),0))</f>
        <v/>
      </c>
      <c r="R181" s="22">
        <f>IF(O181="","",IF(O181&gt;=$C$18,IF(B181="G마켓",ROUNDDOWN(MIN(O181*$D$18,$E$18),0),ROUNDUP(MIN(O181*$D$18,$E$18),0)),0))</f>
        <v/>
      </c>
      <c r="S181" s="22">
        <f>IF(O181="","",IF(O181&gt;=$C$19,IF(B181="G마켓",ROUNDDOWN(MIN(O181*$D$19,$E$19),0),ROUNDUP(MIN(O181*$D$19,$E$19),0)),0))</f>
        <v/>
      </c>
      <c r="T181" s="21">
        <f>IF(O181="","",MAX(Q181,R181,S181))</f>
        <v/>
      </c>
      <c r="U181" s="23">
        <f>IF(O181="","",O181-T181)</f>
        <v/>
      </c>
      <c r="V181" s="22">
        <f>IF(O181="","",IF(B181="G마켓",ROUNDDOWN(MAX(Q181*$G$17,R181*$G$18,S181*$G$19),0),ROUNDUP(MAX(Q181*$G$17,R181*$G$18,S181*$G$19),0)))</f>
        <v/>
      </c>
      <c r="W181" s="23">
        <f>IF(G181="","",IF(B181="G마켓",ROUNDDOWN(G181-G181*$Q$6-V181,0),ROUNDUP(G181-G181*$Q$6-V181,0)))</f>
        <v/>
      </c>
    </row>
    <row r="182">
      <c r="B182" s="6" t="n"/>
      <c r="C182" s="6" t="n"/>
      <c r="D182" s="24" t="n"/>
      <c r="E182" s="25" t="n"/>
      <c r="F182" s="25" t="n"/>
      <c r="G182" s="21">
        <f>IF(E182="","",E182-N(F182))</f>
        <v/>
      </c>
      <c r="I182" s="22">
        <f>IF(G182="","",IF(G182&gt;=$C$10,IF(B182="G마켓",ROUNDDOWN(MIN(G182*$D$10,$E$10),0),ROUNDUP(MIN(G182*$D$10,$E$10),0)),0))</f>
        <v/>
      </c>
      <c r="J182" s="22">
        <f>IF(G182="","",IF(G182&gt;=$C$11,IF(B182="G마켓",ROUNDDOWN(MIN(G182*$D$11,$E$11),0),ROUNDUP(MIN(G182*$D$11,$E$11),0)),0))</f>
        <v/>
      </c>
      <c r="K182" s="22">
        <f>IF(G182="","",IF(G182&gt;=$C$12,IF(B182="G마켓",ROUNDDOWN(MIN(G182*$D$12,$E$12),0),ROUNDUP(MIN(G182*$D$12,$E$12),0)),0))</f>
        <v/>
      </c>
      <c r="L182" s="22">
        <f>IF(G182="","",IF(G182&gt;=$C$13,IF(B182="G마켓",ROUNDDOWN(MIN(G182*$D$13,$E$13),0),ROUNDUP(MIN(G182*$D$13,$E$13),0)),0))</f>
        <v/>
      </c>
      <c r="N182" s="21">
        <f>IF(G182="","",MAX(I182,J182,K182,L182))</f>
        <v/>
      </c>
      <c r="O182" s="21">
        <f>IF(G182="","",G182-N182)</f>
        <v/>
      </c>
      <c r="Q182" s="22">
        <f>IF(O182="","",IF(O182&gt;=$C$17,IF(B182="G마켓",ROUNDDOWN(MIN(O182*$D$17,$E$17),0),ROUNDUP(MIN(O182*$D$17,$E$17),0)),0))</f>
        <v/>
      </c>
      <c r="R182" s="22">
        <f>IF(O182="","",IF(O182&gt;=$C$18,IF(B182="G마켓",ROUNDDOWN(MIN(O182*$D$18,$E$18),0),ROUNDUP(MIN(O182*$D$18,$E$18),0)),0))</f>
        <v/>
      </c>
      <c r="S182" s="22">
        <f>IF(O182="","",IF(O182&gt;=$C$19,IF(B182="G마켓",ROUNDDOWN(MIN(O182*$D$19,$E$19),0),ROUNDUP(MIN(O182*$D$19,$E$19),0)),0))</f>
        <v/>
      </c>
      <c r="T182" s="21">
        <f>IF(O182="","",MAX(Q182,R182,S182))</f>
        <v/>
      </c>
      <c r="U182" s="23">
        <f>IF(O182="","",O182-T182)</f>
        <v/>
      </c>
      <c r="V182" s="22">
        <f>IF(O182="","",IF(B182="G마켓",ROUNDDOWN(MAX(Q182*$G$17,R182*$G$18,S182*$G$19),0),ROUNDUP(MAX(Q182*$G$17,R182*$G$18,S182*$G$19),0)))</f>
        <v/>
      </c>
      <c r="W182" s="23">
        <f>IF(G182="","",IF(B182="G마켓",ROUNDDOWN(G182-G182*$Q$6-V182,0),ROUNDUP(G182-G182*$Q$6-V182,0)))</f>
        <v/>
      </c>
    </row>
    <row r="183">
      <c r="B183" s="6" t="n"/>
      <c r="C183" s="6" t="n"/>
      <c r="D183" s="24" t="n"/>
      <c r="E183" s="25" t="n"/>
      <c r="F183" s="25" t="n"/>
      <c r="G183" s="21">
        <f>IF(E183="","",E183-N(F183))</f>
        <v/>
      </c>
      <c r="I183" s="22">
        <f>IF(G183="","",IF(G183&gt;=$C$10,IF(B183="G마켓",ROUNDDOWN(MIN(G183*$D$10,$E$10),0),ROUNDUP(MIN(G183*$D$10,$E$10),0)),0))</f>
        <v/>
      </c>
      <c r="J183" s="22">
        <f>IF(G183="","",IF(G183&gt;=$C$11,IF(B183="G마켓",ROUNDDOWN(MIN(G183*$D$11,$E$11),0),ROUNDUP(MIN(G183*$D$11,$E$11),0)),0))</f>
        <v/>
      </c>
      <c r="K183" s="22">
        <f>IF(G183="","",IF(G183&gt;=$C$12,IF(B183="G마켓",ROUNDDOWN(MIN(G183*$D$12,$E$12),0),ROUNDUP(MIN(G183*$D$12,$E$12),0)),0))</f>
        <v/>
      </c>
      <c r="L183" s="22">
        <f>IF(G183="","",IF(G183&gt;=$C$13,IF(B183="G마켓",ROUNDDOWN(MIN(G183*$D$13,$E$13),0),ROUNDUP(MIN(G183*$D$13,$E$13),0)),0))</f>
        <v/>
      </c>
      <c r="N183" s="21">
        <f>IF(G183="","",MAX(I183,J183,K183,L183))</f>
        <v/>
      </c>
      <c r="O183" s="21">
        <f>IF(G183="","",G183-N183)</f>
        <v/>
      </c>
      <c r="Q183" s="22">
        <f>IF(O183="","",IF(O183&gt;=$C$17,IF(B183="G마켓",ROUNDDOWN(MIN(O183*$D$17,$E$17),0),ROUNDUP(MIN(O183*$D$17,$E$17),0)),0))</f>
        <v/>
      </c>
      <c r="R183" s="22">
        <f>IF(O183="","",IF(O183&gt;=$C$18,IF(B183="G마켓",ROUNDDOWN(MIN(O183*$D$18,$E$18),0),ROUNDUP(MIN(O183*$D$18,$E$18),0)),0))</f>
        <v/>
      </c>
      <c r="S183" s="22">
        <f>IF(O183="","",IF(O183&gt;=$C$19,IF(B183="G마켓",ROUNDDOWN(MIN(O183*$D$19,$E$19),0),ROUNDUP(MIN(O183*$D$19,$E$19),0)),0))</f>
        <v/>
      </c>
      <c r="T183" s="21">
        <f>IF(O183="","",MAX(Q183,R183,S183))</f>
        <v/>
      </c>
      <c r="U183" s="23">
        <f>IF(O183="","",O183-T183)</f>
        <v/>
      </c>
      <c r="V183" s="22">
        <f>IF(O183="","",IF(B183="G마켓",ROUNDDOWN(MAX(Q183*$G$17,R183*$G$18,S183*$G$19),0),ROUNDUP(MAX(Q183*$G$17,R183*$G$18,S183*$G$19),0)))</f>
        <v/>
      </c>
      <c r="W183" s="23">
        <f>IF(G183="","",IF(B183="G마켓",ROUNDDOWN(G183-G183*$Q$6-V183,0),ROUNDUP(G183-G183*$Q$6-V183,0)))</f>
        <v/>
      </c>
    </row>
    <row r="184">
      <c r="B184" s="6" t="n"/>
      <c r="C184" s="6" t="n"/>
      <c r="D184" s="24" t="n"/>
      <c r="E184" s="25" t="n"/>
      <c r="F184" s="25" t="n"/>
      <c r="G184" s="21">
        <f>IF(E184="","",E184-N(F184))</f>
        <v/>
      </c>
      <c r="I184" s="22">
        <f>IF(G184="","",IF(G184&gt;=$C$10,IF(B184="G마켓",ROUNDDOWN(MIN(G184*$D$10,$E$10),0),ROUNDUP(MIN(G184*$D$10,$E$10),0)),0))</f>
        <v/>
      </c>
      <c r="J184" s="22">
        <f>IF(G184="","",IF(G184&gt;=$C$11,IF(B184="G마켓",ROUNDDOWN(MIN(G184*$D$11,$E$11),0),ROUNDUP(MIN(G184*$D$11,$E$11),0)),0))</f>
        <v/>
      </c>
      <c r="K184" s="22">
        <f>IF(G184="","",IF(G184&gt;=$C$12,IF(B184="G마켓",ROUNDDOWN(MIN(G184*$D$12,$E$12),0),ROUNDUP(MIN(G184*$D$12,$E$12),0)),0))</f>
        <v/>
      </c>
      <c r="L184" s="22">
        <f>IF(G184="","",IF(G184&gt;=$C$13,IF(B184="G마켓",ROUNDDOWN(MIN(G184*$D$13,$E$13),0),ROUNDUP(MIN(G184*$D$13,$E$13),0)),0))</f>
        <v/>
      </c>
      <c r="N184" s="21">
        <f>IF(G184="","",MAX(I184,J184,K184,L184))</f>
        <v/>
      </c>
      <c r="O184" s="21">
        <f>IF(G184="","",G184-N184)</f>
        <v/>
      </c>
      <c r="Q184" s="22">
        <f>IF(O184="","",IF(O184&gt;=$C$17,IF(B184="G마켓",ROUNDDOWN(MIN(O184*$D$17,$E$17),0),ROUNDUP(MIN(O184*$D$17,$E$17),0)),0))</f>
        <v/>
      </c>
      <c r="R184" s="22">
        <f>IF(O184="","",IF(O184&gt;=$C$18,IF(B184="G마켓",ROUNDDOWN(MIN(O184*$D$18,$E$18),0),ROUNDUP(MIN(O184*$D$18,$E$18),0)),0))</f>
        <v/>
      </c>
      <c r="S184" s="22">
        <f>IF(O184="","",IF(O184&gt;=$C$19,IF(B184="G마켓",ROUNDDOWN(MIN(O184*$D$19,$E$19),0),ROUNDUP(MIN(O184*$D$19,$E$19),0)),0))</f>
        <v/>
      </c>
      <c r="T184" s="21">
        <f>IF(O184="","",MAX(Q184,R184,S184))</f>
        <v/>
      </c>
      <c r="U184" s="23">
        <f>IF(O184="","",O184-T184)</f>
        <v/>
      </c>
      <c r="V184" s="22">
        <f>IF(O184="","",IF(B184="G마켓",ROUNDDOWN(MAX(Q184*$G$17,R184*$G$18,S184*$G$19),0),ROUNDUP(MAX(Q184*$G$17,R184*$G$18,S184*$G$19),0)))</f>
        <v/>
      </c>
      <c r="W184" s="23">
        <f>IF(G184="","",IF(B184="G마켓",ROUNDDOWN(G184-G184*$Q$6-V184,0),ROUNDUP(G184-G184*$Q$6-V184,0)))</f>
        <v/>
      </c>
    </row>
    <row r="185">
      <c r="B185" s="6" t="n"/>
      <c r="C185" s="6" t="n"/>
      <c r="D185" s="24" t="n"/>
      <c r="E185" s="25" t="n"/>
      <c r="F185" s="25" t="n"/>
      <c r="G185" s="21">
        <f>IF(E185="","",E185-N(F185))</f>
        <v/>
      </c>
      <c r="I185" s="22">
        <f>IF(G185="","",IF(G185&gt;=$C$10,IF(B185="G마켓",ROUNDDOWN(MIN(G185*$D$10,$E$10),0),ROUNDUP(MIN(G185*$D$10,$E$10),0)),0))</f>
        <v/>
      </c>
      <c r="J185" s="22">
        <f>IF(G185="","",IF(G185&gt;=$C$11,IF(B185="G마켓",ROUNDDOWN(MIN(G185*$D$11,$E$11),0),ROUNDUP(MIN(G185*$D$11,$E$11),0)),0))</f>
        <v/>
      </c>
      <c r="K185" s="22">
        <f>IF(G185="","",IF(G185&gt;=$C$12,IF(B185="G마켓",ROUNDDOWN(MIN(G185*$D$12,$E$12),0),ROUNDUP(MIN(G185*$D$12,$E$12),0)),0))</f>
        <v/>
      </c>
      <c r="L185" s="22">
        <f>IF(G185="","",IF(G185&gt;=$C$13,IF(B185="G마켓",ROUNDDOWN(MIN(G185*$D$13,$E$13),0),ROUNDUP(MIN(G185*$D$13,$E$13),0)),0))</f>
        <v/>
      </c>
      <c r="N185" s="21">
        <f>IF(G185="","",MAX(I185,J185,K185,L185))</f>
        <v/>
      </c>
      <c r="O185" s="21">
        <f>IF(G185="","",G185-N185)</f>
        <v/>
      </c>
      <c r="Q185" s="22">
        <f>IF(O185="","",IF(O185&gt;=$C$17,IF(B185="G마켓",ROUNDDOWN(MIN(O185*$D$17,$E$17),0),ROUNDUP(MIN(O185*$D$17,$E$17),0)),0))</f>
        <v/>
      </c>
      <c r="R185" s="22">
        <f>IF(O185="","",IF(O185&gt;=$C$18,IF(B185="G마켓",ROUNDDOWN(MIN(O185*$D$18,$E$18),0),ROUNDUP(MIN(O185*$D$18,$E$18),0)),0))</f>
        <v/>
      </c>
      <c r="S185" s="22">
        <f>IF(O185="","",IF(O185&gt;=$C$19,IF(B185="G마켓",ROUNDDOWN(MIN(O185*$D$19,$E$19),0),ROUNDUP(MIN(O185*$D$19,$E$19),0)),0))</f>
        <v/>
      </c>
      <c r="T185" s="21">
        <f>IF(O185="","",MAX(Q185,R185,S185))</f>
        <v/>
      </c>
      <c r="U185" s="23">
        <f>IF(O185="","",O185-T185)</f>
        <v/>
      </c>
      <c r="V185" s="22">
        <f>IF(O185="","",IF(B185="G마켓",ROUNDDOWN(MAX(Q185*$G$17,R185*$G$18,S185*$G$19),0),ROUNDUP(MAX(Q185*$G$17,R185*$G$18,S185*$G$19),0)))</f>
        <v/>
      </c>
      <c r="W185" s="23">
        <f>IF(G185="","",IF(B185="G마켓",ROUNDDOWN(G185-G185*$Q$6-V185,0),ROUNDUP(G185-G185*$Q$6-V185,0)))</f>
        <v/>
      </c>
    </row>
    <row r="186">
      <c r="B186" s="6" t="n"/>
      <c r="C186" s="6" t="n"/>
      <c r="D186" s="24" t="n"/>
      <c r="E186" s="25" t="n"/>
      <c r="F186" s="25" t="n"/>
      <c r="G186" s="21">
        <f>IF(E186="","",E186-N(F186))</f>
        <v/>
      </c>
      <c r="I186" s="22">
        <f>IF(G186="","",IF(G186&gt;=$C$10,IF(B186="G마켓",ROUNDDOWN(MIN(G186*$D$10,$E$10),0),ROUNDUP(MIN(G186*$D$10,$E$10),0)),0))</f>
        <v/>
      </c>
      <c r="J186" s="22">
        <f>IF(G186="","",IF(G186&gt;=$C$11,IF(B186="G마켓",ROUNDDOWN(MIN(G186*$D$11,$E$11),0),ROUNDUP(MIN(G186*$D$11,$E$11),0)),0))</f>
        <v/>
      </c>
      <c r="K186" s="22">
        <f>IF(G186="","",IF(G186&gt;=$C$12,IF(B186="G마켓",ROUNDDOWN(MIN(G186*$D$12,$E$12),0),ROUNDUP(MIN(G186*$D$12,$E$12),0)),0))</f>
        <v/>
      </c>
      <c r="L186" s="22">
        <f>IF(G186="","",IF(G186&gt;=$C$13,IF(B186="G마켓",ROUNDDOWN(MIN(G186*$D$13,$E$13),0),ROUNDUP(MIN(G186*$D$13,$E$13),0)),0))</f>
        <v/>
      </c>
      <c r="N186" s="21">
        <f>IF(G186="","",MAX(I186,J186,K186,L186))</f>
        <v/>
      </c>
      <c r="O186" s="21">
        <f>IF(G186="","",G186-N186)</f>
        <v/>
      </c>
      <c r="Q186" s="22">
        <f>IF(O186="","",IF(O186&gt;=$C$17,IF(B186="G마켓",ROUNDDOWN(MIN(O186*$D$17,$E$17),0),ROUNDUP(MIN(O186*$D$17,$E$17),0)),0))</f>
        <v/>
      </c>
      <c r="R186" s="22">
        <f>IF(O186="","",IF(O186&gt;=$C$18,IF(B186="G마켓",ROUNDDOWN(MIN(O186*$D$18,$E$18),0),ROUNDUP(MIN(O186*$D$18,$E$18),0)),0))</f>
        <v/>
      </c>
      <c r="S186" s="22">
        <f>IF(O186="","",IF(O186&gt;=$C$19,IF(B186="G마켓",ROUNDDOWN(MIN(O186*$D$19,$E$19),0),ROUNDUP(MIN(O186*$D$19,$E$19),0)),0))</f>
        <v/>
      </c>
      <c r="T186" s="21">
        <f>IF(O186="","",MAX(Q186,R186,S186))</f>
        <v/>
      </c>
      <c r="U186" s="23">
        <f>IF(O186="","",O186-T186)</f>
        <v/>
      </c>
      <c r="V186" s="22">
        <f>IF(O186="","",IF(B186="G마켓",ROUNDDOWN(MAX(Q186*$G$17,R186*$G$18,S186*$G$19),0),ROUNDUP(MAX(Q186*$G$17,R186*$G$18,S186*$G$19),0)))</f>
        <v/>
      </c>
      <c r="W186" s="23">
        <f>IF(G186="","",IF(B186="G마켓",ROUNDDOWN(G186-G186*$Q$6-V186,0),ROUNDUP(G186-G186*$Q$6-V186,0)))</f>
        <v/>
      </c>
    </row>
    <row r="187">
      <c r="B187" s="6" t="n"/>
      <c r="C187" s="6" t="n"/>
      <c r="D187" s="24" t="n"/>
      <c r="E187" s="25" t="n"/>
      <c r="F187" s="25" t="n"/>
      <c r="G187" s="21">
        <f>IF(E187="","",E187-N(F187))</f>
        <v/>
      </c>
      <c r="I187" s="22">
        <f>IF(G187="","",IF(G187&gt;=$C$10,IF(B187="G마켓",ROUNDDOWN(MIN(G187*$D$10,$E$10),0),ROUNDUP(MIN(G187*$D$10,$E$10),0)),0))</f>
        <v/>
      </c>
      <c r="J187" s="22">
        <f>IF(G187="","",IF(G187&gt;=$C$11,IF(B187="G마켓",ROUNDDOWN(MIN(G187*$D$11,$E$11),0),ROUNDUP(MIN(G187*$D$11,$E$11),0)),0))</f>
        <v/>
      </c>
      <c r="K187" s="22">
        <f>IF(G187="","",IF(G187&gt;=$C$12,IF(B187="G마켓",ROUNDDOWN(MIN(G187*$D$12,$E$12),0),ROUNDUP(MIN(G187*$D$12,$E$12),0)),0))</f>
        <v/>
      </c>
      <c r="L187" s="22">
        <f>IF(G187="","",IF(G187&gt;=$C$13,IF(B187="G마켓",ROUNDDOWN(MIN(G187*$D$13,$E$13),0),ROUNDUP(MIN(G187*$D$13,$E$13),0)),0))</f>
        <v/>
      </c>
      <c r="N187" s="21">
        <f>IF(G187="","",MAX(I187,J187,K187,L187))</f>
        <v/>
      </c>
      <c r="O187" s="21">
        <f>IF(G187="","",G187-N187)</f>
        <v/>
      </c>
      <c r="Q187" s="22">
        <f>IF(O187="","",IF(O187&gt;=$C$17,IF(B187="G마켓",ROUNDDOWN(MIN(O187*$D$17,$E$17),0),ROUNDUP(MIN(O187*$D$17,$E$17),0)),0))</f>
        <v/>
      </c>
      <c r="R187" s="22">
        <f>IF(O187="","",IF(O187&gt;=$C$18,IF(B187="G마켓",ROUNDDOWN(MIN(O187*$D$18,$E$18),0),ROUNDUP(MIN(O187*$D$18,$E$18),0)),0))</f>
        <v/>
      </c>
      <c r="S187" s="22">
        <f>IF(O187="","",IF(O187&gt;=$C$19,IF(B187="G마켓",ROUNDDOWN(MIN(O187*$D$19,$E$19),0),ROUNDUP(MIN(O187*$D$19,$E$19),0)),0))</f>
        <v/>
      </c>
      <c r="T187" s="21">
        <f>IF(O187="","",MAX(Q187,R187,S187))</f>
        <v/>
      </c>
      <c r="U187" s="23">
        <f>IF(O187="","",O187-T187)</f>
        <v/>
      </c>
      <c r="V187" s="22">
        <f>IF(O187="","",IF(B187="G마켓",ROUNDDOWN(MAX(Q187*$G$17,R187*$G$18,S187*$G$19),0),ROUNDUP(MAX(Q187*$G$17,R187*$G$18,S187*$G$19),0)))</f>
        <v/>
      </c>
      <c r="W187" s="23">
        <f>IF(G187="","",IF(B187="G마켓",ROUNDDOWN(G187-G187*$Q$6-V187,0),ROUNDUP(G187-G187*$Q$6-V187,0)))</f>
        <v/>
      </c>
    </row>
    <row r="188">
      <c r="B188" s="6" t="n"/>
      <c r="C188" s="6" t="n"/>
      <c r="D188" s="24" t="n"/>
      <c r="E188" s="25" t="n"/>
      <c r="F188" s="25" t="n"/>
      <c r="G188" s="21">
        <f>IF(E188="","",E188-N(F188))</f>
        <v/>
      </c>
      <c r="I188" s="22">
        <f>IF(G188="","",IF(G188&gt;=$C$10,IF(B188="G마켓",ROUNDDOWN(MIN(G188*$D$10,$E$10),0),ROUNDUP(MIN(G188*$D$10,$E$10),0)),0))</f>
        <v/>
      </c>
      <c r="J188" s="22">
        <f>IF(G188="","",IF(G188&gt;=$C$11,IF(B188="G마켓",ROUNDDOWN(MIN(G188*$D$11,$E$11),0),ROUNDUP(MIN(G188*$D$11,$E$11),0)),0))</f>
        <v/>
      </c>
      <c r="K188" s="22">
        <f>IF(G188="","",IF(G188&gt;=$C$12,IF(B188="G마켓",ROUNDDOWN(MIN(G188*$D$12,$E$12),0),ROUNDUP(MIN(G188*$D$12,$E$12),0)),0))</f>
        <v/>
      </c>
      <c r="L188" s="22">
        <f>IF(G188="","",IF(G188&gt;=$C$13,IF(B188="G마켓",ROUNDDOWN(MIN(G188*$D$13,$E$13),0),ROUNDUP(MIN(G188*$D$13,$E$13),0)),0))</f>
        <v/>
      </c>
      <c r="N188" s="21">
        <f>IF(G188="","",MAX(I188,J188,K188,L188))</f>
        <v/>
      </c>
      <c r="O188" s="21">
        <f>IF(G188="","",G188-N188)</f>
        <v/>
      </c>
      <c r="Q188" s="22">
        <f>IF(O188="","",IF(O188&gt;=$C$17,IF(B188="G마켓",ROUNDDOWN(MIN(O188*$D$17,$E$17),0),ROUNDUP(MIN(O188*$D$17,$E$17),0)),0))</f>
        <v/>
      </c>
      <c r="R188" s="22">
        <f>IF(O188="","",IF(O188&gt;=$C$18,IF(B188="G마켓",ROUNDDOWN(MIN(O188*$D$18,$E$18),0),ROUNDUP(MIN(O188*$D$18,$E$18),0)),0))</f>
        <v/>
      </c>
      <c r="S188" s="22">
        <f>IF(O188="","",IF(O188&gt;=$C$19,IF(B188="G마켓",ROUNDDOWN(MIN(O188*$D$19,$E$19),0),ROUNDUP(MIN(O188*$D$19,$E$19),0)),0))</f>
        <v/>
      </c>
      <c r="T188" s="21">
        <f>IF(O188="","",MAX(Q188,R188,S188))</f>
        <v/>
      </c>
      <c r="U188" s="23">
        <f>IF(O188="","",O188-T188)</f>
        <v/>
      </c>
      <c r="V188" s="22">
        <f>IF(O188="","",IF(B188="G마켓",ROUNDDOWN(MAX(Q188*$G$17,R188*$G$18,S188*$G$19),0),ROUNDUP(MAX(Q188*$G$17,R188*$G$18,S188*$G$19),0)))</f>
        <v/>
      </c>
      <c r="W188" s="23">
        <f>IF(G188="","",IF(B188="G마켓",ROUNDDOWN(G188-G188*$Q$6-V188,0),ROUNDUP(G188-G188*$Q$6-V188,0)))</f>
        <v/>
      </c>
    </row>
    <row r="189">
      <c r="B189" s="6" t="n"/>
      <c r="C189" s="6" t="n"/>
      <c r="D189" s="24" t="n"/>
      <c r="E189" s="25" t="n"/>
      <c r="F189" s="25" t="n"/>
      <c r="G189" s="21">
        <f>IF(E189="","",E189-N(F189))</f>
        <v/>
      </c>
      <c r="I189" s="22">
        <f>IF(G189="","",IF(G189&gt;=$C$10,IF(B189="G마켓",ROUNDDOWN(MIN(G189*$D$10,$E$10),0),ROUNDUP(MIN(G189*$D$10,$E$10),0)),0))</f>
        <v/>
      </c>
      <c r="J189" s="22">
        <f>IF(G189="","",IF(G189&gt;=$C$11,IF(B189="G마켓",ROUNDDOWN(MIN(G189*$D$11,$E$11),0),ROUNDUP(MIN(G189*$D$11,$E$11),0)),0))</f>
        <v/>
      </c>
      <c r="K189" s="22">
        <f>IF(G189="","",IF(G189&gt;=$C$12,IF(B189="G마켓",ROUNDDOWN(MIN(G189*$D$12,$E$12),0),ROUNDUP(MIN(G189*$D$12,$E$12),0)),0))</f>
        <v/>
      </c>
      <c r="L189" s="22">
        <f>IF(G189="","",IF(G189&gt;=$C$13,IF(B189="G마켓",ROUNDDOWN(MIN(G189*$D$13,$E$13),0),ROUNDUP(MIN(G189*$D$13,$E$13),0)),0))</f>
        <v/>
      </c>
      <c r="N189" s="21">
        <f>IF(G189="","",MAX(I189,J189,K189,L189))</f>
        <v/>
      </c>
      <c r="O189" s="21">
        <f>IF(G189="","",G189-N189)</f>
        <v/>
      </c>
      <c r="Q189" s="22">
        <f>IF(O189="","",IF(O189&gt;=$C$17,IF(B189="G마켓",ROUNDDOWN(MIN(O189*$D$17,$E$17),0),ROUNDUP(MIN(O189*$D$17,$E$17),0)),0))</f>
        <v/>
      </c>
      <c r="R189" s="22">
        <f>IF(O189="","",IF(O189&gt;=$C$18,IF(B189="G마켓",ROUNDDOWN(MIN(O189*$D$18,$E$18),0),ROUNDUP(MIN(O189*$D$18,$E$18),0)),0))</f>
        <v/>
      </c>
      <c r="S189" s="22">
        <f>IF(O189="","",IF(O189&gt;=$C$19,IF(B189="G마켓",ROUNDDOWN(MIN(O189*$D$19,$E$19),0),ROUNDUP(MIN(O189*$D$19,$E$19),0)),0))</f>
        <v/>
      </c>
      <c r="T189" s="21">
        <f>IF(O189="","",MAX(Q189,R189,S189))</f>
        <v/>
      </c>
      <c r="U189" s="23">
        <f>IF(O189="","",O189-T189)</f>
        <v/>
      </c>
      <c r="V189" s="22">
        <f>IF(O189="","",IF(B189="G마켓",ROUNDDOWN(MAX(Q189*$G$17,R189*$G$18,S189*$G$19),0),ROUNDUP(MAX(Q189*$G$17,R189*$G$18,S189*$G$19),0)))</f>
        <v/>
      </c>
      <c r="W189" s="23">
        <f>IF(G189="","",IF(B189="G마켓",ROUNDDOWN(G189-G189*$Q$6-V189,0),ROUNDUP(G189-G189*$Q$6-V189,0)))</f>
        <v/>
      </c>
    </row>
    <row r="190">
      <c r="B190" s="6" t="n"/>
      <c r="C190" s="6" t="n"/>
      <c r="D190" s="24" t="n"/>
      <c r="E190" s="25" t="n"/>
      <c r="F190" s="25" t="n"/>
      <c r="G190" s="21">
        <f>IF(E190="","",E190-N(F190))</f>
        <v/>
      </c>
      <c r="I190" s="22">
        <f>IF(G190="","",IF(G190&gt;=$C$10,IF(B190="G마켓",ROUNDDOWN(MIN(G190*$D$10,$E$10),0),ROUNDUP(MIN(G190*$D$10,$E$10),0)),0))</f>
        <v/>
      </c>
      <c r="J190" s="22">
        <f>IF(G190="","",IF(G190&gt;=$C$11,IF(B190="G마켓",ROUNDDOWN(MIN(G190*$D$11,$E$11),0),ROUNDUP(MIN(G190*$D$11,$E$11),0)),0))</f>
        <v/>
      </c>
      <c r="K190" s="22">
        <f>IF(G190="","",IF(G190&gt;=$C$12,IF(B190="G마켓",ROUNDDOWN(MIN(G190*$D$12,$E$12),0),ROUNDUP(MIN(G190*$D$12,$E$12),0)),0))</f>
        <v/>
      </c>
      <c r="L190" s="22">
        <f>IF(G190="","",IF(G190&gt;=$C$13,IF(B190="G마켓",ROUNDDOWN(MIN(G190*$D$13,$E$13),0),ROUNDUP(MIN(G190*$D$13,$E$13),0)),0))</f>
        <v/>
      </c>
      <c r="N190" s="21">
        <f>IF(G190="","",MAX(I190,J190,K190,L190))</f>
        <v/>
      </c>
      <c r="O190" s="21">
        <f>IF(G190="","",G190-N190)</f>
        <v/>
      </c>
      <c r="Q190" s="22">
        <f>IF(O190="","",IF(O190&gt;=$C$17,IF(B190="G마켓",ROUNDDOWN(MIN(O190*$D$17,$E$17),0),ROUNDUP(MIN(O190*$D$17,$E$17),0)),0))</f>
        <v/>
      </c>
      <c r="R190" s="22">
        <f>IF(O190="","",IF(O190&gt;=$C$18,IF(B190="G마켓",ROUNDDOWN(MIN(O190*$D$18,$E$18),0),ROUNDUP(MIN(O190*$D$18,$E$18),0)),0))</f>
        <v/>
      </c>
      <c r="S190" s="22">
        <f>IF(O190="","",IF(O190&gt;=$C$19,IF(B190="G마켓",ROUNDDOWN(MIN(O190*$D$19,$E$19),0),ROUNDUP(MIN(O190*$D$19,$E$19),0)),0))</f>
        <v/>
      </c>
      <c r="T190" s="21">
        <f>IF(O190="","",MAX(Q190,R190,S190))</f>
        <v/>
      </c>
      <c r="U190" s="23">
        <f>IF(O190="","",O190-T190)</f>
        <v/>
      </c>
      <c r="V190" s="22">
        <f>IF(O190="","",IF(B190="G마켓",ROUNDDOWN(MAX(Q190*$G$17,R190*$G$18,S190*$G$19),0),ROUNDUP(MAX(Q190*$G$17,R190*$G$18,S190*$G$19),0)))</f>
        <v/>
      </c>
      <c r="W190" s="23">
        <f>IF(G190="","",IF(B190="G마켓",ROUNDDOWN(G190-G190*$Q$6-V190,0),ROUNDUP(G190-G190*$Q$6-V190,0)))</f>
        <v/>
      </c>
    </row>
    <row r="191">
      <c r="B191" s="6" t="n"/>
      <c r="C191" s="6" t="n"/>
      <c r="D191" s="24" t="n"/>
      <c r="E191" s="25" t="n"/>
      <c r="F191" s="25" t="n"/>
      <c r="G191" s="21">
        <f>IF(E191="","",E191-N(F191))</f>
        <v/>
      </c>
      <c r="I191" s="22">
        <f>IF(G191="","",IF(G191&gt;=$C$10,IF(B191="G마켓",ROUNDDOWN(MIN(G191*$D$10,$E$10),0),ROUNDUP(MIN(G191*$D$10,$E$10),0)),0))</f>
        <v/>
      </c>
      <c r="J191" s="22">
        <f>IF(G191="","",IF(G191&gt;=$C$11,IF(B191="G마켓",ROUNDDOWN(MIN(G191*$D$11,$E$11),0),ROUNDUP(MIN(G191*$D$11,$E$11),0)),0))</f>
        <v/>
      </c>
      <c r="K191" s="22">
        <f>IF(G191="","",IF(G191&gt;=$C$12,IF(B191="G마켓",ROUNDDOWN(MIN(G191*$D$12,$E$12),0),ROUNDUP(MIN(G191*$D$12,$E$12),0)),0))</f>
        <v/>
      </c>
      <c r="L191" s="22">
        <f>IF(G191="","",IF(G191&gt;=$C$13,IF(B191="G마켓",ROUNDDOWN(MIN(G191*$D$13,$E$13),0),ROUNDUP(MIN(G191*$D$13,$E$13),0)),0))</f>
        <v/>
      </c>
      <c r="N191" s="21">
        <f>IF(G191="","",MAX(I191,J191,K191,L191))</f>
        <v/>
      </c>
      <c r="O191" s="21">
        <f>IF(G191="","",G191-N191)</f>
        <v/>
      </c>
      <c r="Q191" s="22">
        <f>IF(O191="","",IF(O191&gt;=$C$17,IF(B191="G마켓",ROUNDDOWN(MIN(O191*$D$17,$E$17),0),ROUNDUP(MIN(O191*$D$17,$E$17),0)),0))</f>
        <v/>
      </c>
      <c r="R191" s="22">
        <f>IF(O191="","",IF(O191&gt;=$C$18,IF(B191="G마켓",ROUNDDOWN(MIN(O191*$D$18,$E$18),0),ROUNDUP(MIN(O191*$D$18,$E$18),0)),0))</f>
        <v/>
      </c>
      <c r="S191" s="22">
        <f>IF(O191="","",IF(O191&gt;=$C$19,IF(B191="G마켓",ROUNDDOWN(MIN(O191*$D$19,$E$19),0),ROUNDUP(MIN(O191*$D$19,$E$19),0)),0))</f>
        <v/>
      </c>
      <c r="T191" s="21">
        <f>IF(O191="","",MAX(Q191,R191,S191))</f>
        <v/>
      </c>
      <c r="U191" s="23">
        <f>IF(O191="","",O191-T191)</f>
        <v/>
      </c>
      <c r="V191" s="22">
        <f>IF(O191="","",IF(B191="G마켓",ROUNDDOWN(MAX(Q191*$G$17,R191*$G$18,S191*$G$19),0),ROUNDUP(MAX(Q191*$G$17,R191*$G$18,S191*$G$19),0)))</f>
        <v/>
      </c>
      <c r="W191" s="23">
        <f>IF(G191="","",IF(B191="G마켓",ROUNDDOWN(G191-G191*$Q$6-V191,0),ROUNDUP(G191-G191*$Q$6-V191,0)))</f>
        <v/>
      </c>
    </row>
    <row r="192">
      <c r="B192" s="6" t="n"/>
      <c r="C192" s="6" t="n"/>
      <c r="D192" s="24" t="n"/>
      <c r="E192" s="25" t="n"/>
      <c r="F192" s="25" t="n"/>
      <c r="G192" s="21">
        <f>IF(E192="","",E192-N(F192))</f>
        <v/>
      </c>
      <c r="I192" s="22">
        <f>IF(G192="","",IF(G192&gt;=$C$10,IF(B192="G마켓",ROUNDDOWN(MIN(G192*$D$10,$E$10),0),ROUNDUP(MIN(G192*$D$10,$E$10),0)),0))</f>
        <v/>
      </c>
      <c r="J192" s="22">
        <f>IF(G192="","",IF(G192&gt;=$C$11,IF(B192="G마켓",ROUNDDOWN(MIN(G192*$D$11,$E$11),0),ROUNDUP(MIN(G192*$D$11,$E$11),0)),0))</f>
        <v/>
      </c>
      <c r="K192" s="22">
        <f>IF(G192="","",IF(G192&gt;=$C$12,IF(B192="G마켓",ROUNDDOWN(MIN(G192*$D$12,$E$12),0),ROUNDUP(MIN(G192*$D$12,$E$12),0)),0))</f>
        <v/>
      </c>
      <c r="L192" s="22">
        <f>IF(G192="","",IF(G192&gt;=$C$13,IF(B192="G마켓",ROUNDDOWN(MIN(G192*$D$13,$E$13),0),ROUNDUP(MIN(G192*$D$13,$E$13),0)),0))</f>
        <v/>
      </c>
      <c r="N192" s="21">
        <f>IF(G192="","",MAX(I192,J192,K192,L192))</f>
        <v/>
      </c>
      <c r="O192" s="21">
        <f>IF(G192="","",G192-N192)</f>
        <v/>
      </c>
      <c r="Q192" s="22">
        <f>IF(O192="","",IF(O192&gt;=$C$17,IF(B192="G마켓",ROUNDDOWN(MIN(O192*$D$17,$E$17),0),ROUNDUP(MIN(O192*$D$17,$E$17),0)),0))</f>
        <v/>
      </c>
      <c r="R192" s="22">
        <f>IF(O192="","",IF(O192&gt;=$C$18,IF(B192="G마켓",ROUNDDOWN(MIN(O192*$D$18,$E$18),0),ROUNDUP(MIN(O192*$D$18,$E$18),0)),0))</f>
        <v/>
      </c>
      <c r="S192" s="22">
        <f>IF(O192="","",IF(O192&gt;=$C$19,IF(B192="G마켓",ROUNDDOWN(MIN(O192*$D$19,$E$19),0),ROUNDUP(MIN(O192*$D$19,$E$19),0)),0))</f>
        <v/>
      </c>
      <c r="T192" s="21">
        <f>IF(O192="","",MAX(Q192,R192,S192))</f>
        <v/>
      </c>
      <c r="U192" s="23">
        <f>IF(O192="","",O192-T192)</f>
        <v/>
      </c>
      <c r="V192" s="22">
        <f>IF(O192="","",IF(B192="G마켓",ROUNDDOWN(MAX(Q192*$G$17,R192*$G$18,S192*$G$19),0),ROUNDUP(MAX(Q192*$G$17,R192*$G$18,S192*$G$19),0)))</f>
        <v/>
      </c>
      <c r="W192" s="23">
        <f>IF(G192="","",IF(B192="G마켓",ROUNDDOWN(G192-G192*$Q$6-V192,0),ROUNDUP(G192-G192*$Q$6-V192,0)))</f>
        <v/>
      </c>
    </row>
    <row r="193">
      <c r="B193" s="6" t="n"/>
      <c r="C193" s="6" t="n"/>
      <c r="D193" s="24" t="n"/>
      <c r="E193" s="25" t="n"/>
      <c r="F193" s="25" t="n"/>
      <c r="G193" s="21">
        <f>IF(E193="","",E193-N(F193))</f>
        <v/>
      </c>
      <c r="I193" s="22">
        <f>IF(G193="","",IF(G193&gt;=$C$10,IF(B193="G마켓",ROUNDDOWN(MIN(G193*$D$10,$E$10),0),ROUNDUP(MIN(G193*$D$10,$E$10),0)),0))</f>
        <v/>
      </c>
      <c r="J193" s="22">
        <f>IF(G193="","",IF(G193&gt;=$C$11,IF(B193="G마켓",ROUNDDOWN(MIN(G193*$D$11,$E$11),0),ROUNDUP(MIN(G193*$D$11,$E$11),0)),0))</f>
        <v/>
      </c>
      <c r="K193" s="22">
        <f>IF(G193="","",IF(G193&gt;=$C$12,IF(B193="G마켓",ROUNDDOWN(MIN(G193*$D$12,$E$12),0),ROUNDUP(MIN(G193*$D$12,$E$12),0)),0))</f>
        <v/>
      </c>
      <c r="L193" s="22">
        <f>IF(G193="","",IF(G193&gt;=$C$13,IF(B193="G마켓",ROUNDDOWN(MIN(G193*$D$13,$E$13),0),ROUNDUP(MIN(G193*$D$13,$E$13),0)),0))</f>
        <v/>
      </c>
      <c r="N193" s="21">
        <f>IF(G193="","",MAX(I193,J193,K193,L193))</f>
        <v/>
      </c>
      <c r="O193" s="21">
        <f>IF(G193="","",G193-N193)</f>
        <v/>
      </c>
      <c r="Q193" s="22">
        <f>IF(O193="","",IF(O193&gt;=$C$17,IF(B193="G마켓",ROUNDDOWN(MIN(O193*$D$17,$E$17),0),ROUNDUP(MIN(O193*$D$17,$E$17),0)),0))</f>
        <v/>
      </c>
      <c r="R193" s="22">
        <f>IF(O193="","",IF(O193&gt;=$C$18,IF(B193="G마켓",ROUNDDOWN(MIN(O193*$D$18,$E$18),0),ROUNDUP(MIN(O193*$D$18,$E$18),0)),0))</f>
        <v/>
      </c>
      <c r="S193" s="22">
        <f>IF(O193="","",IF(O193&gt;=$C$19,IF(B193="G마켓",ROUNDDOWN(MIN(O193*$D$19,$E$19),0),ROUNDUP(MIN(O193*$D$19,$E$19),0)),0))</f>
        <v/>
      </c>
      <c r="T193" s="21">
        <f>IF(O193="","",MAX(Q193,R193,S193))</f>
        <v/>
      </c>
      <c r="U193" s="23">
        <f>IF(O193="","",O193-T193)</f>
        <v/>
      </c>
      <c r="V193" s="22">
        <f>IF(O193="","",IF(B193="G마켓",ROUNDDOWN(MAX(Q193*$G$17,R193*$G$18,S193*$G$19),0),ROUNDUP(MAX(Q193*$G$17,R193*$G$18,S193*$G$19),0)))</f>
        <v/>
      </c>
      <c r="W193" s="23">
        <f>IF(G193="","",IF(B193="G마켓",ROUNDDOWN(G193-G193*$Q$6-V193,0),ROUNDUP(G193-G193*$Q$6-V193,0)))</f>
        <v/>
      </c>
    </row>
    <row r="194">
      <c r="B194" s="6" t="n"/>
      <c r="C194" s="6" t="n"/>
      <c r="D194" s="24" t="n"/>
      <c r="E194" s="25" t="n"/>
      <c r="F194" s="25" t="n"/>
      <c r="G194" s="21">
        <f>IF(E194="","",E194-N(F194))</f>
        <v/>
      </c>
      <c r="I194" s="22">
        <f>IF(G194="","",IF(G194&gt;=$C$10,IF(B194="G마켓",ROUNDDOWN(MIN(G194*$D$10,$E$10),0),ROUNDUP(MIN(G194*$D$10,$E$10),0)),0))</f>
        <v/>
      </c>
      <c r="J194" s="22">
        <f>IF(G194="","",IF(G194&gt;=$C$11,IF(B194="G마켓",ROUNDDOWN(MIN(G194*$D$11,$E$11),0),ROUNDUP(MIN(G194*$D$11,$E$11),0)),0))</f>
        <v/>
      </c>
      <c r="K194" s="22">
        <f>IF(G194="","",IF(G194&gt;=$C$12,IF(B194="G마켓",ROUNDDOWN(MIN(G194*$D$12,$E$12),0),ROUNDUP(MIN(G194*$D$12,$E$12),0)),0))</f>
        <v/>
      </c>
      <c r="L194" s="22">
        <f>IF(G194="","",IF(G194&gt;=$C$13,IF(B194="G마켓",ROUNDDOWN(MIN(G194*$D$13,$E$13),0),ROUNDUP(MIN(G194*$D$13,$E$13),0)),0))</f>
        <v/>
      </c>
      <c r="N194" s="21">
        <f>IF(G194="","",MAX(I194,J194,K194,L194))</f>
        <v/>
      </c>
      <c r="O194" s="21">
        <f>IF(G194="","",G194-N194)</f>
        <v/>
      </c>
      <c r="Q194" s="22">
        <f>IF(O194="","",IF(O194&gt;=$C$17,IF(B194="G마켓",ROUNDDOWN(MIN(O194*$D$17,$E$17),0),ROUNDUP(MIN(O194*$D$17,$E$17),0)),0))</f>
        <v/>
      </c>
      <c r="R194" s="22">
        <f>IF(O194="","",IF(O194&gt;=$C$18,IF(B194="G마켓",ROUNDDOWN(MIN(O194*$D$18,$E$18),0),ROUNDUP(MIN(O194*$D$18,$E$18),0)),0))</f>
        <v/>
      </c>
      <c r="S194" s="22">
        <f>IF(O194="","",IF(O194&gt;=$C$19,IF(B194="G마켓",ROUNDDOWN(MIN(O194*$D$19,$E$19),0),ROUNDUP(MIN(O194*$D$19,$E$19),0)),0))</f>
        <v/>
      </c>
      <c r="T194" s="21">
        <f>IF(O194="","",MAX(Q194,R194,S194))</f>
        <v/>
      </c>
      <c r="U194" s="23">
        <f>IF(O194="","",O194-T194)</f>
        <v/>
      </c>
      <c r="V194" s="22">
        <f>IF(O194="","",IF(B194="G마켓",ROUNDDOWN(MAX(Q194*$G$17,R194*$G$18,S194*$G$19),0),ROUNDUP(MAX(Q194*$G$17,R194*$G$18,S194*$G$19),0)))</f>
        <v/>
      </c>
      <c r="W194" s="23">
        <f>IF(G194="","",IF(B194="G마켓",ROUNDDOWN(G194-G194*$Q$6-V194,0),ROUNDUP(G194-G194*$Q$6-V194,0)))</f>
        <v/>
      </c>
    </row>
    <row r="195">
      <c r="B195" s="6" t="n"/>
      <c r="C195" s="6" t="n"/>
      <c r="D195" s="24" t="n"/>
      <c r="E195" s="25" t="n"/>
      <c r="F195" s="25" t="n"/>
      <c r="G195" s="21">
        <f>IF(E195="","",E195-N(F195))</f>
        <v/>
      </c>
      <c r="I195" s="22">
        <f>IF(G195="","",IF(G195&gt;=$C$10,IF(B195="G마켓",ROUNDDOWN(MIN(G195*$D$10,$E$10),0),ROUNDUP(MIN(G195*$D$10,$E$10),0)),0))</f>
        <v/>
      </c>
      <c r="J195" s="22">
        <f>IF(G195="","",IF(G195&gt;=$C$11,IF(B195="G마켓",ROUNDDOWN(MIN(G195*$D$11,$E$11),0),ROUNDUP(MIN(G195*$D$11,$E$11),0)),0))</f>
        <v/>
      </c>
      <c r="K195" s="22">
        <f>IF(G195="","",IF(G195&gt;=$C$12,IF(B195="G마켓",ROUNDDOWN(MIN(G195*$D$12,$E$12),0),ROUNDUP(MIN(G195*$D$12,$E$12),0)),0))</f>
        <v/>
      </c>
      <c r="L195" s="22">
        <f>IF(G195="","",IF(G195&gt;=$C$13,IF(B195="G마켓",ROUNDDOWN(MIN(G195*$D$13,$E$13),0),ROUNDUP(MIN(G195*$D$13,$E$13),0)),0))</f>
        <v/>
      </c>
      <c r="N195" s="21">
        <f>IF(G195="","",MAX(I195,J195,K195,L195))</f>
        <v/>
      </c>
      <c r="O195" s="21">
        <f>IF(G195="","",G195-N195)</f>
        <v/>
      </c>
      <c r="Q195" s="22">
        <f>IF(O195="","",IF(O195&gt;=$C$17,IF(B195="G마켓",ROUNDDOWN(MIN(O195*$D$17,$E$17),0),ROUNDUP(MIN(O195*$D$17,$E$17),0)),0))</f>
        <v/>
      </c>
      <c r="R195" s="22">
        <f>IF(O195="","",IF(O195&gt;=$C$18,IF(B195="G마켓",ROUNDDOWN(MIN(O195*$D$18,$E$18),0),ROUNDUP(MIN(O195*$D$18,$E$18),0)),0))</f>
        <v/>
      </c>
      <c r="S195" s="22">
        <f>IF(O195="","",IF(O195&gt;=$C$19,IF(B195="G마켓",ROUNDDOWN(MIN(O195*$D$19,$E$19),0),ROUNDUP(MIN(O195*$D$19,$E$19),0)),0))</f>
        <v/>
      </c>
      <c r="T195" s="21">
        <f>IF(O195="","",MAX(Q195,R195,S195))</f>
        <v/>
      </c>
      <c r="U195" s="23">
        <f>IF(O195="","",O195-T195)</f>
        <v/>
      </c>
      <c r="V195" s="22">
        <f>IF(O195="","",IF(B195="G마켓",ROUNDDOWN(MAX(Q195*$G$17,R195*$G$18,S195*$G$19),0),ROUNDUP(MAX(Q195*$G$17,R195*$G$18,S195*$G$19),0)))</f>
        <v/>
      </c>
      <c r="W195" s="23">
        <f>IF(G195="","",IF(B195="G마켓",ROUNDDOWN(G195-G195*$Q$6-V195,0),ROUNDUP(G195-G195*$Q$6-V195,0)))</f>
        <v/>
      </c>
    </row>
    <row r="196">
      <c r="B196" s="6" t="n"/>
      <c r="C196" s="6" t="n"/>
      <c r="D196" s="24" t="n"/>
      <c r="E196" s="25" t="n"/>
      <c r="F196" s="25" t="n"/>
      <c r="G196" s="21">
        <f>IF(E196="","",E196-N(F196))</f>
        <v/>
      </c>
      <c r="I196" s="22">
        <f>IF(G196="","",IF(G196&gt;=$C$10,IF(B196="G마켓",ROUNDDOWN(MIN(G196*$D$10,$E$10),0),ROUNDUP(MIN(G196*$D$10,$E$10),0)),0))</f>
        <v/>
      </c>
      <c r="J196" s="22">
        <f>IF(G196="","",IF(G196&gt;=$C$11,IF(B196="G마켓",ROUNDDOWN(MIN(G196*$D$11,$E$11),0),ROUNDUP(MIN(G196*$D$11,$E$11),0)),0))</f>
        <v/>
      </c>
      <c r="K196" s="22">
        <f>IF(G196="","",IF(G196&gt;=$C$12,IF(B196="G마켓",ROUNDDOWN(MIN(G196*$D$12,$E$12),0),ROUNDUP(MIN(G196*$D$12,$E$12),0)),0))</f>
        <v/>
      </c>
      <c r="L196" s="22">
        <f>IF(G196="","",IF(G196&gt;=$C$13,IF(B196="G마켓",ROUNDDOWN(MIN(G196*$D$13,$E$13),0),ROUNDUP(MIN(G196*$D$13,$E$13),0)),0))</f>
        <v/>
      </c>
      <c r="N196" s="21">
        <f>IF(G196="","",MAX(I196,J196,K196,L196))</f>
        <v/>
      </c>
      <c r="O196" s="21">
        <f>IF(G196="","",G196-N196)</f>
        <v/>
      </c>
      <c r="Q196" s="22">
        <f>IF(O196="","",IF(O196&gt;=$C$17,IF(B196="G마켓",ROUNDDOWN(MIN(O196*$D$17,$E$17),0),ROUNDUP(MIN(O196*$D$17,$E$17),0)),0))</f>
        <v/>
      </c>
      <c r="R196" s="22">
        <f>IF(O196="","",IF(O196&gt;=$C$18,IF(B196="G마켓",ROUNDDOWN(MIN(O196*$D$18,$E$18),0),ROUNDUP(MIN(O196*$D$18,$E$18),0)),0))</f>
        <v/>
      </c>
      <c r="S196" s="22">
        <f>IF(O196="","",IF(O196&gt;=$C$19,IF(B196="G마켓",ROUNDDOWN(MIN(O196*$D$19,$E$19),0),ROUNDUP(MIN(O196*$D$19,$E$19),0)),0))</f>
        <v/>
      </c>
      <c r="T196" s="21">
        <f>IF(O196="","",MAX(Q196,R196,S196))</f>
        <v/>
      </c>
      <c r="U196" s="23">
        <f>IF(O196="","",O196-T196)</f>
        <v/>
      </c>
      <c r="V196" s="22">
        <f>IF(O196="","",IF(B196="G마켓",ROUNDDOWN(MAX(Q196*$G$17,R196*$G$18,S196*$G$19),0),ROUNDUP(MAX(Q196*$G$17,R196*$G$18,S196*$G$19),0)))</f>
        <v/>
      </c>
      <c r="W196" s="23">
        <f>IF(G196="","",IF(B196="G마켓",ROUNDDOWN(G196-G196*$Q$6-V196,0),ROUNDUP(G196-G196*$Q$6-V196,0)))</f>
        <v/>
      </c>
    </row>
    <row r="197">
      <c r="B197" s="6" t="n"/>
      <c r="C197" s="6" t="n"/>
      <c r="D197" s="24" t="n"/>
      <c r="E197" s="25" t="n"/>
      <c r="F197" s="25" t="n"/>
      <c r="G197" s="21">
        <f>IF(E197="","",E197-N(F197))</f>
        <v/>
      </c>
      <c r="I197" s="22">
        <f>IF(G197="","",IF(G197&gt;=$C$10,IF(B197="G마켓",ROUNDDOWN(MIN(G197*$D$10,$E$10),0),ROUNDUP(MIN(G197*$D$10,$E$10),0)),0))</f>
        <v/>
      </c>
      <c r="J197" s="22">
        <f>IF(G197="","",IF(G197&gt;=$C$11,IF(B197="G마켓",ROUNDDOWN(MIN(G197*$D$11,$E$11),0),ROUNDUP(MIN(G197*$D$11,$E$11),0)),0))</f>
        <v/>
      </c>
      <c r="K197" s="22">
        <f>IF(G197="","",IF(G197&gt;=$C$12,IF(B197="G마켓",ROUNDDOWN(MIN(G197*$D$12,$E$12),0),ROUNDUP(MIN(G197*$D$12,$E$12),0)),0))</f>
        <v/>
      </c>
      <c r="L197" s="22">
        <f>IF(G197="","",IF(G197&gt;=$C$13,IF(B197="G마켓",ROUNDDOWN(MIN(G197*$D$13,$E$13),0),ROUNDUP(MIN(G197*$D$13,$E$13),0)),0))</f>
        <v/>
      </c>
      <c r="N197" s="21">
        <f>IF(G197="","",MAX(I197,J197,K197,L197))</f>
        <v/>
      </c>
      <c r="O197" s="21">
        <f>IF(G197="","",G197-N197)</f>
        <v/>
      </c>
      <c r="Q197" s="22">
        <f>IF(O197="","",IF(O197&gt;=$C$17,IF(B197="G마켓",ROUNDDOWN(MIN(O197*$D$17,$E$17),0),ROUNDUP(MIN(O197*$D$17,$E$17),0)),0))</f>
        <v/>
      </c>
      <c r="R197" s="22">
        <f>IF(O197="","",IF(O197&gt;=$C$18,IF(B197="G마켓",ROUNDDOWN(MIN(O197*$D$18,$E$18),0),ROUNDUP(MIN(O197*$D$18,$E$18),0)),0))</f>
        <v/>
      </c>
      <c r="S197" s="22">
        <f>IF(O197="","",IF(O197&gt;=$C$19,IF(B197="G마켓",ROUNDDOWN(MIN(O197*$D$19,$E$19),0),ROUNDUP(MIN(O197*$D$19,$E$19),0)),0))</f>
        <v/>
      </c>
      <c r="T197" s="21">
        <f>IF(O197="","",MAX(Q197,R197,S197))</f>
        <v/>
      </c>
      <c r="U197" s="23">
        <f>IF(O197="","",O197-T197)</f>
        <v/>
      </c>
      <c r="V197" s="22">
        <f>IF(O197="","",IF(B197="G마켓",ROUNDDOWN(MAX(Q197*$G$17,R197*$G$18,S197*$G$19),0),ROUNDUP(MAX(Q197*$G$17,R197*$G$18,S197*$G$19),0)))</f>
        <v/>
      </c>
      <c r="W197" s="23">
        <f>IF(G197="","",IF(B197="G마켓",ROUNDDOWN(G197-G197*$Q$6-V197,0),ROUNDUP(G197-G197*$Q$6-V197,0)))</f>
        <v/>
      </c>
    </row>
    <row r="198">
      <c r="B198" s="6" t="n"/>
      <c r="C198" s="6" t="n"/>
      <c r="D198" s="24" t="n"/>
      <c r="E198" s="25" t="n"/>
      <c r="F198" s="25" t="n"/>
      <c r="G198" s="21">
        <f>IF(E198="","",E198-N(F198))</f>
        <v/>
      </c>
      <c r="I198" s="22">
        <f>IF(G198="","",IF(G198&gt;=$C$10,IF(B198="G마켓",ROUNDDOWN(MIN(G198*$D$10,$E$10),0),ROUNDUP(MIN(G198*$D$10,$E$10),0)),0))</f>
        <v/>
      </c>
      <c r="J198" s="22">
        <f>IF(G198="","",IF(G198&gt;=$C$11,IF(B198="G마켓",ROUNDDOWN(MIN(G198*$D$11,$E$11),0),ROUNDUP(MIN(G198*$D$11,$E$11),0)),0))</f>
        <v/>
      </c>
      <c r="K198" s="22">
        <f>IF(G198="","",IF(G198&gt;=$C$12,IF(B198="G마켓",ROUNDDOWN(MIN(G198*$D$12,$E$12),0),ROUNDUP(MIN(G198*$D$12,$E$12),0)),0))</f>
        <v/>
      </c>
      <c r="L198" s="22">
        <f>IF(G198="","",IF(G198&gt;=$C$13,IF(B198="G마켓",ROUNDDOWN(MIN(G198*$D$13,$E$13),0),ROUNDUP(MIN(G198*$D$13,$E$13),0)),0))</f>
        <v/>
      </c>
      <c r="N198" s="21">
        <f>IF(G198="","",MAX(I198,J198,K198,L198))</f>
        <v/>
      </c>
      <c r="O198" s="21">
        <f>IF(G198="","",G198-N198)</f>
        <v/>
      </c>
      <c r="Q198" s="22">
        <f>IF(O198="","",IF(O198&gt;=$C$17,IF(B198="G마켓",ROUNDDOWN(MIN(O198*$D$17,$E$17),0),ROUNDUP(MIN(O198*$D$17,$E$17),0)),0))</f>
        <v/>
      </c>
      <c r="R198" s="22">
        <f>IF(O198="","",IF(O198&gt;=$C$18,IF(B198="G마켓",ROUNDDOWN(MIN(O198*$D$18,$E$18),0),ROUNDUP(MIN(O198*$D$18,$E$18),0)),0))</f>
        <v/>
      </c>
      <c r="S198" s="22">
        <f>IF(O198="","",IF(O198&gt;=$C$19,IF(B198="G마켓",ROUNDDOWN(MIN(O198*$D$19,$E$19),0),ROUNDUP(MIN(O198*$D$19,$E$19),0)),0))</f>
        <v/>
      </c>
      <c r="T198" s="21">
        <f>IF(O198="","",MAX(Q198,R198,S198))</f>
        <v/>
      </c>
      <c r="U198" s="23">
        <f>IF(O198="","",O198-T198)</f>
        <v/>
      </c>
      <c r="V198" s="22">
        <f>IF(O198="","",IF(B198="G마켓",ROUNDDOWN(MAX(Q198*$G$17,R198*$G$18,S198*$G$19),0),ROUNDUP(MAX(Q198*$G$17,R198*$G$18,S198*$G$19),0)))</f>
        <v/>
      </c>
      <c r="W198" s="23">
        <f>IF(G198="","",IF(B198="G마켓",ROUNDDOWN(G198-G198*$Q$6-V198,0),ROUNDUP(G198-G198*$Q$6-V198,0)))</f>
        <v/>
      </c>
    </row>
    <row r="199">
      <c r="B199" s="6" t="n"/>
      <c r="C199" s="6" t="n"/>
      <c r="D199" s="24" t="n"/>
      <c r="E199" s="25" t="n"/>
      <c r="F199" s="25" t="n"/>
      <c r="G199" s="21">
        <f>IF(E199="","",E199-N(F199))</f>
        <v/>
      </c>
      <c r="I199" s="22">
        <f>IF(G199="","",IF(G199&gt;=$C$10,IF(B199="G마켓",ROUNDDOWN(MIN(G199*$D$10,$E$10),0),ROUNDUP(MIN(G199*$D$10,$E$10),0)),0))</f>
        <v/>
      </c>
      <c r="J199" s="22">
        <f>IF(G199="","",IF(G199&gt;=$C$11,IF(B199="G마켓",ROUNDDOWN(MIN(G199*$D$11,$E$11),0),ROUNDUP(MIN(G199*$D$11,$E$11),0)),0))</f>
        <v/>
      </c>
      <c r="K199" s="22">
        <f>IF(G199="","",IF(G199&gt;=$C$12,IF(B199="G마켓",ROUNDDOWN(MIN(G199*$D$12,$E$12),0),ROUNDUP(MIN(G199*$D$12,$E$12),0)),0))</f>
        <v/>
      </c>
      <c r="L199" s="22">
        <f>IF(G199="","",IF(G199&gt;=$C$13,IF(B199="G마켓",ROUNDDOWN(MIN(G199*$D$13,$E$13),0),ROUNDUP(MIN(G199*$D$13,$E$13),0)),0))</f>
        <v/>
      </c>
      <c r="N199" s="21">
        <f>IF(G199="","",MAX(I199,J199,K199,L199))</f>
        <v/>
      </c>
      <c r="O199" s="21">
        <f>IF(G199="","",G199-N199)</f>
        <v/>
      </c>
      <c r="Q199" s="22">
        <f>IF(O199="","",IF(O199&gt;=$C$17,IF(B199="G마켓",ROUNDDOWN(MIN(O199*$D$17,$E$17),0),ROUNDUP(MIN(O199*$D$17,$E$17),0)),0))</f>
        <v/>
      </c>
      <c r="R199" s="22">
        <f>IF(O199="","",IF(O199&gt;=$C$18,IF(B199="G마켓",ROUNDDOWN(MIN(O199*$D$18,$E$18),0),ROUNDUP(MIN(O199*$D$18,$E$18),0)),0))</f>
        <v/>
      </c>
      <c r="S199" s="22">
        <f>IF(O199="","",IF(O199&gt;=$C$19,IF(B199="G마켓",ROUNDDOWN(MIN(O199*$D$19,$E$19),0),ROUNDUP(MIN(O199*$D$19,$E$19),0)),0))</f>
        <v/>
      </c>
      <c r="T199" s="21">
        <f>IF(O199="","",MAX(Q199,R199,S199))</f>
        <v/>
      </c>
      <c r="U199" s="23">
        <f>IF(O199="","",O199-T199)</f>
        <v/>
      </c>
      <c r="V199" s="22">
        <f>IF(O199="","",IF(B199="G마켓",ROUNDDOWN(MAX(Q199*$G$17,R199*$G$18,S199*$G$19),0),ROUNDUP(MAX(Q199*$G$17,R199*$G$18,S199*$G$19),0)))</f>
        <v/>
      </c>
      <c r="W199" s="23">
        <f>IF(G199="","",IF(B199="G마켓",ROUNDDOWN(G199-G199*$Q$6-V199,0),ROUNDUP(G199-G199*$Q$6-V199,0)))</f>
        <v/>
      </c>
    </row>
    <row r="200">
      <c r="B200" s="6" t="n"/>
      <c r="C200" s="6" t="n"/>
      <c r="D200" s="24" t="n"/>
      <c r="E200" s="25" t="n"/>
      <c r="F200" s="25" t="n"/>
      <c r="G200" s="21">
        <f>IF(E200="","",E200-N(F200))</f>
        <v/>
      </c>
      <c r="I200" s="22">
        <f>IF(G200="","",IF(G200&gt;=$C$10,IF(B200="G마켓",ROUNDDOWN(MIN(G200*$D$10,$E$10),0),ROUNDUP(MIN(G200*$D$10,$E$10),0)),0))</f>
        <v/>
      </c>
      <c r="J200" s="22">
        <f>IF(G200="","",IF(G200&gt;=$C$11,IF(B200="G마켓",ROUNDDOWN(MIN(G200*$D$11,$E$11),0),ROUNDUP(MIN(G200*$D$11,$E$11),0)),0))</f>
        <v/>
      </c>
      <c r="K200" s="22">
        <f>IF(G200="","",IF(G200&gt;=$C$12,IF(B200="G마켓",ROUNDDOWN(MIN(G200*$D$12,$E$12),0),ROUNDUP(MIN(G200*$D$12,$E$12),0)),0))</f>
        <v/>
      </c>
      <c r="L200" s="22">
        <f>IF(G200="","",IF(G200&gt;=$C$13,IF(B200="G마켓",ROUNDDOWN(MIN(G200*$D$13,$E$13),0),ROUNDUP(MIN(G200*$D$13,$E$13),0)),0))</f>
        <v/>
      </c>
      <c r="N200" s="21">
        <f>IF(G200="","",MAX(I200,J200,K200,L200))</f>
        <v/>
      </c>
      <c r="O200" s="21">
        <f>IF(G200="","",G200-N200)</f>
        <v/>
      </c>
      <c r="Q200" s="22">
        <f>IF(O200="","",IF(O200&gt;=$C$17,IF(B200="G마켓",ROUNDDOWN(MIN(O200*$D$17,$E$17),0),ROUNDUP(MIN(O200*$D$17,$E$17),0)),0))</f>
        <v/>
      </c>
      <c r="R200" s="22">
        <f>IF(O200="","",IF(O200&gt;=$C$18,IF(B200="G마켓",ROUNDDOWN(MIN(O200*$D$18,$E$18),0),ROUNDUP(MIN(O200*$D$18,$E$18),0)),0))</f>
        <v/>
      </c>
      <c r="S200" s="22">
        <f>IF(O200="","",IF(O200&gt;=$C$19,IF(B200="G마켓",ROUNDDOWN(MIN(O200*$D$19,$E$19),0),ROUNDUP(MIN(O200*$D$19,$E$19),0)),0))</f>
        <v/>
      </c>
      <c r="T200" s="21">
        <f>IF(O200="","",MAX(Q200,R200,S200))</f>
        <v/>
      </c>
      <c r="U200" s="23">
        <f>IF(O200="","",O200-T200)</f>
        <v/>
      </c>
      <c r="V200" s="22">
        <f>IF(O200="","",IF(B200="G마켓",ROUNDDOWN(MAX(Q200*$G$17,R200*$G$18,S200*$G$19),0),ROUNDUP(MAX(Q200*$G$17,R200*$G$18,S200*$G$19),0)))</f>
        <v/>
      </c>
      <c r="W200" s="23">
        <f>IF(G200="","",IF(B200="G마켓",ROUNDDOWN(G200-G200*$Q$6-V200,0),ROUNDUP(G200-G200*$Q$6-V200,0)))</f>
        <v/>
      </c>
    </row>
    <row r="201">
      <c r="B201" s="6" t="n"/>
      <c r="C201" s="6" t="n"/>
      <c r="D201" s="24" t="n"/>
      <c r="E201" s="25" t="n"/>
      <c r="F201" s="25" t="n"/>
      <c r="G201" s="21">
        <f>IF(E201="","",E201-N(F201))</f>
        <v/>
      </c>
      <c r="I201" s="22">
        <f>IF(G201="","",IF(G201&gt;=$C$10,IF(B201="G마켓",ROUNDDOWN(MIN(G201*$D$10,$E$10),0),ROUNDUP(MIN(G201*$D$10,$E$10),0)),0))</f>
        <v/>
      </c>
      <c r="J201" s="22">
        <f>IF(G201="","",IF(G201&gt;=$C$11,IF(B201="G마켓",ROUNDDOWN(MIN(G201*$D$11,$E$11),0),ROUNDUP(MIN(G201*$D$11,$E$11),0)),0))</f>
        <v/>
      </c>
      <c r="K201" s="22">
        <f>IF(G201="","",IF(G201&gt;=$C$12,IF(B201="G마켓",ROUNDDOWN(MIN(G201*$D$12,$E$12),0),ROUNDUP(MIN(G201*$D$12,$E$12),0)),0))</f>
        <v/>
      </c>
      <c r="L201" s="22">
        <f>IF(G201="","",IF(G201&gt;=$C$13,IF(B201="G마켓",ROUNDDOWN(MIN(G201*$D$13,$E$13),0),ROUNDUP(MIN(G201*$D$13,$E$13),0)),0))</f>
        <v/>
      </c>
      <c r="N201" s="21">
        <f>IF(G201="","",MAX(I201,J201,K201,L201))</f>
        <v/>
      </c>
      <c r="O201" s="21">
        <f>IF(G201="","",G201-N201)</f>
        <v/>
      </c>
      <c r="Q201" s="22">
        <f>IF(O201="","",IF(O201&gt;=$C$17,IF(B201="G마켓",ROUNDDOWN(MIN(O201*$D$17,$E$17),0),ROUNDUP(MIN(O201*$D$17,$E$17),0)),0))</f>
        <v/>
      </c>
      <c r="R201" s="22">
        <f>IF(O201="","",IF(O201&gt;=$C$18,IF(B201="G마켓",ROUNDDOWN(MIN(O201*$D$18,$E$18),0),ROUNDUP(MIN(O201*$D$18,$E$18),0)),0))</f>
        <v/>
      </c>
      <c r="S201" s="22">
        <f>IF(O201="","",IF(O201&gt;=$C$19,IF(B201="G마켓",ROUNDDOWN(MIN(O201*$D$19,$E$19),0),ROUNDUP(MIN(O201*$D$19,$E$19),0)),0))</f>
        <v/>
      </c>
      <c r="T201" s="21">
        <f>IF(O201="","",MAX(Q201,R201,S201))</f>
        <v/>
      </c>
      <c r="U201" s="23">
        <f>IF(O201="","",O201-T201)</f>
        <v/>
      </c>
      <c r="V201" s="22">
        <f>IF(O201="","",IF(B201="G마켓",ROUNDDOWN(MAX(Q201*$G$17,R201*$G$18,S201*$G$19),0),ROUNDUP(MAX(Q201*$G$17,R201*$G$18,S201*$G$19),0)))</f>
        <v/>
      </c>
      <c r="W201" s="23">
        <f>IF(G201="","",IF(B201="G마켓",ROUNDDOWN(G201-G201*$Q$6-V201,0),ROUNDUP(G201-G201*$Q$6-V201,0)))</f>
        <v/>
      </c>
    </row>
    <row r="202">
      <c r="B202" s="6" t="n"/>
      <c r="C202" s="6" t="n"/>
      <c r="D202" s="24" t="n"/>
      <c r="E202" s="25" t="n"/>
      <c r="F202" s="25" t="n"/>
      <c r="G202" s="21">
        <f>IF(E202="","",E202-N(F202))</f>
        <v/>
      </c>
      <c r="I202" s="22">
        <f>IF(G202="","",IF(G202&gt;=$C$10,IF(B202="G마켓",ROUNDDOWN(MIN(G202*$D$10,$E$10),0),ROUNDUP(MIN(G202*$D$10,$E$10),0)),0))</f>
        <v/>
      </c>
      <c r="J202" s="22">
        <f>IF(G202="","",IF(G202&gt;=$C$11,IF(B202="G마켓",ROUNDDOWN(MIN(G202*$D$11,$E$11),0),ROUNDUP(MIN(G202*$D$11,$E$11),0)),0))</f>
        <v/>
      </c>
      <c r="K202" s="22">
        <f>IF(G202="","",IF(G202&gt;=$C$12,IF(B202="G마켓",ROUNDDOWN(MIN(G202*$D$12,$E$12),0),ROUNDUP(MIN(G202*$D$12,$E$12),0)),0))</f>
        <v/>
      </c>
      <c r="L202" s="22">
        <f>IF(G202="","",IF(G202&gt;=$C$13,IF(B202="G마켓",ROUNDDOWN(MIN(G202*$D$13,$E$13),0),ROUNDUP(MIN(G202*$D$13,$E$13),0)),0))</f>
        <v/>
      </c>
      <c r="N202" s="21">
        <f>IF(G202="","",MAX(I202,J202,K202,L202))</f>
        <v/>
      </c>
      <c r="O202" s="21">
        <f>IF(G202="","",G202-N202)</f>
        <v/>
      </c>
      <c r="Q202" s="22">
        <f>IF(O202="","",IF(O202&gt;=$C$17,IF(B202="G마켓",ROUNDDOWN(MIN(O202*$D$17,$E$17),0),ROUNDUP(MIN(O202*$D$17,$E$17),0)),0))</f>
        <v/>
      </c>
      <c r="R202" s="22">
        <f>IF(O202="","",IF(O202&gt;=$C$18,IF(B202="G마켓",ROUNDDOWN(MIN(O202*$D$18,$E$18),0),ROUNDUP(MIN(O202*$D$18,$E$18),0)),0))</f>
        <v/>
      </c>
      <c r="S202" s="22">
        <f>IF(O202="","",IF(O202&gt;=$C$19,IF(B202="G마켓",ROUNDDOWN(MIN(O202*$D$19,$E$19),0),ROUNDUP(MIN(O202*$D$19,$E$19),0)),0))</f>
        <v/>
      </c>
      <c r="T202" s="21">
        <f>IF(O202="","",MAX(Q202,R202,S202))</f>
        <v/>
      </c>
      <c r="U202" s="23">
        <f>IF(O202="","",O202-T202)</f>
        <v/>
      </c>
      <c r="V202" s="22">
        <f>IF(O202="","",IF(B202="G마켓",ROUNDDOWN(MAX(Q202*$G$17,R202*$G$18,S202*$G$19),0),ROUNDUP(MAX(Q202*$G$17,R202*$G$18,S202*$G$19),0)))</f>
        <v/>
      </c>
      <c r="W202" s="23">
        <f>IF(G202="","",IF(B202="G마켓",ROUNDDOWN(G202-G202*$Q$6-V202,0),ROUNDUP(G202-G202*$Q$6-V202,0)))</f>
        <v/>
      </c>
    </row>
    <row r="203">
      <c r="B203" s="6" t="n"/>
      <c r="C203" s="6" t="n"/>
      <c r="D203" s="24" t="n"/>
      <c r="E203" s="25" t="n"/>
      <c r="F203" s="25" t="n"/>
      <c r="G203" s="21">
        <f>IF(E203="","",E203-N(F203))</f>
        <v/>
      </c>
      <c r="I203" s="22">
        <f>IF(G203="","",IF(G203&gt;=$C$10,IF(B203="G마켓",ROUNDDOWN(MIN(G203*$D$10,$E$10),0),ROUNDUP(MIN(G203*$D$10,$E$10),0)),0))</f>
        <v/>
      </c>
      <c r="J203" s="22">
        <f>IF(G203="","",IF(G203&gt;=$C$11,IF(B203="G마켓",ROUNDDOWN(MIN(G203*$D$11,$E$11),0),ROUNDUP(MIN(G203*$D$11,$E$11),0)),0))</f>
        <v/>
      </c>
      <c r="K203" s="22">
        <f>IF(G203="","",IF(G203&gt;=$C$12,IF(B203="G마켓",ROUNDDOWN(MIN(G203*$D$12,$E$12),0),ROUNDUP(MIN(G203*$D$12,$E$12),0)),0))</f>
        <v/>
      </c>
      <c r="L203" s="22">
        <f>IF(G203="","",IF(G203&gt;=$C$13,IF(B203="G마켓",ROUNDDOWN(MIN(G203*$D$13,$E$13),0),ROUNDUP(MIN(G203*$D$13,$E$13),0)),0))</f>
        <v/>
      </c>
      <c r="N203" s="21">
        <f>IF(G203="","",MAX(I203,J203,K203,L203))</f>
        <v/>
      </c>
      <c r="O203" s="21">
        <f>IF(G203="","",G203-N203)</f>
        <v/>
      </c>
      <c r="Q203" s="22">
        <f>IF(O203="","",IF(O203&gt;=$C$17,IF(B203="G마켓",ROUNDDOWN(MIN(O203*$D$17,$E$17),0),ROUNDUP(MIN(O203*$D$17,$E$17),0)),0))</f>
        <v/>
      </c>
      <c r="R203" s="22">
        <f>IF(O203="","",IF(O203&gt;=$C$18,IF(B203="G마켓",ROUNDDOWN(MIN(O203*$D$18,$E$18),0),ROUNDUP(MIN(O203*$D$18,$E$18),0)),0))</f>
        <v/>
      </c>
      <c r="S203" s="22">
        <f>IF(O203="","",IF(O203&gt;=$C$19,IF(B203="G마켓",ROUNDDOWN(MIN(O203*$D$19,$E$19),0),ROUNDUP(MIN(O203*$D$19,$E$19),0)),0))</f>
        <v/>
      </c>
      <c r="T203" s="21">
        <f>IF(O203="","",MAX(Q203,R203,S203))</f>
        <v/>
      </c>
      <c r="U203" s="23">
        <f>IF(O203="","",O203-T203)</f>
        <v/>
      </c>
      <c r="V203" s="22">
        <f>IF(O203="","",IF(B203="G마켓",ROUNDDOWN(MAX(Q203*$G$17,R203*$G$18,S203*$G$19),0),ROUNDUP(MAX(Q203*$G$17,R203*$G$18,S203*$G$19),0)))</f>
        <v/>
      </c>
      <c r="W203" s="23">
        <f>IF(G203="","",IF(B203="G마켓",ROUNDDOWN(G203-G203*$Q$6-V203,0),ROUNDUP(G203-G203*$Q$6-V203,0)))</f>
        <v/>
      </c>
    </row>
    <row r="204">
      <c r="B204" s="6" t="n"/>
      <c r="C204" s="6" t="n"/>
      <c r="D204" s="24" t="n"/>
      <c r="E204" s="25" t="n"/>
      <c r="F204" s="25" t="n"/>
      <c r="G204" s="21">
        <f>IF(E204="","",E204-N(F204))</f>
        <v/>
      </c>
      <c r="I204" s="22">
        <f>IF(G204="","",IF(G204&gt;=$C$10,IF(B204="G마켓",ROUNDDOWN(MIN(G204*$D$10,$E$10),0),ROUNDUP(MIN(G204*$D$10,$E$10),0)),0))</f>
        <v/>
      </c>
      <c r="J204" s="22">
        <f>IF(G204="","",IF(G204&gt;=$C$11,IF(B204="G마켓",ROUNDDOWN(MIN(G204*$D$11,$E$11),0),ROUNDUP(MIN(G204*$D$11,$E$11),0)),0))</f>
        <v/>
      </c>
      <c r="K204" s="22">
        <f>IF(G204="","",IF(G204&gt;=$C$12,IF(B204="G마켓",ROUNDDOWN(MIN(G204*$D$12,$E$12),0),ROUNDUP(MIN(G204*$D$12,$E$12),0)),0))</f>
        <v/>
      </c>
      <c r="L204" s="22">
        <f>IF(G204="","",IF(G204&gt;=$C$13,IF(B204="G마켓",ROUNDDOWN(MIN(G204*$D$13,$E$13),0),ROUNDUP(MIN(G204*$D$13,$E$13),0)),0))</f>
        <v/>
      </c>
      <c r="N204" s="21">
        <f>IF(G204="","",MAX(I204,J204,K204,L204))</f>
        <v/>
      </c>
      <c r="O204" s="21">
        <f>IF(G204="","",G204-N204)</f>
        <v/>
      </c>
      <c r="Q204" s="22">
        <f>IF(O204="","",IF(O204&gt;=$C$17,IF(B204="G마켓",ROUNDDOWN(MIN(O204*$D$17,$E$17),0),ROUNDUP(MIN(O204*$D$17,$E$17),0)),0))</f>
        <v/>
      </c>
      <c r="R204" s="22">
        <f>IF(O204="","",IF(O204&gt;=$C$18,IF(B204="G마켓",ROUNDDOWN(MIN(O204*$D$18,$E$18),0),ROUNDUP(MIN(O204*$D$18,$E$18),0)),0))</f>
        <v/>
      </c>
      <c r="S204" s="22">
        <f>IF(O204="","",IF(O204&gt;=$C$19,IF(B204="G마켓",ROUNDDOWN(MIN(O204*$D$19,$E$19),0),ROUNDUP(MIN(O204*$D$19,$E$19),0)),0))</f>
        <v/>
      </c>
      <c r="T204" s="21">
        <f>IF(O204="","",MAX(Q204,R204,S204))</f>
        <v/>
      </c>
      <c r="U204" s="23">
        <f>IF(O204="","",O204-T204)</f>
        <v/>
      </c>
      <c r="V204" s="22">
        <f>IF(O204="","",IF(B204="G마켓",ROUNDDOWN(MAX(Q204*$G$17,R204*$G$18,S204*$G$19),0),ROUNDUP(MAX(Q204*$G$17,R204*$G$18,S204*$G$19),0)))</f>
        <v/>
      </c>
      <c r="W204" s="23">
        <f>IF(G204="","",IF(B204="G마켓",ROUNDDOWN(G204-G204*$Q$6-V204,0),ROUNDUP(G204-G204*$Q$6-V204,0)))</f>
        <v/>
      </c>
    </row>
    <row r="205">
      <c r="B205" s="6" t="n"/>
      <c r="C205" s="6" t="n"/>
      <c r="D205" s="24" t="n"/>
      <c r="E205" s="25" t="n"/>
      <c r="F205" s="25" t="n"/>
      <c r="G205" s="21">
        <f>IF(E205="","",E205-N(F205))</f>
        <v/>
      </c>
      <c r="I205" s="22">
        <f>IF(G205="","",IF(G205&gt;=$C$10,IF(B205="G마켓",ROUNDDOWN(MIN(G205*$D$10,$E$10),0),ROUNDUP(MIN(G205*$D$10,$E$10),0)),0))</f>
        <v/>
      </c>
      <c r="J205" s="22">
        <f>IF(G205="","",IF(G205&gt;=$C$11,IF(B205="G마켓",ROUNDDOWN(MIN(G205*$D$11,$E$11),0),ROUNDUP(MIN(G205*$D$11,$E$11),0)),0))</f>
        <v/>
      </c>
      <c r="K205" s="22">
        <f>IF(G205="","",IF(G205&gt;=$C$12,IF(B205="G마켓",ROUNDDOWN(MIN(G205*$D$12,$E$12),0),ROUNDUP(MIN(G205*$D$12,$E$12),0)),0))</f>
        <v/>
      </c>
      <c r="L205" s="22">
        <f>IF(G205="","",IF(G205&gt;=$C$13,IF(B205="G마켓",ROUNDDOWN(MIN(G205*$D$13,$E$13),0),ROUNDUP(MIN(G205*$D$13,$E$13),0)),0))</f>
        <v/>
      </c>
      <c r="N205" s="21">
        <f>IF(G205="","",MAX(I205,J205,K205,L205))</f>
        <v/>
      </c>
      <c r="O205" s="21">
        <f>IF(G205="","",G205-N205)</f>
        <v/>
      </c>
      <c r="Q205" s="22">
        <f>IF(O205="","",IF(O205&gt;=$C$17,IF(B205="G마켓",ROUNDDOWN(MIN(O205*$D$17,$E$17),0),ROUNDUP(MIN(O205*$D$17,$E$17),0)),0))</f>
        <v/>
      </c>
      <c r="R205" s="22">
        <f>IF(O205="","",IF(O205&gt;=$C$18,IF(B205="G마켓",ROUNDDOWN(MIN(O205*$D$18,$E$18),0),ROUNDUP(MIN(O205*$D$18,$E$18),0)),0))</f>
        <v/>
      </c>
      <c r="S205" s="22">
        <f>IF(O205="","",IF(O205&gt;=$C$19,IF(B205="G마켓",ROUNDDOWN(MIN(O205*$D$19,$E$19),0),ROUNDUP(MIN(O205*$D$19,$E$19),0)),0))</f>
        <v/>
      </c>
      <c r="T205" s="21">
        <f>IF(O205="","",MAX(Q205,R205,S205))</f>
        <v/>
      </c>
      <c r="U205" s="23">
        <f>IF(O205="","",O205-T205)</f>
        <v/>
      </c>
      <c r="V205" s="22">
        <f>IF(O205="","",IF(B205="G마켓",ROUNDDOWN(MAX(Q205*$G$17,R205*$G$18,S205*$G$19),0),ROUNDUP(MAX(Q205*$G$17,R205*$G$18,S205*$G$19),0)))</f>
        <v/>
      </c>
      <c r="W205" s="23">
        <f>IF(G205="","",IF(B205="G마켓",ROUNDDOWN(G205-G205*$Q$6-V205,0),ROUNDUP(G205-G205*$Q$6-V205,0)))</f>
        <v/>
      </c>
    </row>
    <row r="206">
      <c r="B206" s="6" t="n"/>
      <c r="C206" s="6" t="n"/>
      <c r="D206" s="24" t="n"/>
      <c r="E206" s="25" t="n"/>
      <c r="F206" s="25" t="n"/>
      <c r="G206" s="21">
        <f>IF(E206="","",E206-N(F206))</f>
        <v/>
      </c>
      <c r="I206" s="22">
        <f>IF(G206="","",IF(G206&gt;=$C$10,IF(B206="G마켓",ROUNDDOWN(MIN(G206*$D$10,$E$10),0),ROUNDUP(MIN(G206*$D$10,$E$10),0)),0))</f>
        <v/>
      </c>
      <c r="J206" s="22">
        <f>IF(G206="","",IF(G206&gt;=$C$11,IF(B206="G마켓",ROUNDDOWN(MIN(G206*$D$11,$E$11),0),ROUNDUP(MIN(G206*$D$11,$E$11),0)),0))</f>
        <v/>
      </c>
      <c r="K206" s="22">
        <f>IF(G206="","",IF(G206&gt;=$C$12,IF(B206="G마켓",ROUNDDOWN(MIN(G206*$D$12,$E$12),0),ROUNDUP(MIN(G206*$D$12,$E$12),0)),0))</f>
        <v/>
      </c>
      <c r="L206" s="22">
        <f>IF(G206="","",IF(G206&gt;=$C$13,IF(B206="G마켓",ROUNDDOWN(MIN(G206*$D$13,$E$13),0),ROUNDUP(MIN(G206*$D$13,$E$13),0)),0))</f>
        <v/>
      </c>
      <c r="N206" s="21">
        <f>IF(G206="","",MAX(I206,J206,K206,L206))</f>
        <v/>
      </c>
      <c r="O206" s="21">
        <f>IF(G206="","",G206-N206)</f>
        <v/>
      </c>
      <c r="Q206" s="22">
        <f>IF(O206="","",IF(O206&gt;=$C$17,IF(B206="G마켓",ROUNDDOWN(MIN(O206*$D$17,$E$17),0),ROUNDUP(MIN(O206*$D$17,$E$17),0)),0))</f>
        <v/>
      </c>
      <c r="R206" s="22">
        <f>IF(O206="","",IF(O206&gt;=$C$18,IF(B206="G마켓",ROUNDDOWN(MIN(O206*$D$18,$E$18),0),ROUNDUP(MIN(O206*$D$18,$E$18),0)),0))</f>
        <v/>
      </c>
      <c r="S206" s="22">
        <f>IF(O206="","",IF(O206&gt;=$C$19,IF(B206="G마켓",ROUNDDOWN(MIN(O206*$D$19,$E$19),0),ROUNDUP(MIN(O206*$D$19,$E$19),0)),0))</f>
        <v/>
      </c>
      <c r="T206" s="21">
        <f>IF(O206="","",MAX(Q206,R206,S206))</f>
        <v/>
      </c>
      <c r="U206" s="23">
        <f>IF(O206="","",O206-T206)</f>
        <v/>
      </c>
      <c r="V206" s="22">
        <f>IF(O206="","",IF(B206="G마켓",ROUNDDOWN(MAX(Q206*$G$17,R206*$G$18,S206*$G$19),0),ROUNDUP(MAX(Q206*$G$17,R206*$G$18,S206*$G$19),0)))</f>
        <v/>
      </c>
      <c r="W206" s="23">
        <f>IF(G206="","",IF(B206="G마켓",ROUNDDOWN(G206-G206*$Q$6-V206,0),ROUNDUP(G206-G206*$Q$6-V206,0)))</f>
        <v/>
      </c>
    </row>
    <row r="207">
      <c r="B207" s="6" t="n"/>
      <c r="C207" s="6" t="n"/>
      <c r="D207" s="24" t="n"/>
      <c r="E207" s="25" t="n"/>
      <c r="F207" s="25" t="n"/>
      <c r="G207" s="21">
        <f>IF(E207="","",E207-N(F207))</f>
        <v/>
      </c>
      <c r="I207" s="22">
        <f>IF(G207="","",IF(G207&gt;=$C$10,IF(B207="G마켓",ROUNDDOWN(MIN(G207*$D$10,$E$10),0),ROUNDUP(MIN(G207*$D$10,$E$10),0)),0))</f>
        <v/>
      </c>
      <c r="J207" s="22">
        <f>IF(G207="","",IF(G207&gt;=$C$11,IF(B207="G마켓",ROUNDDOWN(MIN(G207*$D$11,$E$11),0),ROUNDUP(MIN(G207*$D$11,$E$11),0)),0))</f>
        <v/>
      </c>
      <c r="K207" s="22">
        <f>IF(G207="","",IF(G207&gt;=$C$12,IF(B207="G마켓",ROUNDDOWN(MIN(G207*$D$12,$E$12),0),ROUNDUP(MIN(G207*$D$12,$E$12),0)),0))</f>
        <v/>
      </c>
      <c r="L207" s="22">
        <f>IF(G207="","",IF(G207&gt;=$C$13,IF(B207="G마켓",ROUNDDOWN(MIN(G207*$D$13,$E$13),0),ROUNDUP(MIN(G207*$D$13,$E$13),0)),0))</f>
        <v/>
      </c>
      <c r="N207" s="21">
        <f>IF(G207="","",MAX(I207,J207,K207,L207))</f>
        <v/>
      </c>
      <c r="O207" s="21">
        <f>IF(G207="","",G207-N207)</f>
        <v/>
      </c>
      <c r="Q207" s="22">
        <f>IF(O207="","",IF(O207&gt;=$C$17,IF(B207="G마켓",ROUNDDOWN(MIN(O207*$D$17,$E$17),0),ROUNDUP(MIN(O207*$D$17,$E$17),0)),0))</f>
        <v/>
      </c>
      <c r="R207" s="22">
        <f>IF(O207="","",IF(O207&gt;=$C$18,IF(B207="G마켓",ROUNDDOWN(MIN(O207*$D$18,$E$18),0),ROUNDUP(MIN(O207*$D$18,$E$18),0)),0))</f>
        <v/>
      </c>
      <c r="S207" s="22">
        <f>IF(O207="","",IF(O207&gt;=$C$19,IF(B207="G마켓",ROUNDDOWN(MIN(O207*$D$19,$E$19),0),ROUNDUP(MIN(O207*$D$19,$E$19),0)),0))</f>
        <v/>
      </c>
      <c r="T207" s="21">
        <f>IF(O207="","",MAX(Q207,R207,S207))</f>
        <v/>
      </c>
      <c r="U207" s="23">
        <f>IF(O207="","",O207-T207)</f>
        <v/>
      </c>
      <c r="V207" s="22">
        <f>IF(O207="","",IF(B207="G마켓",ROUNDDOWN(MAX(Q207*$G$17,R207*$G$18,S207*$G$19),0),ROUNDUP(MAX(Q207*$G$17,R207*$G$18,S207*$G$19),0)))</f>
        <v/>
      </c>
      <c r="W207" s="23">
        <f>IF(G207="","",IF(B207="G마켓",ROUNDDOWN(G207-G207*$Q$6-V207,0),ROUNDUP(G207-G207*$Q$6-V207,0)))</f>
        <v/>
      </c>
    </row>
    <row r="208">
      <c r="B208" s="6" t="n"/>
      <c r="C208" s="6" t="n"/>
      <c r="D208" s="24" t="n"/>
      <c r="E208" s="25" t="n"/>
      <c r="F208" s="25" t="n"/>
      <c r="G208" s="21">
        <f>IF(E208="","",E208-N(F208))</f>
        <v/>
      </c>
      <c r="I208" s="22">
        <f>IF(G208="","",IF(G208&gt;=$C$10,IF(B208="G마켓",ROUNDDOWN(MIN(G208*$D$10,$E$10),0),ROUNDUP(MIN(G208*$D$10,$E$10),0)),0))</f>
        <v/>
      </c>
      <c r="J208" s="22">
        <f>IF(G208="","",IF(G208&gt;=$C$11,IF(B208="G마켓",ROUNDDOWN(MIN(G208*$D$11,$E$11),0),ROUNDUP(MIN(G208*$D$11,$E$11),0)),0))</f>
        <v/>
      </c>
      <c r="K208" s="22">
        <f>IF(G208="","",IF(G208&gt;=$C$12,IF(B208="G마켓",ROUNDDOWN(MIN(G208*$D$12,$E$12),0),ROUNDUP(MIN(G208*$D$12,$E$12),0)),0))</f>
        <v/>
      </c>
      <c r="L208" s="22">
        <f>IF(G208="","",IF(G208&gt;=$C$13,IF(B208="G마켓",ROUNDDOWN(MIN(G208*$D$13,$E$13),0),ROUNDUP(MIN(G208*$D$13,$E$13),0)),0))</f>
        <v/>
      </c>
      <c r="N208" s="21">
        <f>IF(G208="","",MAX(I208,J208,K208,L208))</f>
        <v/>
      </c>
      <c r="O208" s="21">
        <f>IF(G208="","",G208-N208)</f>
        <v/>
      </c>
      <c r="Q208" s="22">
        <f>IF(O208="","",IF(O208&gt;=$C$17,IF(B208="G마켓",ROUNDDOWN(MIN(O208*$D$17,$E$17),0),ROUNDUP(MIN(O208*$D$17,$E$17),0)),0))</f>
        <v/>
      </c>
      <c r="R208" s="22">
        <f>IF(O208="","",IF(O208&gt;=$C$18,IF(B208="G마켓",ROUNDDOWN(MIN(O208*$D$18,$E$18),0),ROUNDUP(MIN(O208*$D$18,$E$18),0)),0))</f>
        <v/>
      </c>
      <c r="S208" s="22">
        <f>IF(O208="","",IF(O208&gt;=$C$19,IF(B208="G마켓",ROUNDDOWN(MIN(O208*$D$19,$E$19),0),ROUNDUP(MIN(O208*$D$19,$E$19),0)),0))</f>
        <v/>
      </c>
      <c r="T208" s="21">
        <f>IF(O208="","",MAX(Q208,R208,S208))</f>
        <v/>
      </c>
      <c r="U208" s="23">
        <f>IF(O208="","",O208-T208)</f>
        <v/>
      </c>
      <c r="V208" s="22">
        <f>IF(O208="","",IF(B208="G마켓",ROUNDDOWN(MAX(Q208*$G$17,R208*$G$18,S208*$G$19),0),ROUNDUP(MAX(Q208*$G$17,R208*$G$18,S208*$G$19),0)))</f>
        <v/>
      </c>
      <c r="W208" s="23">
        <f>IF(G208="","",IF(B208="G마켓",ROUNDDOWN(G208-G208*$Q$6-V208,0),ROUNDUP(G208-G208*$Q$6-V208,0)))</f>
        <v/>
      </c>
    </row>
    <row r="209">
      <c r="B209" s="6" t="n"/>
      <c r="C209" s="6" t="n"/>
      <c r="D209" s="24" t="n"/>
      <c r="E209" s="25" t="n"/>
      <c r="F209" s="25" t="n"/>
      <c r="G209" s="21">
        <f>IF(E209="","",E209-N(F209))</f>
        <v/>
      </c>
      <c r="I209" s="22">
        <f>IF(G209="","",IF(G209&gt;=$C$10,IF(B209="G마켓",ROUNDDOWN(MIN(G209*$D$10,$E$10),0),ROUNDUP(MIN(G209*$D$10,$E$10),0)),0))</f>
        <v/>
      </c>
      <c r="J209" s="22">
        <f>IF(G209="","",IF(G209&gt;=$C$11,IF(B209="G마켓",ROUNDDOWN(MIN(G209*$D$11,$E$11),0),ROUNDUP(MIN(G209*$D$11,$E$11),0)),0))</f>
        <v/>
      </c>
      <c r="K209" s="22">
        <f>IF(G209="","",IF(G209&gt;=$C$12,IF(B209="G마켓",ROUNDDOWN(MIN(G209*$D$12,$E$12),0),ROUNDUP(MIN(G209*$D$12,$E$12),0)),0))</f>
        <v/>
      </c>
      <c r="L209" s="22">
        <f>IF(G209="","",IF(G209&gt;=$C$13,IF(B209="G마켓",ROUNDDOWN(MIN(G209*$D$13,$E$13),0),ROUNDUP(MIN(G209*$D$13,$E$13),0)),0))</f>
        <v/>
      </c>
      <c r="N209" s="21">
        <f>IF(G209="","",MAX(I209,J209,K209,L209))</f>
        <v/>
      </c>
      <c r="O209" s="21">
        <f>IF(G209="","",G209-N209)</f>
        <v/>
      </c>
      <c r="Q209" s="22">
        <f>IF(O209="","",IF(O209&gt;=$C$17,IF(B209="G마켓",ROUNDDOWN(MIN(O209*$D$17,$E$17),0),ROUNDUP(MIN(O209*$D$17,$E$17),0)),0))</f>
        <v/>
      </c>
      <c r="R209" s="22">
        <f>IF(O209="","",IF(O209&gt;=$C$18,IF(B209="G마켓",ROUNDDOWN(MIN(O209*$D$18,$E$18),0),ROUNDUP(MIN(O209*$D$18,$E$18),0)),0))</f>
        <v/>
      </c>
      <c r="S209" s="22">
        <f>IF(O209="","",IF(O209&gt;=$C$19,IF(B209="G마켓",ROUNDDOWN(MIN(O209*$D$19,$E$19),0),ROUNDUP(MIN(O209*$D$19,$E$19),0)),0))</f>
        <v/>
      </c>
      <c r="T209" s="21">
        <f>IF(O209="","",MAX(Q209,R209,S209))</f>
        <v/>
      </c>
      <c r="U209" s="23">
        <f>IF(O209="","",O209-T209)</f>
        <v/>
      </c>
      <c r="V209" s="22">
        <f>IF(O209="","",IF(B209="G마켓",ROUNDDOWN(MAX(Q209*$G$17,R209*$G$18,S209*$G$19),0),ROUNDUP(MAX(Q209*$G$17,R209*$G$18,S209*$G$19),0)))</f>
        <v/>
      </c>
      <c r="W209" s="23">
        <f>IF(G209="","",IF(B209="G마켓",ROUNDDOWN(G209-G209*$Q$6-V209,0),ROUNDUP(G209-G209*$Q$6-V209,0)))</f>
        <v/>
      </c>
    </row>
    <row r="210">
      <c r="B210" s="6" t="n"/>
      <c r="C210" s="6" t="n"/>
      <c r="D210" s="24" t="n"/>
      <c r="E210" s="25" t="n"/>
      <c r="F210" s="25" t="n"/>
      <c r="G210" s="21">
        <f>IF(E210="","",E210-N(F210))</f>
        <v/>
      </c>
      <c r="I210" s="22">
        <f>IF(G210="","",IF(G210&gt;=$C$10,IF(B210="G마켓",ROUNDDOWN(MIN(G210*$D$10,$E$10),0),ROUNDUP(MIN(G210*$D$10,$E$10),0)),0))</f>
        <v/>
      </c>
      <c r="J210" s="22">
        <f>IF(G210="","",IF(G210&gt;=$C$11,IF(B210="G마켓",ROUNDDOWN(MIN(G210*$D$11,$E$11),0),ROUNDUP(MIN(G210*$D$11,$E$11),0)),0))</f>
        <v/>
      </c>
      <c r="K210" s="22">
        <f>IF(G210="","",IF(G210&gt;=$C$12,IF(B210="G마켓",ROUNDDOWN(MIN(G210*$D$12,$E$12),0),ROUNDUP(MIN(G210*$D$12,$E$12),0)),0))</f>
        <v/>
      </c>
      <c r="L210" s="22">
        <f>IF(G210="","",IF(G210&gt;=$C$13,IF(B210="G마켓",ROUNDDOWN(MIN(G210*$D$13,$E$13),0),ROUNDUP(MIN(G210*$D$13,$E$13),0)),0))</f>
        <v/>
      </c>
      <c r="N210" s="21">
        <f>IF(G210="","",MAX(I210,J210,K210,L210))</f>
        <v/>
      </c>
      <c r="O210" s="21">
        <f>IF(G210="","",G210-N210)</f>
        <v/>
      </c>
      <c r="Q210" s="22">
        <f>IF(O210="","",IF(O210&gt;=$C$17,IF(B210="G마켓",ROUNDDOWN(MIN(O210*$D$17,$E$17),0),ROUNDUP(MIN(O210*$D$17,$E$17),0)),0))</f>
        <v/>
      </c>
      <c r="R210" s="22">
        <f>IF(O210="","",IF(O210&gt;=$C$18,IF(B210="G마켓",ROUNDDOWN(MIN(O210*$D$18,$E$18),0),ROUNDUP(MIN(O210*$D$18,$E$18),0)),0))</f>
        <v/>
      </c>
      <c r="S210" s="22">
        <f>IF(O210="","",IF(O210&gt;=$C$19,IF(B210="G마켓",ROUNDDOWN(MIN(O210*$D$19,$E$19),0),ROUNDUP(MIN(O210*$D$19,$E$19),0)),0))</f>
        <v/>
      </c>
      <c r="T210" s="21">
        <f>IF(O210="","",MAX(Q210,R210,S210))</f>
        <v/>
      </c>
      <c r="U210" s="23">
        <f>IF(O210="","",O210-T210)</f>
        <v/>
      </c>
      <c r="V210" s="22">
        <f>IF(O210="","",IF(B210="G마켓",ROUNDDOWN(MAX(Q210*$G$17,R210*$G$18,S210*$G$19),0),ROUNDUP(MAX(Q210*$G$17,R210*$G$18,S210*$G$19),0)))</f>
        <v/>
      </c>
      <c r="W210" s="23">
        <f>IF(G210="","",IF(B210="G마켓",ROUNDDOWN(G210-G210*$Q$6-V210,0),ROUNDUP(G210-G210*$Q$6-V210,0)))</f>
        <v/>
      </c>
    </row>
    <row r="211">
      <c r="B211" s="6" t="n"/>
      <c r="C211" s="6" t="n"/>
      <c r="D211" s="24" t="n"/>
      <c r="E211" s="25" t="n"/>
      <c r="F211" s="25" t="n"/>
      <c r="G211" s="21">
        <f>IF(E211="","",E211-N(F211))</f>
        <v/>
      </c>
      <c r="I211" s="22">
        <f>IF(G211="","",IF(G211&gt;=$C$10,IF(B211="G마켓",ROUNDDOWN(MIN(G211*$D$10,$E$10),0),ROUNDUP(MIN(G211*$D$10,$E$10),0)),0))</f>
        <v/>
      </c>
      <c r="J211" s="22">
        <f>IF(G211="","",IF(G211&gt;=$C$11,IF(B211="G마켓",ROUNDDOWN(MIN(G211*$D$11,$E$11),0),ROUNDUP(MIN(G211*$D$11,$E$11),0)),0))</f>
        <v/>
      </c>
      <c r="K211" s="22">
        <f>IF(G211="","",IF(G211&gt;=$C$12,IF(B211="G마켓",ROUNDDOWN(MIN(G211*$D$12,$E$12),0),ROUNDUP(MIN(G211*$D$12,$E$12),0)),0))</f>
        <v/>
      </c>
      <c r="L211" s="22">
        <f>IF(G211="","",IF(G211&gt;=$C$13,IF(B211="G마켓",ROUNDDOWN(MIN(G211*$D$13,$E$13),0),ROUNDUP(MIN(G211*$D$13,$E$13),0)),0))</f>
        <v/>
      </c>
      <c r="N211" s="21">
        <f>IF(G211="","",MAX(I211,J211,K211,L211))</f>
        <v/>
      </c>
      <c r="O211" s="21">
        <f>IF(G211="","",G211-N211)</f>
        <v/>
      </c>
      <c r="Q211" s="22">
        <f>IF(O211="","",IF(O211&gt;=$C$17,IF(B211="G마켓",ROUNDDOWN(MIN(O211*$D$17,$E$17),0),ROUNDUP(MIN(O211*$D$17,$E$17),0)),0))</f>
        <v/>
      </c>
      <c r="R211" s="22">
        <f>IF(O211="","",IF(O211&gt;=$C$18,IF(B211="G마켓",ROUNDDOWN(MIN(O211*$D$18,$E$18),0),ROUNDUP(MIN(O211*$D$18,$E$18),0)),0))</f>
        <v/>
      </c>
      <c r="S211" s="22">
        <f>IF(O211="","",IF(O211&gt;=$C$19,IF(B211="G마켓",ROUNDDOWN(MIN(O211*$D$19,$E$19),0),ROUNDUP(MIN(O211*$D$19,$E$19),0)),0))</f>
        <v/>
      </c>
      <c r="T211" s="21">
        <f>IF(O211="","",MAX(Q211,R211,S211))</f>
        <v/>
      </c>
      <c r="U211" s="23">
        <f>IF(O211="","",O211-T211)</f>
        <v/>
      </c>
      <c r="V211" s="22">
        <f>IF(O211="","",IF(B211="G마켓",ROUNDDOWN(MAX(Q211*$G$17,R211*$G$18,S211*$G$19),0),ROUNDUP(MAX(Q211*$G$17,R211*$G$18,S211*$G$19),0)))</f>
        <v/>
      </c>
      <c r="W211" s="23">
        <f>IF(G211="","",IF(B211="G마켓",ROUNDDOWN(G211-G211*$Q$6-V211,0),ROUNDUP(G211-G211*$Q$6-V211,0)))</f>
        <v/>
      </c>
    </row>
    <row r="212">
      <c r="B212" s="6" t="n"/>
      <c r="C212" s="6" t="n"/>
      <c r="D212" s="24" t="n"/>
      <c r="E212" s="25" t="n"/>
      <c r="F212" s="25" t="n"/>
      <c r="G212" s="21">
        <f>IF(E212="","",E212-N(F212))</f>
        <v/>
      </c>
      <c r="I212" s="22">
        <f>IF(G212="","",IF(G212&gt;=$C$10,IF(B212="G마켓",ROUNDDOWN(MIN(G212*$D$10,$E$10),0),ROUNDUP(MIN(G212*$D$10,$E$10),0)),0))</f>
        <v/>
      </c>
      <c r="J212" s="22">
        <f>IF(G212="","",IF(G212&gt;=$C$11,IF(B212="G마켓",ROUNDDOWN(MIN(G212*$D$11,$E$11),0),ROUNDUP(MIN(G212*$D$11,$E$11),0)),0))</f>
        <v/>
      </c>
      <c r="K212" s="22">
        <f>IF(G212="","",IF(G212&gt;=$C$12,IF(B212="G마켓",ROUNDDOWN(MIN(G212*$D$12,$E$12),0),ROUNDUP(MIN(G212*$D$12,$E$12),0)),0))</f>
        <v/>
      </c>
      <c r="L212" s="22">
        <f>IF(G212="","",IF(G212&gt;=$C$13,IF(B212="G마켓",ROUNDDOWN(MIN(G212*$D$13,$E$13),0),ROUNDUP(MIN(G212*$D$13,$E$13),0)),0))</f>
        <v/>
      </c>
      <c r="N212" s="21">
        <f>IF(G212="","",MAX(I212,J212,K212,L212))</f>
        <v/>
      </c>
      <c r="O212" s="21">
        <f>IF(G212="","",G212-N212)</f>
        <v/>
      </c>
      <c r="Q212" s="22">
        <f>IF(O212="","",IF(O212&gt;=$C$17,IF(B212="G마켓",ROUNDDOWN(MIN(O212*$D$17,$E$17),0),ROUNDUP(MIN(O212*$D$17,$E$17),0)),0))</f>
        <v/>
      </c>
      <c r="R212" s="22">
        <f>IF(O212="","",IF(O212&gt;=$C$18,IF(B212="G마켓",ROUNDDOWN(MIN(O212*$D$18,$E$18),0),ROUNDUP(MIN(O212*$D$18,$E$18),0)),0))</f>
        <v/>
      </c>
      <c r="S212" s="22">
        <f>IF(O212="","",IF(O212&gt;=$C$19,IF(B212="G마켓",ROUNDDOWN(MIN(O212*$D$19,$E$19),0),ROUNDUP(MIN(O212*$D$19,$E$19),0)),0))</f>
        <v/>
      </c>
      <c r="T212" s="21">
        <f>IF(O212="","",MAX(Q212,R212,S212))</f>
        <v/>
      </c>
      <c r="U212" s="23">
        <f>IF(O212="","",O212-T212)</f>
        <v/>
      </c>
      <c r="V212" s="22">
        <f>IF(O212="","",IF(B212="G마켓",ROUNDDOWN(MAX(Q212*$G$17,R212*$G$18,S212*$G$19),0),ROUNDUP(MAX(Q212*$G$17,R212*$G$18,S212*$G$19),0)))</f>
        <v/>
      </c>
      <c r="W212" s="23">
        <f>IF(G212="","",IF(B212="G마켓",ROUNDDOWN(G212-G212*$Q$6-V212,0),ROUNDUP(G212-G212*$Q$6-V212,0)))</f>
        <v/>
      </c>
    </row>
    <row r="213">
      <c r="B213" s="6" t="n"/>
      <c r="C213" s="6" t="n"/>
      <c r="D213" s="24" t="n"/>
      <c r="E213" s="25" t="n"/>
      <c r="F213" s="25" t="n"/>
      <c r="G213" s="21">
        <f>IF(E213="","",E213-N(F213))</f>
        <v/>
      </c>
      <c r="I213" s="22">
        <f>IF(G213="","",IF(G213&gt;=$C$10,IF(B213="G마켓",ROUNDDOWN(MIN(G213*$D$10,$E$10),0),ROUNDUP(MIN(G213*$D$10,$E$10),0)),0))</f>
        <v/>
      </c>
      <c r="J213" s="22">
        <f>IF(G213="","",IF(G213&gt;=$C$11,IF(B213="G마켓",ROUNDDOWN(MIN(G213*$D$11,$E$11),0),ROUNDUP(MIN(G213*$D$11,$E$11),0)),0))</f>
        <v/>
      </c>
      <c r="K213" s="22">
        <f>IF(G213="","",IF(G213&gt;=$C$12,IF(B213="G마켓",ROUNDDOWN(MIN(G213*$D$12,$E$12),0),ROUNDUP(MIN(G213*$D$12,$E$12),0)),0))</f>
        <v/>
      </c>
      <c r="L213" s="22">
        <f>IF(G213="","",IF(G213&gt;=$C$13,IF(B213="G마켓",ROUNDDOWN(MIN(G213*$D$13,$E$13),0),ROUNDUP(MIN(G213*$D$13,$E$13),0)),0))</f>
        <v/>
      </c>
      <c r="N213" s="21">
        <f>IF(G213="","",MAX(I213,J213,K213,L213))</f>
        <v/>
      </c>
      <c r="O213" s="21">
        <f>IF(G213="","",G213-N213)</f>
        <v/>
      </c>
      <c r="Q213" s="22">
        <f>IF(O213="","",IF(O213&gt;=$C$17,IF(B213="G마켓",ROUNDDOWN(MIN(O213*$D$17,$E$17),0),ROUNDUP(MIN(O213*$D$17,$E$17),0)),0))</f>
        <v/>
      </c>
      <c r="R213" s="22">
        <f>IF(O213="","",IF(O213&gt;=$C$18,IF(B213="G마켓",ROUNDDOWN(MIN(O213*$D$18,$E$18),0),ROUNDUP(MIN(O213*$D$18,$E$18),0)),0))</f>
        <v/>
      </c>
      <c r="S213" s="22">
        <f>IF(O213="","",IF(O213&gt;=$C$19,IF(B213="G마켓",ROUNDDOWN(MIN(O213*$D$19,$E$19),0),ROUNDUP(MIN(O213*$D$19,$E$19),0)),0))</f>
        <v/>
      </c>
      <c r="T213" s="21">
        <f>IF(O213="","",MAX(Q213,R213,S213))</f>
        <v/>
      </c>
      <c r="U213" s="23">
        <f>IF(O213="","",O213-T213)</f>
        <v/>
      </c>
      <c r="V213" s="22">
        <f>IF(O213="","",IF(B213="G마켓",ROUNDDOWN(MAX(Q213*$G$17,R213*$G$18,S213*$G$19),0),ROUNDUP(MAX(Q213*$G$17,R213*$G$18,S213*$G$19),0)))</f>
        <v/>
      </c>
      <c r="W213" s="23">
        <f>IF(G213="","",IF(B213="G마켓",ROUNDDOWN(G213-G213*$Q$6-V213,0),ROUNDUP(G213-G213*$Q$6-V213,0)))</f>
        <v/>
      </c>
    </row>
    <row r="214">
      <c r="B214" s="6" t="n"/>
      <c r="C214" s="6" t="n"/>
      <c r="D214" s="24" t="n"/>
      <c r="E214" s="25" t="n"/>
      <c r="F214" s="25" t="n"/>
      <c r="G214" s="21">
        <f>IF(E214="","",E214-N(F214))</f>
        <v/>
      </c>
      <c r="I214" s="22">
        <f>IF(G214="","",IF(G214&gt;=$C$10,IF(B214="G마켓",ROUNDDOWN(MIN(G214*$D$10,$E$10),0),ROUNDUP(MIN(G214*$D$10,$E$10),0)),0))</f>
        <v/>
      </c>
      <c r="J214" s="22">
        <f>IF(G214="","",IF(G214&gt;=$C$11,IF(B214="G마켓",ROUNDDOWN(MIN(G214*$D$11,$E$11),0),ROUNDUP(MIN(G214*$D$11,$E$11),0)),0))</f>
        <v/>
      </c>
      <c r="K214" s="22">
        <f>IF(G214="","",IF(G214&gt;=$C$12,IF(B214="G마켓",ROUNDDOWN(MIN(G214*$D$12,$E$12),0),ROUNDUP(MIN(G214*$D$12,$E$12),0)),0))</f>
        <v/>
      </c>
      <c r="L214" s="22">
        <f>IF(G214="","",IF(G214&gt;=$C$13,IF(B214="G마켓",ROUNDDOWN(MIN(G214*$D$13,$E$13),0),ROUNDUP(MIN(G214*$D$13,$E$13),0)),0))</f>
        <v/>
      </c>
      <c r="N214" s="21">
        <f>IF(G214="","",MAX(I214,J214,K214,L214))</f>
        <v/>
      </c>
      <c r="O214" s="21">
        <f>IF(G214="","",G214-N214)</f>
        <v/>
      </c>
      <c r="Q214" s="22">
        <f>IF(O214="","",IF(O214&gt;=$C$17,IF(B214="G마켓",ROUNDDOWN(MIN(O214*$D$17,$E$17),0),ROUNDUP(MIN(O214*$D$17,$E$17),0)),0))</f>
        <v/>
      </c>
      <c r="R214" s="22">
        <f>IF(O214="","",IF(O214&gt;=$C$18,IF(B214="G마켓",ROUNDDOWN(MIN(O214*$D$18,$E$18),0),ROUNDUP(MIN(O214*$D$18,$E$18),0)),0))</f>
        <v/>
      </c>
      <c r="S214" s="22">
        <f>IF(O214="","",IF(O214&gt;=$C$19,IF(B214="G마켓",ROUNDDOWN(MIN(O214*$D$19,$E$19),0),ROUNDUP(MIN(O214*$D$19,$E$19),0)),0))</f>
        <v/>
      </c>
      <c r="T214" s="21">
        <f>IF(O214="","",MAX(Q214,R214,S214))</f>
        <v/>
      </c>
      <c r="U214" s="23">
        <f>IF(O214="","",O214-T214)</f>
        <v/>
      </c>
      <c r="V214" s="22">
        <f>IF(O214="","",IF(B214="G마켓",ROUNDDOWN(MAX(Q214*$G$17,R214*$G$18,S214*$G$19),0),ROUNDUP(MAX(Q214*$G$17,R214*$G$18,S214*$G$19),0)))</f>
        <v/>
      </c>
      <c r="W214" s="23">
        <f>IF(G214="","",IF(B214="G마켓",ROUNDDOWN(G214-G214*$Q$6-V214,0),ROUNDUP(G214-G214*$Q$6-V214,0)))</f>
        <v/>
      </c>
    </row>
    <row r="215">
      <c r="B215" s="6" t="n"/>
      <c r="C215" s="6" t="n"/>
      <c r="D215" s="24" t="n"/>
      <c r="E215" s="25" t="n"/>
      <c r="F215" s="25" t="n"/>
      <c r="G215" s="21">
        <f>IF(E215="","",E215-N(F215))</f>
        <v/>
      </c>
      <c r="I215" s="22">
        <f>IF(G215="","",IF(G215&gt;=$C$10,IF(B215="G마켓",ROUNDDOWN(MIN(G215*$D$10,$E$10),0),ROUNDUP(MIN(G215*$D$10,$E$10),0)),0))</f>
        <v/>
      </c>
      <c r="J215" s="22">
        <f>IF(G215="","",IF(G215&gt;=$C$11,IF(B215="G마켓",ROUNDDOWN(MIN(G215*$D$11,$E$11),0),ROUNDUP(MIN(G215*$D$11,$E$11),0)),0))</f>
        <v/>
      </c>
      <c r="K215" s="22">
        <f>IF(G215="","",IF(G215&gt;=$C$12,IF(B215="G마켓",ROUNDDOWN(MIN(G215*$D$12,$E$12),0),ROUNDUP(MIN(G215*$D$12,$E$12),0)),0))</f>
        <v/>
      </c>
      <c r="L215" s="22">
        <f>IF(G215="","",IF(G215&gt;=$C$13,IF(B215="G마켓",ROUNDDOWN(MIN(G215*$D$13,$E$13),0),ROUNDUP(MIN(G215*$D$13,$E$13),0)),0))</f>
        <v/>
      </c>
      <c r="N215" s="21">
        <f>IF(G215="","",MAX(I215,J215,K215,L215))</f>
        <v/>
      </c>
      <c r="O215" s="21">
        <f>IF(G215="","",G215-N215)</f>
        <v/>
      </c>
      <c r="Q215" s="22">
        <f>IF(O215="","",IF(O215&gt;=$C$17,IF(B215="G마켓",ROUNDDOWN(MIN(O215*$D$17,$E$17),0),ROUNDUP(MIN(O215*$D$17,$E$17),0)),0))</f>
        <v/>
      </c>
      <c r="R215" s="22">
        <f>IF(O215="","",IF(O215&gt;=$C$18,IF(B215="G마켓",ROUNDDOWN(MIN(O215*$D$18,$E$18),0),ROUNDUP(MIN(O215*$D$18,$E$18),0)),0))</f>
        <v/>
      </c>
      <c r="S215" s="22">
        <f>IF(O215="","",IF(O215&gt;=$C$19,IF(B215="G마켓",ROUNDDOWN(MIN(O215*$D$19,$E$19),0),ROUNDUP(MIN(O215*$D$19,$E$19),0)),0))</f>
        <v/>
      </c>
      <c r="T215" s="21">
        <f>IF(O215="","",MAX(Q215,R215,S215))</f>
        <v/>
      </c>
      <c r="U215" s="23">
        <f>IF(O215="","",O215-T215)</f>
        <v/>
      </c>
      <c r="V215" s="22">
        <f>IF(O215="","",IF(B215="G마켓",ROUNDDOWN(MAX(Q215*$G$17,R215*$G$18,S215*$G$19),0),ROUNDUP(MAX(Q215*$G$17,R215*$G$18,S215*$G$19),0)))</f>
        <v/>
      </c>
      <c r="W215" s="23">
        <f>IF(G215="","",IF(B215="G마켓",ROUNDDOWN(G215-G215*$Q$6-V215,0),ROUNDUP(G215-G215*$Q$6-V215,0)))</f>
        <v/>
      </c>
    </row>
    <row r="216">
      <c r="B216" s="6" t="n"/>
      <c r="C216" s="6" t="n"/>
      <c r="D216" s="24" t="n"/>
      <c r="E216" s="25" t="n"/>
      <c r="F216" s="25" t="n"/>
      <c r="G216" s="21">
        <f>IF(E216="","",E216-N(F216))</f>
        <v/>
      </c>
      <c r="I216" s="22">
        <f>IF(G216="","",IF(G216&gt;=$C$10,IF(B216="G마켓",ROUNDDOWN(MIN(G216*$D$10,$E$10),0),ROUNDUP(MIN(G216*$D$10,$E$10),0)),0))</f>
        <v/>
      </c>
      <c r="J216" s="22">
        <f>IF(G216="","",IF(G216&gt;=$C$11,IF(B216="G마켓",ROUNDDOWN(MIN(G216*$D$11,$E$11),0),ROUNDUP(MIN(G216*$D$11,$E$11),0)),0))</f>
        <v/>
      </c>
      <c r="K216" s="22">
        <f>IF(G216="","",IF(G216&gt;=$C$12,IF(B216="G마켓",ROUNDDOWN(MIN(G216*$D$12,$E$12),0),ROUNDUP(MIN(G216*$D$12,$E$12),0)),0))</f>
        <v/>
      </c>
      <c r="L216" s="22">
        <f>IF(G216="","",IF(G216&gt;=$C$13,IF(B216="G마켓",ROUNDDOWN(MIN(G216*$D$13,$E$13),0),ROUNDUP(MIN(G216*$D$13,$E$13),0)),0))</f>
        <v/>
      </c>
      <c r="N216" s="21">
        <f>IF(G216="","",MAX(I216,J216,K216,L216))</f>
        <v/>
      </c>
      <c r="O216" s="21">
        <f>IF(G216="","",G216-N216)</f>
        <v/>
      </c>
      <c r="Q216" s="22">
        <f>IF(O216="","",IF(O216&gt;=$C$17,IF(B216="G마켓",ROUNDDOWN(MIN(O216*$D$17,$E$17),0),ROUNDUP(MIN(O216*$D$17,$E$17),0)),0))</f>
        <v/>
      </c>
      <c r="R216" s="22">
        <f>IF(O216="","",IF(O216&gt;=$C$18,IF(B216="G마켓",ROUNDDOWN(MIN(O216*$D$18,$E$18),0),ROUNDUP(MIN(O216*$D$18,$E$18),0)),0))</f>
        <v/>
      </c>
      <c r="S216" s="22">
        <f>IF(O216="","",IF(O216&gt;=$C$19,IF(B216="G마켓",ROUNDDOWN(MIN(O216*$D$19,$E$19),0),ROUNDUP(MIN(O216*$D$19,$E$19),0)),0))</f>
        <v/>
      </c>
      <c r="T216" s="21">
        <f>IF(O216="","",MAX(Q216,R216,S216))</f>
        <v/>
      </c>
      <c r="U216" s="23">
        <f>IF(O216="","",O216-T216)</f>
        <v/>
      </c>
      <c r="V216" s="22">
        <f>IF(O216="","",IF(B216="G마켓",ROUNDDOWN(MAX(Q216*$G$17,R216*$G$18,S216*$G$19),0),ROUNDUP(MAX(Q216*$G$17,R216*$G$18,S216*$G$19),0)))</f>
        <v/>
      </c>
      <c r="W216" s="23">
        <f>IF(G216="","",IF(B216="G마켓",ROUNDDOWN(G216-G216*$Q$6-V216,0),ROUNDUP(G216-G216*$Q$6-V216,0)))</f>
        <v/>
      </c>
    </row>
    <row r="217">
      <c r="B217" s="6" t="n"/>
      <c r="C217" s="6" t="n"/>
      <c r="D217" s="24" t="n"/>
      <c r="E217" s="25" t="n"/>
      <c r="F217" s="25" t="n"/>
      <c r="G217" s="21">
        <f>IF(E217="","",E217-N(F217))</f>
        <v/>
      </c>
      <c r="I217" s="22">
        <f>IF(G217="","",IF(G217&gt;=$C$10,IF(B217="G마켓",ROUNDDOWN(MIN(G217*$D$10,$E$10),0),ROUNDUP(MIN(G217*$D$10,$E$10),0)),0))</f>
        <v/>
      </c>
      <c r="J217" s="22">
        <f>IF(G217="","",IF(G217&gt;=$C$11,IF(B217="G마켓",ROUNDDOWN(MIN(G217*$D$11,$E$11),0),ROUNDUP(MIN(G217*$D$11,$E$11),0)),0))</f>
        <v/>
      </c>
      <c r="K217" s="22">
        <f>IF(G217="","",IF(G217&gt;=$C$12,IF(B217="G마켓",ROUNDDOWN(MIN(G217*$D$12,$E$12),0),ROUNDUP(MIN(G217*$D$12,$E$12),0)),0))</f>
        <v/>
      </c>
      <c r="L217" s="22">
        <f>IF(G217="","",IF(G217&gt;=$C$13,IF(B217="G마켓",ROUNDDOWN(MIN(G217*$D$13,$E$13),0),ROUNDUP(MIN(G217*$D$13,$E$13),0)),0))</f>
        <v/>
      </c>
      <c r="N217" s="21">
        <f>IF(G217="","",MAX(I217,J217,K217,L217))</f>
        <v/>
      </c>
      <c r="O217" s="21">
        <f>IF(G217="","",G217-N217)</f>
        <v/>
      </c>
      <c r="Q217" s="22">
        <f>IF(O217="","",IF(O217&gt;=$C$17,IF(B217="G마켓",ROUNDDOWN(MIN(O217*$D$17,$E$17),0),ROUNDUP(MIN(O217*$D$17,$E$17),0)),0))</f>
        <v/>
      </c>
      <c r="R217" s="22">
        <f>IF(O217="","",IF(O217&gt;=$C$18,IF(B217="G마켓",ROUNDDOWN(MIN(O217*$D$18,$E$18),0),ROUNDUP(MIN(O217*$D$18,$E$18),0)),0))</f>
        <v/>
      </c>
      <c r="S217" s="22">
        <f>IF(O217="","",IF(O217&gt;=$C$19,IF(B217="G마켓",ROUNDDOWN(MIN(O217*$D$19,$E$19),0),ROUNDUP(MIN(O217*$D$19,$E$19),0)),0))</f>
        <v/>
      </c>
      <c r="T217" s="21">
        <f>IF(O217="","",MAX(Q217,R217,S217))</f>
        <v/>
      </c>
      <c r="U217" s="23">
        <f>IF(O217="","",O217-T217)</f>
        <v/>
      </c>
      <c r="V217" s="22">
        <f>IF(O217="","",IF(B217="G마켓",ROUNDDOWN(MAX(Q217*$G$17,R217*$G$18,S217*$G$19),0),ROUNDUP(MAX(Q217*$G$17,R217*$G$18,S217*$G$19),0)))</f>
        <v/>
      </c>
      <c r="W217" s="23">
        <f>IF(G217="","",IF(B217="G마켓",ROUNDDOWN(G217-G217*$Q$6-V217,0),ROUNDUP(G217-G217*$Q$6-V217,0)))</f>
        <v/>
      </c>
    </row>
    <row r="218">
      <c r="B218" s="6" t="n"/>
      <c r="C218" s="6" t="n"/>
      <c r="D218" s="24" t="n"/>
      <c r="E218" s="25" t="n"/>
      <c r="F218" s="25" t="n"/>
      <c r="G218" s="21">
        <f>IF(E218="","",E218-N(F218))</f>
        <v/>
      </c>
      <c r="I218" s="22">
        <f>IF(G218="","",IF(G218&gt;=$C$10,IF(B218="G마켓",ROUNDDOWN(MIN(G218*$D$10,$E$10),0),ROUNDUP(MIN(G218*$D$10,$E$10),0)),0))</f>
        <v/>
      </c>
      <c r="J218" s="22">
        <f>IF(G218="","",IF(G218&gt;=$C$11,IF(B218="G마켓",ROUNDDOWN(MIN(G218*$D$11,$E$11),0),ROUNDUP(MIN(G218*$D$11,$E$11),0)),0))</f>
        <v/>
      </c>
      <c r="K218" s="22">
        <f>IF(G218="","",IF(G218&gt;=$C$12,IF(B218="G마켓",ROUNDDOWN(MIN(G218*$D$12,$E$12),0),ROUNDUP(MIN(G218*$D$12,$E$12),0)),0))</f>
        <v/>
      </c>
      <c r="L218" s="22">
        <f>IF(G218="","",IF(G218&gt;=$C$13,IF(B218="G마켓",ROUNDDOWN(MIN(G218*$D$13,$E$13),0),ROUNDUP(MIN(G218*$D$13,$E$13),0)),0))</f>
        <v/>
      </c>
      <c r="N218" s="21">
        <f>IF(G218="","",MAX(I218,J218,K218,L218))</f>
        <v/>
      </c>
      <c r="O218" s="21">
        <f>IF(G218="","",G218-N218)</f>
        <v/>
      </c>
      <c r="Q218" s="22">
        <f>IF(O218="","",IF(O218&gt;=$C$17,IF(B218="G마켓",ROUNDDOWN(MIN(O218*$D$17,$E$17),0),ROUNDUP(MIN(O218*$D$17,$E$17),0)),0))</f>
        <v/>
      </c>
      <c r="R218" s="22">
        <f>IF(O218="","",IF(O218&gt;=$C$18,IF(B218="G마켓",ROUNDDOWN(MIN(O218*$D$18,$E$18),0),ROUNDUP(MIN(O218*$D$18,$E$18),0)),0))</f>
        <v/>
      </c>
      <c r="S218" s="22">
        <f>IF(O218="","",IF(O218&gt;=$C$19,IF(B218="G마켓",ROUNDDOWN(MIN(O218*$D$19,$E$19),0),ROUNDUP(MIN(O218*$D$19,$E$19),0)),0))</f>
        <v/>
      </c>
      <c r="T218" s="21">
        <f>IF(O218="","",MAX(Q218,R218,S218))</f>
        <v/>
      </c>
      <c r="U218" s="23">
        <f>IF(O218="","",O218-T218)</f>
        <v/>
      </c>
      <c r="V218" s="22">
        <f>IF(O218="","",IF(B218="G마켓",ROUNDDOWN(MAX(Q218*$G$17,R218*$G$18,S218*$G$19),0),ROUNDUP(MAX(Q218*$G$17,R218*$G$18,S218*$G$19),0)))</f>
        <v/>
      </c>
      <c r="W218" s="23">
        <f>IF(G218="","",IF(B218="G마켓",ROUNDDOWN(G218-G218*$Q$6-V218,0),ROUNDUP(G218-G218*$Q$6-V218,0)))</f>
        <v/>
      </c>
    </row>
    <row r="219">
      <c r="B219" s="6" t="n"/>
      <c r="C219" s="6" t="n"/>
      <c r="D219" s="24" t="n"/>
      <c r="E219" s="25" t="n"/>
      <c r="F219" s="25" t="n"/>
      <c r="G219" s="21">
        <f>IF(E219="","",E219-N(F219))</f>
        <v/>
      </c>
      <c r="I219" s="22">
        <f>IF(G219="","",IF(G219&gt;=$C$10,IF(B219="G마켓",ROUNDDOWN(MIN(G219*$D$10,$E$10),0),ROUNDUP(MIN(G219*$D$10,$E$10),0)),0))</f>
        <v/>
      </c>
      <c r="J219" s="22">
        <f>IF(G219="","",IF(G219&gt;=$C$11,IF(B219="G마켓",ROUNDDOWN(MIN(G219*$D$11,$E$11),0),ROUNDUP(MIN(G219*$D$11,$E$11),0)),0))</f>
        <v/>
      </c>
      <c r="K219" s="22">
        <f>IF(G219="","",IF(G219&gt;=$C$12,IF(B219="G마켓",ROUNDDOWN(MIN(G219*$D$12,$E$12),0),ROUNDUP(MIN(G219*$D$12,$E$12),0)),0))</f>
        <v/>
      </c>
      <c r="L219" s="22">
        <f>IF(G219="","",IF(G219&gt;=$C$13,IF(B219="G마켓",ROUNDDOWN(MIN(G219*$D$13,$E$13),0),ROUNDUP(MIN(G219*$D$13,$E$13),0)),0))</f>
        <v/>
      </c>
      <c r="N219" s="21">
        <f>IF(G219="","",MAX(I219,J219,K219,L219))</f>
        <v/>
      </c>
      <c r="O219" s="21">
        <f>IF(G219="","",G219-N219)</f>
        <v/>
      </c>
      <c r="Q219" s="22">
        <f>IF(O219="","",IF(O219&gt;=$C$17,IF(B219="G마켓",ROUNDDOWN(MIN(O219*$D$17,$E$17),0),ROUNDUP(MIN(O219*$D$17,$E$17),0)),0))</f>
        <v/>
      </c>
      <c r="R219" s="22">
        <f>IF(O219="","",IF(O219&gt;=$C$18,IF(B219="G마켓",ROUNDDOWN(MIN(O219*$D$18,$E$18),0),ROUNDUP(MIN(O219*$D$18,$E$18),0)),0))</f>
        <v/>
      </c>
      <c r="S219" s="22">
        <f>IF(O219="","",IF(O219&gt;=$C$19,IF(B219="G마켓",ROUNDDOWN(MIN(O219*$D$19,$E$19),0),ROUNDUP(MIN(O219*$D$19,$E$19),0)),0))</f>
        <v/>
      </c>
      <c r="T219" s="21">
        <f>IF(O219="","",MAX(Q219,R219,S219))</f>
        <v/>
      </c>
      <c r="U219" s="23">
        <f>IF(O219="","",O219-T219)</f>
        <v/>
      </c>
      <c r="V219" s="22">
        <f>IF(O219="","",IF(B219="G마켓",ROUNDDOWN(MAX(Q219*$G$17,R219*$G$18,S219*$G$19),0),ROUNDUP(MAX(Q219*$G$17,R219*$G$18,S219*$G$19),0)))</f>
        <v/>
      </c>
      <c r="W219" s="23">
        <f>IF(G219="","",IF(B219="G마켓",ROUNDDOWN(G219-G219*$Q$6-V219,0),ROUNDUP(G219-G219*$Q$6-V219,0)))</f>
        <v/>
      </c>
    </row>
    <row r="220">
      <c r="B220" s="6" t="n"/>
      <c r="C220" s="6" t="n"/>
      <c r="D220" s="24" t="n"/>
      <c r="E220" s="25" t="n"/>
      <c r="F220" s="25" t="n"/>
      <c r="G220" s="21">
        <f>IF(E220="","",E220-N(F220))</f>
        <v/>
      </c>
      <c r="I220" s="22">
        <f>IF(G220="","",IF(G220&gt;=$C$10,IF(B220="G마켓",ROUNDDOWN(MIN(G220*$D$10,$E$10),0),ROUNDUP(MIN(G220*$D$10,$E$10),0)),0))</f>
        <v/>
      </c>
      <c r="J220" s="22">
        <f>IF(G220="","",IF(G220&gt;=$C$11,IF(B220="G마켓",ROUNDDOWN(MIN(G220*$D$11,$E$11),0),ROUNDUP(MIN(G220*$D$11,$E$11),0)),0))</f>
        <v/>
      </c>
      <c r="K220" s="22">
        <f>IF(G220="","",IF(G220&gt;=$C$12,IF(B220="G마켓",ROUNDDOWN(MIN(G220*$D$12,$E$12),0),ROUNDUP(MIN(G220*$D$12,$E$12),0)),0))</f>
        <v/>
      </c>
      <c r="L220" s="22">
        <f>IF(G220="","",IF(G220&gt;=$C$13,IF(B220="G마켓",ROUNDDOWN(MIN(G220*$D$13,$E$13),0),ROUNDUP(MIN(G220*$D$13,$E$13),0)),0))</f>
        <v/>
      </c>
      <c r="N220" s="21">
        <f>IF(G220="","",MAX(I220,J220,K220,L220))</f>
        <v/>
      </c>
      <c r="O220" s="21">
        <f>IF(G220="","",G220-N220)</f>
        <v/>
      </c>
      <c r="Q220" s="22">
        <f>IF(O220="","",IF(O220&gt;=$C$17,IF(B220="G마켓",ROUNDDOWN(MIN(O220*$D$17,$E$17),0),ROUNDUP(MIN(O220*$D$17,$E$17),0)),0))</f>
        <v/>
      </c>
      <c r="R220" s="22">
        <f>IF(O220="","",IF(O220&gt;=$C$18,IF(B220="G마켓",ROUNDDOWN(MIN(O220*$D$18,$E$18),0),ROUNDUP(MIN(O220*$D$18,$E$18),0)),0))</f>
        <v/>
      </c>
      <c r="S220" s="22">
        <f>IF(O220="","",IF(O220&gt;=$C$19,IF(B220="G마켓",ROUNDDOWN(MIN(O220*$D$19,$E$19),0),ROUNDUP(MIN(O220*$D$19,$E$19),0)),0))</f>
        <v/>
      </c>
      <c r="T220" s="21">
        <f>IF(O220="","",MAX(Q220,R220,S220))</f>
        <v/>
      </c>
      <c r="U220" s="23">
        <f>IF(O220="","",O220-T220)</f>
        <v/>
      </c>
      <c r="V220" s="22">
        <f>IF(O220="","",IF(B220="G마켓",ROUNDDOWN(MAX(Q220*$G$17,R220*$G$18,S220*$G$19),0),ROUNDUP(MAX(Q220*$G$17,R220*$G$18,S220*$G$19),0)))</f>
        <v/>
      </c>
      <c r="W220" s="23">
        <f>IF(G220="","",IF(B220="G마켓",ROUNDDOWN(G220-G220*$Q$6-V220,0),ROUNDUP(G220-G220*$Q$6-V220,0)))</f>
        <v/>
      </c>
    </row>
    <row r="221">
      <c r="B221" s="6" t="n"/>
      <c r="C221" s="6" t="n"/>
      <c r="D221" s="24" t="n"/>
      <c r="E221" s="25" t="n"/>
      <c r="F221" s="25" t="n"/>
      <c r="G221" s="21">
        <f>IF(E221="","",E221-N(F221))</f>
        <v/>
      </c>
      <c r="I221" s="22">
        <f>IF(G221="","",IF(G221&gt;=$C$10,IF(B221="G마켓",ROUNDDOWN(MIN(G221*$D$10,$E$10),0),ROUNDUP(MIN(G221*$D$10,$E$10),0)),0))</f>
        <v/>
      </c>
      <c r="J221" s="22">
        <f>IF(G221="","",IF(G221&gt;=$C$11,IF(B221="G마켓",ROUNDDOWN(MIN(G221*$D$11,$E$11),0),ROUNDUP(MIN(G221*$D$11,$E$11),0)),0))</f>
        <v/>
      </c>
      <c r="K221" s="22">
        <f>IF(G221="","",IF(G221&gt;=$C$12,IF(B221="G마켓",ROUNDDOWN(MIN(G221*$D$12,$E$12),0),ROUNDUP(MIN(G221*$D$12,$E$12),0)),0))</f>
        <v/>
      </c>
      <c r="L221" s="22">
        <f>IF(G221="","",IF(G221&gt;=$C$13,IF(B221="G마켓",ROUNDDOWN(MIN(G221*$D$13,$E$13),0),ROUNDUP(MIN(G221*$D$13,$E$13),0)),0))</f>
        <v/>
      </c>
      <c r="N221" s="21">
        <f>IF(G221="","",MAX(I221,J221,K221,L221))</f>
        <v/>
      </c>
      <c r="O221" s="21">
        <f>IF(G221="","",G221-N221)</f>
        <v/>
      </c>
      <c r="Q221" s="22">
        <f>IF(O221="","",IF(O221&gt;=$C$17,IF(B221="G마켓",ROUNDDOWN(MIN(O221*$D$17,$E$17),0),ROUNDUP(MIN(O221*$D$17,$E$17),0)),0))</f>
        <v/>
      </c>
      <c r="R221" s="22">
        <f>IF(O221="","",IF(O221&gt;=$C$18,IF(B221="G마켓",ROUNDDOWN(MIN(O221*$D$18,$E$18),0),ROUNDUP(MIN(O221*$D$18,$E$18),0)),0))</f>
        <v/>
      </c>
      <c r="S221" s="22">
        <f>IF(O221="","",IF(O221&gt;=$C$19,IF(B221="G마켓",ROUNDDOWN(MIN(O221*$D$19,$E$19),0),ROUNDUP(MIN(O221*$D$19,$E$19),0)),0))</f>
        <v/>
      </c>
      <c r="T221" s="21">
        <f>IF(O221="","",MAX(Q221,R221,S221))</f>
        <v/>
      </c>
      <c r="U221" s="23">
        <f>IF(O221="","",O221-T221)</f>
        <v/>
      </c>
      <c r="V221" s="22">
        <f>IF(O221="","",IF(B221="G마켓",ROUNDDOWN(MAX(Q221*$G$17,R221*$G$18,S221*$G$19),0),ROUNDUP(MAX(Q221*$G$17,R221*$G$18,S221*$G$19),0)))</f>
        <v/>
      </c>
      <c r="W221" s="23">
        <f>IF(G221="","",IF(B221="G마켓",ROUNDDOWN(G221-G221*$Q$6-V221,0),ROUNDUP(G221-G221*$Q$6-V221,0)))</f>
        <v/>
      </c>
    </row>
    <row r="222">
      <c r="B222" s="6" t="n"/>
      <c r="C222" s="6" t="n"/>
      <c r="D222" s="24" t="n"/>
      <c r="E222" s="25" t="n"/>
      <c r="F222" s="25" t="n"/>
      <c r="G222" s="21">
        <f>IF(E222="","",E222-N(F222))</f>
        <v/>
      </c>
      <c r="I222" s="22">
        <f>IF(G222="","",IF(G222&gt;=$C$10,IF(B222="G마켓",ROUNDDOWN(MIN(G222*$D$10,$E$10),0),ROUNDUP(MIN(G222*$D$10,$E$10),0)),0))</f>
        <v/>
      </c>
      <c r="J222" s="22">
        <f>IF(G222="","",IF(G222&gt;=$C$11,IF(B222="G마켓",ROUNDDOWN(MIN(G222*$D$11,$E$11),0),ROUNDUP(MIN(G222*$D$11,$E$11),0)),0))</f>
        <v/>
      </c>
      <c r="K222" s="22">
        <f>IF(G222="","",IF(G222&gt;=$C$12,IF(B222="G마켓",ROUNDDOWN(MIN(G222*$D$12,$E$12),0),ROUNDUP(MIN(G222*$D$12,$E$12),0)),0))</f>
        <v/>
      </c>
      <c r="L222" s="22">
        <f>IF(G222="","",IF(G222&gt;=$C$13,IF(B222="G마켓",ROUNDDOWN(MIN(G222*$D$13,$E$13),0),ROUNDUP(MIN(G222*$D$13,$E$13),0)),0))</f>
        <v/>
      </c>
      <c r="N222" s="21">
        <f>IF(G222="","",MAX(I222,J222,K222,L222))</f>
        <v/>
      </c>
      <c r="O222" s="21">
        <f>IF(G222="","",G222-N222)</f>
        <v/>
      </c>
      <c r="Q222" s="22">
        <f>IF(O222="","",IF(O222&gt;=$C$17,IF(B222="G마켓",ROUNDDOWN(MIN(O222*$D$17,$E$17),0),ROUNDUP(MIN(O222*$D$17,$E$17),0)),0))</f>
        <v/>
      </c>
      <c r="R222" s="22">
        <f>IF(O222="","",IF(O222&gt;=$C$18,IF(B222="G마켓",ROUNDDOWN(MIN(O222*$D$18,$E$18),0),ROUNDUP(MIN(O222*$D$18,$E$18),0)),0))</f>
        <v/>
      </c>
      <c r="S222" s="22">
        <f>IF(O222="","",IF(O222&gt;=$C$19,IF(B222="G마켓",ROUNDDOWN(MIN(O222*$D$19,$E$19),0),ROUNDUP(MIN(O222*$D$19,$E$19),0)),0))</f>
        <v/>
      </c>
      <c r="T222" s="21">
        <f>IF(O222="","",MAX(Q222,R222,S222))</f>
        <v/>
      </c>
      <c r="U222" s="23">
        <f>IF(O222="","",O222-T222)</f>
        <v/>
      </c>
      <c r="V222" s="22">
        <f>IF(O222="","",IF(B222="G마켓",ROUNDDOWN(MAX(Q222*$G$17,R222*$G$18,S222*$G$19),0),ROUNDUP(MAX(Q222*$G$17,R222*$G$18,S222*$G$19),0)))</f>
        <v/>
      </c>
      <c r="W222" s="23">
        <f>IF(G222="","",IF(B222="G마켓",ROUNDDOWN(G222-G222*$Q$6-V222,0),ROUNDUP(G222-G222*$Q$6-V222,0)))</f>
        <v/>
      </c>
    </row>
    <row r="223">
      <c r="B223" s="6" t="n"/>
      <c r="C223" s="6" t="n"/>
      <c r="D223" s="24" t="n"/>
      <c r="E223" s="25" t="n"/>
      <c r="F223" s="25" t="n"/>
      <c r="G223" s="21">
        <f>IF(E223="","",E223-N(F223))</f>
        <v/>
      </c>
      <c r="I223" s="22">
        <f>IF(G223="","",IF(G223&gt;=$C$10,IF(B223="G마켓",ROUNDDOWN(MIN(G223*$D$10,$E$10),0),ROUNDUP(MIN(G223*$D$10,$E$10),0)),0))</f>
        <v/>
      </c>
      <c r="J223" s="22">
        <f>IF(G223="","",IF(G223&gt;=$C$11,IF(B223="G마켓",ROUNDDOWN(MIN(G223*$D$11,$E$11),0),ROUNDUP(MIN(G223*$D$11,$E$11),0)),0))</f>
        <v/>
      </c>
      <c r="K223" s="22">
        <f>IF(G223="","",IF(G223&gt;=$C$12,IF(B223="G마켓",ROUNDDOWN(MIN(G223*$D$12,$E$12),0),ROUNDUP(MIN(G223*$D$12,$E$12),0)),0))</f>
        <v/>
      </c>
      <c r="L223" s="22">
        <f>IF(G223="","",IF(G223&gt;=$C$13,IF(B223="G마켓",ROUNDDOWN(MIN(G223*$D$13,$E$13),0),ROUNDUP(MIN(G223*$D$13,$E$13),0)),0))</f>
        <v/>
      </c>
      <c r="N223" s="21">
        <f>IF(G223="","",MAX(I223,J223,K223,L223))</f>
        <v/>
      </c>
      <c r="O223" s="21">
        <f>IF(G223="","",G223-N223)</f>
        <v/>
      </c>
      <c r="Q223" s="22">
        <f>IF(O223="","",IF(O223&gt;=$C$17,IF(B223="G마켓",ROUNDDOWN(MIN(O223*$D$17,$E$17),0),ROUNDUP(MIN(O223*$D$17,$E$17),0)),0))</f>
        <v/>
      </c>
      <c r="R223" s="22">
        <f>IF(O223="","",IF(O223&gt;=$C$18,IF(B223="G마켓",ROUNDDOWN(MIN(O223*$D$18,$E$18),0),ROUNDUP(MIN(O223*$D$18,$E$18),0)),0))</f>
        <v/>
      </c>
      <c r="S223" s="22">
        <f>IF(O223="","",IF(O223&gt;=$C$19,IF(B223="G마켓",ROUNDDOWN(MIN(O223*$D$19,$E$19),0),ROUNDUP(MIN(O223*$D$19,$E$19),0)),0))</f>
        <v/>
      </c>
      <c r="T223" s="21">
        <f>IF(O223="","",MAX(Q223,R223,S223))</f>
        <v/>
      </c>
      <c r="U223" s="23">
        <f>IF(O223="","",O223-T223)</f>
        <v/>
      </c>
      <c r="V223" s="22">
        <f>IF(O223="","",IF(B223="G마켓",ROUNDDOWN(MAX(Q223*$G$17,R223*$G$18,S223*$G$19),0),ROUNDUP(MAX(Q223*$G$17,R223*$G$18,S223*$G$19),0)))</f>
        <v/>
      </c>
      <c r="W223" s="23">
        <f>IF(G223="","",IF(B223="G마켓",ROUNDDOWN(G223-G223*$Q$6-V223,0),ROUNDUP(G223-G223*$Q$6-V223,0)))</f>
        <v/>
      </c>
    </row>
    <row r="224">
      <c r="B224" s="6" t="n"/>
      <c r="C224" s="6" t="n"/>
      <c r="D224" s="24" t="n"/>
      <c r="E224" s="25" t="n"/>
      <c r="F224" s="25" t="n"/>
      <c r="G224" s="21">
        <f>IF(E224="","",E224-N(F224))</f>
        <v/>
      </c>
      <c r="I224" s="22">
        <f>IF(G224="","",IF(G224&gt;=$C$10,IF(B224="G마켓",ROUNDDOWN(MIN(G224*$D$10,$E$10),0),ROUNDUP(MIN(G224*$D$10,$E$10),0)),0))</f>
        <v/>
      </c>
      <c r="J224" s="22">
        <f>IF(G224="","",IF(G224&gt;=$C$11,IF(B224="G마켓",ROUNDDOWN(MIN(G224*$D$11,$E$11),0),ROUNDUP(MIN(G224*$D$11,$E$11),0)),0))</f>
        <v/>
      </c>
      <c r="K224" s="22">
        <f>IF(G224="","",IF(G224&gt;=$C$12,IF(B224="G마켓",ROUNDDOWN(MIN(G224*$D$12,$E$12),0),ROUNDUP(MIN(G224*$D$12,$E$12),0)),0))</f>
        <v/>
      </c>
      <c r="L224" s="22">
        <f>IF(G224="","",IF(G224&gt;=$C$13,IF(B224="G마켓",ROUNDDOWN(MIN(G224*$D$13,$E$13),0),ROUNDUP(MIN(G224*$D$13,$E$13),0)),0))</f>
        <v/>
      </c>
      <c r="N224" s="21">
        <f>IF(G224="","",MAX(I224,J224,K224,L224))</f>
        <v/>
      </c>
      <c r="O224" s="21">
        <f>IF(G224="","",G224-N224)</f>
        <v/>
      </c>
      <c r="Q224" s="22">
        <f>IF(O224="","",IF(O224&gt;=$C$17,IF(B224="G마켓",ROUNDDOWN(MIN(O224*$D$17,$E$17),0),ROUNDUP(MIN(O224*$D$17,$E$17),0)),0))</f>
        <v/>
      </c>
      <c r="R224" s="22">
        <f>IF(O224="","",IF(O224&gt;=$C$18,IF(B224="G마켓",ROUNDDOWN(MIN(O224*$D$18,$E$18),0),ROUNDUP(MIN(O224*$D$18,$E$18),0)),0))</f>
        <v/>
      </c>
      <c r="S224" s="22">
        <f>IF(O224="","",IF(O224&gt;=$C$19,IF(B224="G마켓",ROUNDDOWN(MIN(O224*$D$19,$E$19),0),ROUNDUP(MIN(O224*$D$19,$E$19),0)),0))</f>
        <v/>
      </c>
      <c r="T224" s="21">
        <f>IF(O224="","",MAX(Q224,R224,S224))</f>
        <v/>
      </c>
      <c r="U224" s="23">
        <f>IF(O224="","",O224-T224)</f>
        <v/>
      </c>
      <c r="V224" s="22">
        <f>IF(O224="","",IF(B224="G마켓",ROUNDDOWN(MAX(Q224*$G$17,R224*$G$18,S224*$G$19),0),ROUNDUP(MAX(Q224*$G$17,R224*$G$18,S224*$G$19),0)))</f>
        <v/>
      </c>
      <c r="W224" s="23">
        <f>IF(G224="","",IF(B224="G마켓",ROUNDDOWN(G224-G224*$Q$6-V224,0),ROUNDUP(G224-G224*$Q$6-V224,0)))</f>
        <v/>
      </c>
    </row>
    <row r="225">
      <c r="B225" s="6" t="n"/>
      <c r="C225" s="6" t="n"/>
      <c r="D225" s="24" t="n"/>
      <c r="E225" s="25" t="n"/>
      <c r="F225" s="25" t="n"/>
      <c r="G225" s="21">
        <f>IF(E225="","",E225-N(F225))</f>
        <v/>
      </c>
      <c r="I225" s="22">
        <f>IF(G225="","",IF(G225&gt;=$C$10,IF(B225="G마켓",ROUNDDOWN(MIN(G225*$D$10,$E$10),0),ROUNDUP(MIN(G225*$D$10,$E$10),0)),0))</f>
        <v/>
      </c>
      <c r="J225" s="22">
        <f>IF(G225="","",IF(G225&gt;=$C$11,IF(B225="G마켓",ROUNDDOWN(MIN(G225*$D$11,$E$11),0),ROUNDUP(MIN(G225*$D$11,$E$11),0)),0))</f>
        <v/>
      </c>
      <c r="K225" s="22">
        <f>IF(G225="","",IF(G225&gt;=$C$12,IF(B225="G마켓",ROUNDDOWN(MIN(G225*$D$12,$E$12),0),ROUNDUP(MIN(G225*$D$12,$E$12),0)),0))</f>
        <v/>
      </c>
      <c r="L225" s="22">
        <f>IF(G225="","",IF(G225&gt;=$C$13,IF(B225="G마켓",ROUNDDOWN(MIN(G225*$D$13,$E$13),0),ROUNDUP(MIN(G225*$D$13,$E$13),0)),0))</f>
        <v/>
      </c>
      <c r="N225" s="21">
        <f>IF(G225="","",MAX(I225,J225,K225,L225))</f>
        <v/>
      </c>
      <c r="O225" s="21">
        <f>IF(G225="","",G225-N225)</f>
        <v/>
      </c>
      <c r="Q225" s="22">
        <f>IF(O225="","",IF(O225&gt;=$C$17,IF(B225="G마켓",ROUNDDOWN(MIN(O225*$D$17,$E$17),0),ROUNDUP(MIN(O225*$D$17,$E$17),0)),0))</f>
        <v/>
      </c>
      <c r="R225" s="22">
        <f>IF(O225="","",IF(O225&gt;=$C$18,IF(B225="G마켓",ROUNDDOWN(MIN(O225*$D$18,$E$18),0),ROUNDUP(MIN(O225*$D$18,$E$18),0)),0))</f>
        <v/>
      </c>
      <c r="S225" s="22">
        <f>IF(O225="","",IF(O225&gt;=$C$19,IF(B225="G마켓",ROUNDDOWN(MIN(O225*$D$19,$E$19),0),ROUNDUP(MIN(O225*$D$19,$E$19),0)),0))</f>
        <v/>
      </c>
      <c r="T225" s="21">
        <f>IF(O225="","",MAX(Q225,R225,S225))</f>
        <v/>
      </c>
      <c r="U225" s="23">
        <f>IF(O225="","",O225-T225)</f>
        <v/>
      </c>
      <c r="V225" s="22">
        <f>IF(O225="","",IF(B225="G마켓",ROUNDDOWN(MAX(Q225*$G$17,R225*$G$18,S225*$G$19),0),ROUNDUP(MAX(Q225*$G$17,R225*$G$18,S225*$G$19),0)))</f>
        <v/>
      </c>
      <c r="W225" s="23">
        <f>IF(G225="","",IF(B225="G마켓",ROUNDDOWN(G225-G225*$Q$6-V225,0),ROUNDUP(G225-G225*$Q$6-V225,0)))</f>
        <v/>
      </c>
    </row>
    <row r="226">
      <c r="B226" s="6" t="n"/>
      <c r="C226" s="6" t="n"/>
      <c r="D226" s="24" t="n"/>
      <c r="E226" s="25" t="n"/>
      <c r="F226" s="25" t="n"/>
      <c r="G226" s="21">
        <f>IF(E226="","",E226-N(F226))</f>
        <v/>
      </c>
      <c r="I226" s="22">
        <f>IF(G226="","",IF(G226&gt;=$C$10,IF(B226="G마켓",ROUNDDOWN(MIN(G226*$D$10,$E$10),0),ROUNDUP(MIN(G226*$D$10,$E$10),0)),0))</f>
        <v/>
      </c>
      <c r="J226" s="22">
        <f>IF(G226="","",IF(G226&gt;=$C$11,IF(B226="G마켓",ROUNDDOWN(MIN(G226*$D$11,$E$11),0),ROUNDUP(MIN(G226*$D$11,$E$11),0)),0))</f>
        <v/>
      </c>
      <c r="K226" s="22">
        <f>IF(G226="","",IF(G226&gt;=$C$12,IF(B226="G마켓",ROUNDDOWN(MIN(G226*$D$12,$E$12),0),ROUNDUP(MIN(G226*$D$12,$E$12),0)),0))</f>
        <v/>
      </c>
      <c r="L226" s="22">
        <f>IF(G226="","",IF(G226&gt;=$C$13,IF(B226="G마켓",ROUNDDOWN(MIN(G226*$D$13,$E$13),0),ROUNDUP(MIN(G226*$D$13,$E$13),0)),0))</f>
        <v/>
      </c>
      <c r="N226" s="21">
        <f>IF(G226="","",MAX(I226,J226,K226,L226))</f>
        <v/>
      </c>
      <c r="O226" s="21">
        <f>IF(G226="","",G226-N226)</f>
        <v/>
      </c>
      <c r="Q226" s="22">
        <f>IF(O226="","",IF(O226&gt;=$C$17,IF(B226="G마켓",ROUNDDOWN(MIN(O226*$D$17,$E$17),0),ROUNDUP(MIN(O226*$D$17,$E$17),0)),0))</f>
        <v/>
      </c>
      <c r="R226" s="22">
        <f>IF(O226="","",IF(O226&gt;=$C$18,IF(B226="G마켓",ROUNDDOWN(MIN(O226*$D$18,$E$18),0),ROUNDUP(MIN(O226*$D$18,$E$18),0)),0))</f>
        <v/>
      </c>
      <c r="S226" s="22">
        <f>IF(O226="","",IF(O226&gt;=$C$19,IF(B226="G마켓",ROUNDDOWN(MIN(O226*$D$19,$E$19),0),ROUNDUP(MIN(O226*$D$19,$E$19),0)),0))</f>
        <v/>
      </c>
      <c r="T226" s="21">
        <f>IF(O226="","",MAX(Q226,R226,S226))</f>
        <v/>
      </c>
      <c r="U226" s="23">
        <f>IF(O226="","",O226-T226)</f>
        <v/>
      </c>
      <c r="V226" s="22">
        <f>IF(O226="","",IF(B226="G마켓",ROUNDDOWN(MAX(Q226*$G$17,R226*$G$18,S226*$G$19),0),ROUNDUP(MAX(Q226*$G$17,R226*$G$18,S226*$G$19),0)))</f>
        <v/>
      </c>
      <c r="W226" s="23">
        <f>IF(G226="","",IF(B226="G마켓",ROUNDDOWN(G226-G226*$Q$6-V226,0),ROUNDUP(G226-G226*$Q$6-V226,0)))</f>
        <v/>
      </c>
    </row>
    <row r="227">
      <c r="B227" s="6" t="n"/>
      <c r="C227" s="6" t="n"/>
      <c r="D227" s="24" t="n"/>
      <c r="E227" s="25" t="n"/>
      <c r="F227" s="25" t="n"/>
      <c r="G227" s="21">
        <f>IF(E227="","",E227-N(F227))</f>
        <v/>
      </c>
      <c r="I227" s="22">
        <f>IF(G227="","",IF(G227&gt;=$C$10,IF(B227="G마켓",ROUNDDOWN(MIN(G227*$D$10,$E$10),0),ROUNDUP(MIN(G227*$D$10,$E$10),0)),0))</f>
        <v/>
      </c>
      <c r="J227" s="22">
        <f>IF(G227="","",IF(G227&gt;=$C$11,IF(B227="G마켓",ROUNDDOWN(MIN(G227*$D$11,$E$11),0),ROUNDUP(MIN(G227*$D$11,$E$11),0)),0))</f>
        <v/>
      </c>
      <c r="K227" s="22">
        <f>IF(G227="","",IF(G227&gt;=$C$12,IF(B227="G마켓",ROUNDDOWN(MIN(G227*$D$12,$E$12),0),ROUNDUP(MIN(G227*$D$12,$E$12),0)),0))</f>
        <v/>
      </c>
      <c r="L227" s="22">
        <f>IF(G227="","",IF(G227&gt;=$C$13,IF(B227="G마켓",ROUNDDOWN(MIN(G227*$D$13,$E$13),0),ROUNDUP(MIN(G227*$D$13,$E$13),0)),0))</f>
        <v/>
      </c>
      <c r="N227" s="21">
        <f>IF(G227="","",MAX(I227,J227,K227,L227))</f>
        <v/>
      </c>
      <c r="O227" s="21">
        <f>IF(G227="","",G227-N227)</f>
        <v/>
      </c>
      <c r="Q227" s="22">
        <f>IF(O227="","",IF(O227&gt;=$C$17,IF(B227="G마켓",ROUNDDOWN(MIN(O227*$D$17,$E$17),0),ROUNDUP(MIN(O227*$D$17,$E$17),0)),0))</f>
        <v/>
      </c>
      <c r="R227" s="22">
        <f>IF(O227="","",IF(O227&gt;=$C$18,IF(B227="G마켓",ROUNDDOWN(MIN(O227*$D$18,$E$18),0),ROUNDUP(MIN(O227*$D$18,$E$18),0)),0))</f>
        <v/>
      </c>
      <c r="S227" s="22">
        <f>IF(O227="","",IF(O227&gt;=$C$19,IF(B227="G마켓",ROUNDDOWN(MIN(O227*$D$19,$E$19),0),ROUNDUP(MIN(O227*$D$19,$E$19),0)),0))</f>
        <v/>
      </c>
      <c r="T227" s="21">
        <f>IF(O227="","",MAX(Q227,R227,S227))</f>
        <v/>
      </c>
      <c r="U227" s="23">
        <f>IF(O227="","",O227-T227)</f>
        <v/>
      </c>
      <c r="V227" s="22">
        <f>IF(O227="","",IF(B227="G마켓",ROUNDDOWN(MAX(Q227*$G$17,R227*$G$18,S227*$G$19),0),ROUNDUP(MAX(Q227*$G$17,R227*$G$18,S227*$G$19),0)))</f>
        <v/>
      </c>
      <c r="W227" s="23">
        <f>IF(G227="","",IF(B227="G마켓",ROUNDDOWN(G227-G227*$Q$6-V227,0),ROUNDUP(G227-G227*$Q$6-V227,0)))</f>
        <v/>
      </c>
    </row>
  </sheetData>
  <mergeCells count="29">
    <mergeCell ref="J6:L6"/>
    <mergeCell ref="Q5:S5"/>
    <mergeCell ref="J17:W17"/>
    <mergeCell ref="G6:I6"/>
    <mergeCell ref="G10:L10"/>
    <mergeCell ref="U25:W25"/>
    <mergeCell ref="G13:L13"/>
    <mergeCell ref="E5:F5"/>
    <mergeCell ref="N25:O25"/>
    <mergeCell ref="J19:W19"/>
    <mergeCell ref="Q6:S6"/>
    <mergeCell ref="G5:I5"/>
    <mergeCell ref="Q25:T25"/>
    <mergeCell ref="N5:O5"/>
    <mergeCell ref="H17:I17"/>
    <mergeCell ref="E6:F6"/>
    <mergeCell ref="H16:I16"/>
    <mergeCell ref="G9:L9"/>
    <mergeCell ref="H19:I19"/>
    <mergeCell ref="J16:W16"/>
    <mergeCell ref="I25:L25"/>
    <mergeCell ref="G12:L12"/>
    <mergeCell ref="J5:L5"/>
    <mergeCell ref="B6:C6"/>
    <mergeCell ref="G11:L11"/>
    <mergeCell ref="B5:C5"/>
    <mergeCell ref="N6:O6"/>
    <mergeCell ref="H18:I18"/>
    <mergeCell ref="J18:W18"/>
  </mergeCells>
  <dataValidations count="1">
    <dataValidation sqref="B28:B227" showDropDown="0" showInputMessage="0" showErrorMessage="0" allowBlank="1" type="list">
      <formula1>"G마켓,옥션"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2026-09-29T01:19:31Z</dcterms:created>
  <dcterms:modified xmlns:dcterms="http://purl.org/dc/terms/" xmlns:xsi="http://www.w3.org/2001/XMLSchema-instance" xsi:type="dcterms:W3CDTF">2026-09-29T01:19:31Z</dcterms:modified>
</cp:coreProperties>
</file>