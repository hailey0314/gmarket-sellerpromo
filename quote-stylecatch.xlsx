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슈퍼 스타일 캐치" sheetId="1" state="visible" r:id="rId1"/>
  </sheets>
  <definedNames>
    <definedName name="_xlnm.Print_Titles" localSheetId="0">'슈퍼 스타일 캐치'!$30:$30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3" fontId="8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230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2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2">
      <c r="B2" s="1" t="inlineStr">
        <is>
          <t>지마켓·옥션 슈퍼 스타일 캐치 행사 견적서</t>
        </is>
      </c>
      <c r="G2" s="2" t="inlineStr">
        <is>
          <t>10/24(토) 10시 ~ 11/1(일)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(판매 수수료)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0.13</v>
      </c>
      <c r="R6" s="4" t="n"/>
      <c r="S6" s="5" t="n"/>
    </row>
    <row r="8">
      <c r="B8" s="9" t="inlineStr">
        <is>
          <t>■ B1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H9" s="6" t="inlineStr">
        <is>
          <t>적용</t>
        </is>
      </c>
      <c r="I9" s="6" t="inlineStr">
        <is>
          <t>비고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5" t="n"/>
    </row>
    <row r="10" ht="20" customHeight="1">
      <c r="B10" s="7" t="inlineStr">
        <is>
          <t>B1</t>
        </is>
      </c>
      <c r="C10" s="10" t="n">
        <v>5000</v>
      </c>
      <c r="D10" s="8" t="n">
        <v>0.15</v>
      </c>
      <c r="E10" s="10" t="n">
        <v>30000</v>
      </c>
      <c r="F10" s="11" t="inlineStr">
        <is>
          <t>매일 무제한</t>
        </is>
      </c>
      <c r="G10" s="8" t="n">
        <v>0.5</v>
      </c>
      <c r="H10" s="12" t="inlineStr">
        <is>
          <t>O</t>
        </is>
      </c>
      <c r="I10" s="13" t="inlineStr">
        <is>
          <t>대상 카테고리 한정 · 해당 카테고리 단계 한 줄만 O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5" t="n"/>
    </row>
    <row r="11" ht="20" customHeight="1">
      <c r="B11" s="7" t="inlineStr">
        <is>
          <t>B1</t>
        </is>
      </c>
      <c r="C11" s="10" t="n">
        <v>5000</v>
      </c>
      <c r="D11" s="8" t="n">
        <v>0.12</v>
      </c>
      <c r="E11" s="10" t="n">
        <v>20000</v>
      </c>
      <c r="F11" s="11" t="inlineStr">
        <is>
          <t>매일 무제한</t>
        </is>
      </c>
      <c r="G11" s="8" t="n">
        <v>0.5</v>
      </c>
      <c r="H11" s="12" t="inlineStr">
        <is>
          <t>X</t>
        </is>
      </c>
      <c r="I11" s="13" t="inlineStr">
        <is>
          <t>대상 카테고리 한정 · 해당 카테고리 단계 한 줄만 O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 t="n"/>
    </row>
    <row r="12" ht="20" customHeight="1">
      <c r="B12" s="7" t="inlineStr">
        <is>
          <t>B1</t>
        </is>
      </c>
      <c r="C12" s="10" t="n">
        <v>5000</v>
      </c>
      <c r="D12" s="8" t="n">
        <v>0.1</v>
      </c>
      <c r="E12" s="10" t="n">
        <v>20000</v>
      </c>
      <c r="F12" s="11" t="inlineStr">
        <is>
          <t>매일 무제한</t>
        </is>
      </c>
      <c r="G12" s="8" t="n">
        <v>0.5</v>
      </c>
      <c r="H12" s="12" t="inlineStr">
        <is>
          <t>X</t>
        </is>
      </c>
      <c r="I12" s="13" t="inlineStr">
        <is>
          <t>대상 카테고리 한정 · 해당 카테고리 단계 한 줄만 O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5" t="n"/>
    </row>
    <row r="13" ht="20" customHeight="1">
      <c r="B13" s="7" t="inlineStr">
        <is>
          <t>B1 반반</t>
        </is>
      </c>
      <c r="C13" s="10" t="n"/>
      <c r="D13" s="8" t="n">
        <v>0.15</v>
      </c>
      <c r="E13" s="10" t="n"/>
      <c r="F13" s="11" t="n"/>
      <c r="G13" s="8" t="n">
        <v>0.5</v>
      </c>
      <c r="H13" s="12" t="inlineStr">
        <is>
          <t>X</t>
        </is>
      </c>
      <c r="I13" s="13" t="inlineStr">
        <is>
          <t>선택 시 적용을 O로 변경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5" t="n"/>
    </row>
    <row r="14" ht="20" customHeight="1">
      <c r="B14" s="7" t="inlineStr">
        <is>
          <t>B1 반반</t>
        </is>
      </c>
      <c r="C14" s="10" t="n"/>
      <c r="D14" s="8" t="n">
        <v>0.2</v>
      </c>
      <c r="E14" s="10" t="n"/>
      <c r="F14" s="11" t="n"/>
      <c r="G14" s="8" t="n">
        <v>0.5</v>
      </c>
      <c r="H14" s="12" t="inlineStr">
        <is>
          <t>X</t>
        </is>
      </c>
      <c r="I14" s="14" t="inlineStr">
        <is>
          <t>진행 원하실 경우 담당매니저와 별도 협의 꼭 해주세요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5" t="n"/>
    </row>
    <row r="16">
      <c r="B16" s="9" t="inlineStr">
        <is>
          <t>■ B2 중복쿠폰</t>
        </is>
      </c>
    </row>
    <row r="17">
      <c r="B17" s="6" t="inlineStr">
        <is>
          <t>구분</t>
        </is>
      </c>
      <c r="C17" s="6" t="inlineStr">
        <is>
          <t>최저 구매</t>
        </is>
      </c>
      <c r="D17" s="6" t="inlineStr">
        <is>
          <t>할인율</t>
        </is>
      </c>
      <c r="E17" s="6" t="inlineStr">
        <is>
          <t>최대 할인</t>
        </is>
      </c>
      <c r="F17" s="6" t="inlineStr">
        <is>
          <t>발급</t>
        </is>
      </c>
      <c r="G17" s="6" t="inlineStr">
        <is>
          <t>셀러 분담</t>
        </is>
      </c>
      <c r="H17" s="6" t="inlineStr">
        <is>
          <t>적용</t>
        </is>
      </c>
      <c r="I17" s="6" t="inlineStr">
        <is>
          <t>비고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 t="n"/>
    </row>
    <row r="18" ht="20" customHeight="1">
      <c r="B18" s="7" t="n"/>
      <c r="C18" s="10" t="n"/>
      <c r="D18" s="8" t="n"/>
      <c r="E18" s="10" t="n"/>
      <c r="F18" s="11" t="n"/>
      <c r="G18" s="8" t="n"/>
      <c r="H18" s="12" t="n"/>
      <c r="I18" s="13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5" t="n"/>
    </row>
    <row r="19" ht="20" customHeight="1">
      <c r="B19" s="7" t="n"/>
      <c r="C19" s="10" t="n"/>
      <c r="D19" s="8" t="n"/>
      <c r="E19" s="10" t="n"/>
      <c r="F19" s="11" t="n"/>
      <c r="G19" s="8" t="n"/>
      <c r="H19" s="12" t="n"/>
      <c r="I19" s="13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5" t="n"/>
    </row>
    <row r="20" ht="20" customHeight="1">
      <c r="B20" s="7" t="n"/>
      <c r="C20" s="10" t="n"/>
      <c r="D20" s="8" t="n"/>
      <c r="E20" s="10" t="n"/>
      <c r="F20" s="11" t="n"/>
      <c r="G20" s="8" t="n"/>
      <c r="H20" s="12" t="n"/>
      <c r="I20" s="13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5" t="n"/>
    </row>
    <row r="21" ht="20" customHeight="1">
      <c r="B21" s="7" t="n"/>
      <c r="C21" s="10" t="n"/>
      <c r="D21" s="8" t="n"/>
      <c r="E21" s="10" t="n"/>
      <c r="F21" s="11" t="n"/>
      <c r="G21" s="8" t="n"/>
      <c r="H21" s="12" t="n"/>
      <c r="I21" s="13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5" t="n"/>
    </row>
    <row r="23">
      <c r="B23" s="9" t="inlineStr">
        <is>
          <t>■ 카드 할인</t>
        </is>
      </c>
    </row>
    <row r="24">
      <c r="B24" s="6" t="inlineStr">
        <is>
          <t>구분</t>
        </is>
      </c>
      <c r="C24" s="6" t="inlineStr">
        <is>
          <t>최저 결제</t>
        </is>
      </c>
      <c r="D24" s="6" t="inlineStr">
        <is>
          <t>할인율</t>
        </is>
      </c>
      <c r="E24" s="6" t="inlineStr">
        <is>
          <t>최대 할인</t>
        </is>
      </c>
      <c r="F24" s="6" t="inlineStr">
        <is>
          <t>당사 분담</t>
        </is>
      </c>
      <c r="G24" s="6" t="inlineStr">
        <is>
          <t>셀러 분담</t>
        </is>
      </c>
      <c r="H24" s="6" t="inlineStr">
        <is>
          <t>카드사 분담</t>
        </is>
      </c>
      <c r="I24" s="6" t="inlineStr">
        <is>
          <t>대상 카드사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5" t="n"/>
    </row>
    <row r="25" ht="20" customHeight="1">
      <c r="B25" s="7" t="n"/>
      <c r="C25" s="10" t="n"/>
      <c r="D25" s="8" t="n"/>
      <c r="E25" s="10" t="n"/>
      <c r="F25" s="8" t="n"/>
      <c r="G25" s="8" t="n"/>
      <c r="H25" s="8" t="n"/>
      <c r="I25" s="13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5" t="n"/>
    </row>
    <row r="26" ht="20" customHeight="1">
      <c r="B26" s="7" t="n"/>
      <c r="C26" s="10" t="n"/>
      <c r="D26" s="8" t="n"/>
      <c r="E26" s="10" t="n"/>
      <c r="F26" s="8" t="n"/>
      <c r="G26" s="8" t="n"/>
      <c r="H26" s="8" t="n"/>
      <c r="I26" s="13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5" t="n"/>
    </row>
    <row r="27" ht="20" customHeight="1">
      <c r="B27" s="7" t="n"/>
      <c r="C27" s="10" t="n"/>
      <c r="D27" s="8" t="n"/>
      <c r="E27" s="10" t="n"/>
      <c r="F27" s="8" t="n"/>
      <c r="G27" s="8" t="n"/>
      <c r="H27" s="8" t="n"/>
      <c r="I27" s="13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5" t="n"/>
    </row>
    <row r="29">
      <c r="I29" s="15" t="inlineStr">
        <is>
          <t>B1 쿠폰</t>
        </is>
      </c>
      <c r="J29" s="4" t="n"/>
      <c r="K29" s="4" t="n"/>
      <c r="L29" s="4" t="n"/>
      <c r="M29" s="4" t="n"/>
      <c r="N29" s="5" t="n"/>
      <c r="O29" s="15" t="inlineStr">
        <is>
          <t>B2 중복쿠폰</t>
        </is>
      </c>
      <c r="P29" s="4" t="n"/>
      <c r="Q29" s="4" t="n"/>
      <c r="R29" s="4" t="n"/>
      <c r="S29" s="5" t="n"/>
      <c r="T29" s="15" t="inlineStr">
        <is>
          <t>카드 할인</t>
        </is>
      </c>
      <c r="U29" s="4" t="n"/>
      <c r="V29" s="4" t="n"/>
      <c r="W29" s="4" t="n"/>
      <c r="X29" s="5" t="n"/>
      <c r="Y29" s="15" t="inlineStr">
        <is>
          <t>정산</t>
        </is>
      </c>
      <c r="Z29" s="5" t="n"/>
    </row>
    <row r="30" ht="40" customHeight="1">
      <c r="B30" s="6" t="inlineStr">
        <is>
          <t>사이트</t>
        </is>
      </c>
      <c r="C30" s="6" t="inlineStr">
        <is>
          <t>상품코드</t>
        </is>
      </c>
      <c r="D30" s="6" t="inlineStr">
        <is>
          <t>상품명</t>
        </is>
      </c>
      <c r="E30" s="6" t="inlineStr">
        <is>
          <t>정상 소비자가</t>
        </is>
      </c>
      <c r="F30" s="6" t="inlineStr">
        <is>
          <t>판매자 할인</t>
        </is>
      </c>
      <c r="G30" s="6" t="inlineStr">
        <is>
          <t>판매자 할인
적용가</t>
        </is>
      </c>
      <c r="I30" s="6">
        <f>IF(OR($D$10="",$H$10="X"),"-",$B$10&amp;" "&amp;IF($D$10&gt;=1,TEXT($D$10,"#,##0")&amp;"원",TEXT($D$10,"0%"))&amp;IF($C$10="","",CHAR(10)&amp;TEXT($C$10,"#,##0")&amp;"원 이상"))</f>
        <v/>
      </c>
      <c r="J30" s="6">
        <f>IF(OR($D$11="",$H$11="X"),"-",$B$11&amp;" "&amp;IF($D$11&gt;=1,TEXT($D$11,"#,##0")&amp;"원",TEXT($D$11,"0%"))&amp;IF($C$11="","",CHAR(10)&amp;TEXT($C$11,"#,##0")&amp;"원 이상"))</f>
        <v/>
      </c>
      <c r="K30" s="6">
        <f>IF(OR($D$12="",$H$12="X"),"-",$B$12&amp;" "&amp;IF($D$12&gt;=1,TEXT($D$12,"#,##0")&amp;"원",TEXT($D$12,"0%"))&amp;IF($C$12="","",CHAR(10)&amp;TEXT($C$12,"#,##0")&amp;"원 이상"))</f>
        <v/>
      </c>
      <c r="L30" s="6">
        <f>IF(OR($D$13="",$H$13="X"),"-",$B$13&amp;" "&amp;IF($D$13&gt;=1,TEXT($D$13,"#,##0")&amp;"원",TEXT($D$13,"0%"))&amp;IF($C$13="","",CHAR(10)&amp;TEXT($C$13,"#,##0")&amp;"원 이상"))</f>
        <v/>
      </c>
      <c r="M30" s="6">
        <f>IF(OR($D$14="",$H$14="X"),"-",$B$14&amp;" "&amp;IF($D$14&gt;=1,TEXT($D$14,"#,##0")&amp;"원",TEXT($D$14,"0%"))&amp;IF($C$14="","",CHAR(10)&amp;TEXT($C$14,"#,##0")&amp;"원 이상"))</f>
        <v/>
      </c>
      <c r="N30" s="6" t="inlineStr">
        <is>
          <t>B1 적용가</t>
        </is>
      </c>
      <c r="O30" s="6">
        <f>IF(OR($D$18="",$H$18="X"),"-",$B$18&amp;" "&amp;IF($D$18&gt;=1,TEXT($D$18,"#,##0")&amp;"원",TEXT($D$18,"0%"))&amp;IF($C$18="","",CHAR(10)&amp;TEXT($C$18,"#,##0")&amp;"원 이상"))</f>
        <v/>
      </c>
      <c r="P30" s="6">
        <f>IF(OR($D$19="",$H$19="X"),"-",$B$19&amp;" "&amp;IF($D$19&gt;=1,TEXT($D$19,"#,##0")&amp;"원",TEXT($D$19,"0%"))&amp;IF($C$19="","",CHAR(10)&amp;TEXT($C$19,"#,##0")&amp;"원 이상"))</f>
        <v/>
      </c>
      <c r="Q30" s="6">
        <f>IF(OR($D$20="",$H$20="X"),"-",$B$20&amp;" "&amp;IF($D$20&gt;=1,TEXT($D$20,"#,##0")&amp;"원",TEXT($D$20,"0%"))&amp;IF($C$20="","",CHAR(10)&amp;TEXT($C$20,"#,##0")&amp;"원 이상"))</f>
        <v/>
      </c>
      <c r="R30" s="6">
        <f>IF(OR($D$21="",$H$21="X"),"-",$B$21&amp;" "&amp;IF($D$21&gt;=1,TEXT($D$21,"#,##0")&amp;"원",TEXT($D$21,"0%"))&amp;IF($C$21="","",CHAR(10)&amp;TEXT($C$21,"#,##0")&amp;"원 이상"))</f>
        <v/>
      </c>
      <c r="S30" s="6" t="inlineStr">
        <is>
          <t>B2 적용가</t>
        </is>
      </c>
      <c r="T30" s="6">
        <f>IF($D$25="","-",$B$25&amp;" "&amp;IF($D$25&gt;=1,TEXT($D$25,"#,##0")&amp;"원",TEXT($D$25,"0%")))</f>
        <v/>
      </c>
      <c r="U30" s="6">
        <f>IF($D$26="","-",$B$26&amp;" "&amp;IF($D$26&gt;=1,TEXT($D$26,"#,##0")&amp;"원",TEXT($D$26,"0%")))</f>
        <v/>
      </c>
      <c r="V30" s="6">
        <f>IF($D$27="","-",$B$27&amp;" "&amp;IF($D$27&gt;=1,TEXT($D$27,"#,##0")&amp;"원",TEXT($D$27,"0%")))</f>
        <v/>
      </c>
      <c r="W30" s="6" t="inlineStr">
        <is>
          <t>최대
카드할인</t>
        </is>
      </c>
      <c r="X30" s="6" t="inlineStr">
        <is>
          <t>최종 혜택가</t>
        </is>
      </c>
      <c r="Y30" s="6" t="inlineStr">
        <is>
          <t>셀러 분담
합계</t>
        </is>
      </c>
      <c r="Z30" s="6" t="inlineStr">
        <is>
          <t>예상 정산금액</t>
        </is>
      </c>
    </row>
    <row r="31">
      <c r="B31" s="16" t="inlineStr">
        <is>
          <t>G마켓</t>
        </is>
      </c>
      <c r="C31" s="16" t="inlineStr">
        <is>
          <t>예시001</t>
        </is>
      </c>
      <c r="D31" s="17" t="inlineStr">
        <is>
          <t>(예시) 스테인리스 텀블러</t>
        </is>
      </c>
      <c r="E31" s="18" t="n">
        <v>32000</v>
      </c>
      <c r="F31" s="18" t="n">
        <v>2000</v>
      </c>
      <c r="G31" s="19">
        <f>IF(E31="","",E31-N(F31))</f>
        <v/>
      </c>
      <c r="I31" s="20">
        <f>IF(G31="","",IF(OR($D$10="",$H$10="X",G31&lt;N($C$10)),0,IF(B31="G마켓",ROUNDDOWN(MIN(IF($D$10&gt;=1,MIN($D$10,G31),G31*$D$10),IF($E$10="",9E+99,$E$10)),0),ROUNDUP(MIN(IF($D$10&gt;=1,MIN($D$10,G31),G31*$D$10),IF($E$10="",9E+99,$E$10)),0))))</f>
        <v/>
      </c>
      <c r="J31" s="20">
        <f>IF(G31="","",IF(OR($D$11="",$H$11="X",G31&lt;N($C$11)),0,IF(B31="G마켓",ROUNDDOWN(MIN(IF($D$11&gt;=1,MIN($D$11,G31),G31*$D$11),IF($E$11="",9E+99,$E$11)),0),ROUNDUP(MIN(IF($D$11&gt;=1,MIN($D$11,G31),G31*$D$11),IF($E$11="",9E+99,$E$11)),0))))</f>
        <v/>
      </c>
      <c r="K31" s="20">
        <f>IF(G31="","",IF(OR($D$12="",$H$12="X",G31&lt;N($C$12)),0,IF(B31="G마켓",ROUNDDOWN(MIN(IF($D$12&gt;=1,MIN($D$12,G31),G31*$D$12),IF($E$12="",9E+99,$E$12)),0),ROUNDUP(MIN(IF($D$12&gt;=1,MIN($D$12,G31),G31*$D$12),IF($E$12="",9E+99,$E$12)),0))))</f>
        <v/>
      </c>
      <c r="L31" s="20">
        <f>IF(G31="","",IF(OR($D$13="",$H$13="X",G31&lt;N($C$13)),0,IF(B31="G마켓",ROUNDDOWN(MIN(IF($D$13&gt;=1,MIN($D$13,G31),G31*$D$13),IF($E$13="",9E+99,$E$13)),0),ROUNDUP(MIN(IF($D$13&gt;=1,MIN($D$13,G31),G31*$D$13),IF($E$13="",9E+99,$E$13)),0))))</f>
        <v/>
      </c>
      <c r="M31" s="20">
        <f>IF(G31="","",IF(OR($D$14="",$H$14="X",G31&lt;N($C$14)),0,IF(B31="G마켓",ROUNDDOWN(MIN(IF($D$14&gt;=1,MIN($D$14,G31),G31*$D$14),IF($E$14="",9E+99,$E$14)),0),ROUNDUP(MIN(IF($D$14&gt;=1,MIN($D$14,G31),G31*$D$14),IF($E$14="",9E+99,$E$14)),0))))</f>
        <v/>
      </c>
      <c r="N31" s="19">
        <f>IF(G31="","",G31-MAX(I31:M31))</f>
        <v/>
      </c>
      <c r="O31" s="20">
        <f>IF(N31="","",IF(OR($D$18="",$H$18="X",N31&lt;N($C$18)),0,IF(B31="G마켓",ROUNDDOWN(MIN(IF($D$18&gt;=1,MIN($D$18,N31),N31*$D$18),IF($E$18="",9E+99,$E$18)),0),ROUNDUP(MIN(IF($D$18&gt;=1,MIN($D$18,N31),N31*$D$18),IF($E$18="",9E+99,$E$18)),0))))</f>
        <v/>
      </c>
      <c r="P31" s="20">
        <f>IF(N31="","",IF(OR($D$19="",$H$19="X",N31&lt;N($C$19)),0,IF(B31="G마켓",ROUNDDOWN(MIN(IF($D$19&gt;=1,MIN($D$19,N31),N31*$D$19),IF($E$19="",9E+99,$E$19)),0),ROUNDUP(MIN(IF($D$19&gt;=1,MIN($D$19,N31),N31*$D$19),IF($E$19="",9E+99,$E$19)),0))))</f>
        <v/>
      </c>
      <c r="Q31" s="20">
        <f>IF(N31="","",IF(OR($D$20="",$H$20="X",N31&lt;N($C$20)),0,IF(B31="G마켓",ROUNDDOWN(MIN(IF($D$20&gt;=1,MIN($D$20,N31),N31*$D$20),IF($E$20="",9E+99,$E$20)),0),ROUNDUP(MIN(IF($D$20&gt;=1,MIN($D$20,N31),N31*$D$20),IF($E$20="",9E+99,$E$20)),0))))</f>
        <v/>
      </c>
      <c r="R31" s="20">
        <f>IF(N31="","",IF(OR($D$21="",$H$21="X",N31&lt;N($C$21)),0,IF(B31="G마켓",ROUNDDOWN(MIN(IF($D$21&gt;=1,MIN($D$21,N31),N31*$D$21),IF($E$21="",9E+99,$E$21)),0),ROUNDUP(MIN(IF($D$21&gt;=1,MIN($D$21,N31),N31*$D$21),IF($E$21="",9E+99,$E$21)),0))))</f>
        <v/>
      </c>
      <c r="S31" s="19">
        <f>IF(G31="","",N31-MAX(O31:R31))</f>
        <v/>
      </c>
      <c r="T31" s="20">
        <f>IF(S31="","",IF(OR($D$25="",S31&lt;N($C$25)),0,IF(B31="G마켓",ROUNDDOWN(MIN(IF($D$25&gt;=1,MIN($D$25,S31),S31*$D$25),IF($E$25="",9E+99,$E$25)),0),ROUNDUP(MIN(IF($D$25&gt;=1,MIN($D$25,S31),S31*$D$25),IF($E$25="",9E+99,$E$25)),0))))</f>
        <v/>
      </c>
      <c r="U31" s="20">
        <f>IF(S31="","",IF(OR($D$26="",S31&lt;N($C$26)),0,IF(B31="G마켓",ROUNDDOWN(MIN(IF($D$26&gt;=1,MIN($D$26,S31),S31*$D$26),IF($E$26="",9E+99,$E$26)),0),ROUNDUP(MIN(IF($D$26&gt;=1,MIN($D$26,S31),S31*$D$26),IF($E$26="",9E+99,$E$26)),0))))</f>
        <v/>
      </c>
      <c r="V31" s="20">
        <f>IF(S31="","",IF(OR($D$27="",S31&lt;N($C$27)),0,IF(B31="G마켓",ROUNDDOWN(MIN(IF($D$27&gt;=1,MIN($D$27,S31),S31*$D$27),IF($E$27="",9E+99,$E$27)),0),ROUNDUP(MIN(IF($D$27&gt;=1,MIN($D$27,S31),S31*$D$27),IF($E$27="",9E+99,$E$27)),0))))</f>
        <v/>
      </c>
      <c r="W31" s="19">
        <f>IF(G31="","",MAX(T31:V31))</f>
        <v/>
      </c>
      <c r="X31" s="21">
        <f>IF(G31="","",S31-W31)</f>
        <v/>
      </c>
      <c r="Y31" s="19">
        <f>IF(G31="","",IF(B31="G마켓",ROUNDDOWN(MAX(I31*N($G$10),J31*N($G$11),K31*N($G$12),L31*N($G$13),M31*N($G$14))+MAX(O31*N($G$18),P31*N($G$19),Q31*N($G$20),R31*N($G$21))+MAX(T31*N($G$25),U31*N($G$26),V31*N($G$27)),0),ROUNDUP(MAX(I31*N($G$10),J31*N($G$11),K31*N($G$12),L31*N($G$13),M31*N($G$14))+MAX(O31*N($G$18),P31*N($G$19),Q31*N($G$20),R31*N($G$21))+MAX(T31*N($G$25),U31*N($G$26),V31*N($G$27)),0)))</f>
        <v/>
      </c>
      <c r="Z31" s="21">
        <f>IF(G31="","",IF(B31="G마켓",ROUNDDOWN(G31-G31*$Q$6-Y31,0),ROUNDUP(G31-G31*$Q$6-Y31,0)))</f>
        <v/>
      </c>
    </row>
    <row r="32">
      <c r="B32" s="16" t="inlineStr">
        <is>
          <t>옥션</t>
        </is>
      </c>
      <c r="C32" s="16" t="inlineStr">
        <is>
          <t>예시002</t>
        </is>
      </c>
      <c r="D32" s="17" t="inlineStr">
        <is>
          <t>(예시) 무선청소기</t>
        </is>
      </c>
      <c r="E32" s="18" t="n">
        <v>299000</v>
      </c>
      <c r="F32" s="18" t="n">
        <v>20000</v>
      </c>
      <c r="G32" s="19">
        <f>IF(E32="","",E32-N(F32))</f>
        <v/>
      </c>
      <c r="I32" s="20">
        <f>IF(G32="","",IF(OR($D$10="",$H$10="X",G32&lt;N($C$10)),0,IF(B32="G마켓",ROUNDDOWN(MIN(IF($D$10&gt;=1,MIN($D$10,G32),G32*$D$10),IF($E$10="",9E+99,$E$10)),0),ROUNDUP(MIN(IF($D$10&gt;=1,MIN($D$10,G32),G32*$D$10),IF($E$10="",9E+99,$E$10)),0))))</f>
        <v/>
      </c>
      <c r="J32" s="20">
        <f>IF(G32="","",IF(OR($D$11="",$H$11="X",G32&lt;N($C$11)),0,IF(B32="G마켓",ROUNDDOWN(MIN(IF($D$11&gt;=1,MIN($D$11,G32),G32*$D$11),IF($E$11="",9E+99,$E$11)),0),ROUNDUP(MIN(IF($D$11&gt;=1,MIN($D$11,G32),G32*$D$11),IF($E$11="",9E+99,$E$11)),0))))</f>
        <v/>
      </c>
      <c r="K32" s="20">
        <f>IF(G32="","",IF(OR($D$12="",$H$12="X",G32&lt;N($C$12)),0,IF(B32="G마켓",ROUNDDOWN(MIN(IF($D$12&gt;=1,MIN($D$12,G32),G32*$D$12),IF($E$12="",9E+99,$E$12)),0),ROUNDUP(MIN(IF($D$12&gt;=1,MIN($D$12,G32),G32*$D$12),IF($E$12="",9E+99,$E$12)),0))))</f>
        <v/>
      </c>
      <c r="L32" s="20">
        <f>IF(G32="","",IF(OR($D$13="",$H$13="X",G32&lt;N($C$13)),0,IF(B32="G마켓",ROUNDDOWN(MIN(IF($D$13&gt;=1,MIN($D$13,G32),G32*$D$13),IF($E$13="",9E+99,$E$13)),0),ROUNDUP(MIN(IF($D$13&gt;=1,MIN($D$13,G32),G32*$D$13),IF($E$13="",9E+99,$E$13)),0))))</f>
        <v/>
      </c>
      <c r="M32" s="20">
        <f>IF(G32="","",IF(OR($D$14="",$H$14="X",G32&lt;N($C$14)),0,IF(B32="G마켓",ROUNDDOWN(MIN(IF($D$14&gt;=1,MIN($D$14,G32),G32*$D$14),IF($E$14="",9E+99,$E$14)),0),ROUNDUP(MIN(IF($D$14&gt;=1,MIN($D$14,G32),G32*$D$14),IF($E$14="",9E+99,$E$14)),0))))</f>
        <v/>
      </c>
      <c r="N32" s="19">
        <f>IF(G32="","",G32-MAX(I32:M32))</f>
        <v/>
      </c>
      <c r="O32" s="20">
        <f>IF(N32="","",IF(OR($D$18="",$H$18="X",N32&lt;N($C$18)),0,IF(B32="G마켓",ROUNDDOWN(MIN(IF($D$18&gt;=1,MIN($D$18,N32),N32*$D$18),IF($E$18="",9E+99,$E$18)),0),ROUNDUP(MIN(IF($D$18&gt;=1,MIN($D$18,N32),N32*$D$18),IF($E$18="",9E+99,$E$18)),0))))</f>
        <v/>
      </c>
      <c r="P32" s="20">
        <f>IF(N32="","",IF(OR($D$19="",$H$19="X",N32&lt;N($C$19)),0,IF(B32="G마켓",ROUNDDOWN(MIN(IF($D$19&gt;=1,MIN($D$19,N32),N32*$D$19),IF($E$19="",9E+99,$E$19)),0),ROUNDUP(MIN(IF($D$19&gt;=1,MIN($D$19,N32),N32*$D$19),IF($E$19="",9E+99,$E$19)),0))))</f>
        <v/>
      </c>
      <c r="Q32" s="20">
        <f>IF(N32="","",IF(OR($D$20="",$H$20="X",N32&lt;N($C$20)),0,IF(B32="G마켓",ROUNDDOWN(MIN(IF($D$20&gt;=1,MIN($D$20,N32),N32*$D$20),IF($E$20="",9E+99,$E$20)),0),ROUNDUP(MIN(IF($D$20&gt;=1,MIN($D$20,N32),N32*$D$20),IF($E$20="",9E+99,$E$20)),0))))</f>
        <v/>
      </c>
      <c r="R32" s="20">
        <f>IF(N32="","",IF(OR($D$21="",$H$21="X",N32&lt;N($C$21)),0,IF(B32="G마켓",ROUNDDOWN(MIN(IF($D$21&gt;=1,MIN($D$21,N32),N32*$D$21),IF($E$21="",9E+99,$E$21)),0),ROUNDUP(MIN(IF($D$21&gt;=1,MIN($D$21,N32),N32*$D$21),IF($E$21="",9E+99,$E$21)),0))))</f>
        <v/>
      </c>
      <c r="S32" s="19">
        <f>IF(G32="","",N32-MAX(O32:R32))</f>
        <v/>
      </c>
      <c r="T32" s="20">
        <f>IF(S32="","",IF(OR($D$25="",S32&lt;N($C$25)),0,IF(B32="G마켓",ROUNDDOWN(MIN(IF($D$25&gt;=1,MIN($D$25,S32),S32*$D$25),IF($E$25="",9E+99,$E$25)),0),ROUNDUP(MIN(IF($D$25&gt;=1,MIN($D$25,S32),S32*$D$25),IF($E$25="",9E+99,$E$25)),0))))</f>
        <v/>
      </c>
      <c r="U32" s="20">
        <f>IF(S32="","",IF(OR($D$26="",S32&lt;N($C$26)),0,IF(B32="G마켓",ROUNDDOWN(MIN(IF($D$26&gt;=1,MIN($D$26,S32),S32*$D$26),IF($E$26="",9E+99,$E$26)),0),ROUNDUP(MIN(IF($D$26&gt;=1,MIN($D$26,S32),S32*$D$26),IF($E$26="",9E+99,$E$26)),0))))</f>
        <v/>
      </c>
      <c r="V32" s="20">
        <f>IF(S32="","",IF(OR($D$27="",S32&lt;N($C$27)),0,IF(B32="G마켓",ROUNDDOWN(MIN(IF($D$27&gt;=1,MIN($D$27,S32),S32*$D$27),IF($E$27="",9E+99,$E$27)),0),ROUNDUP(MIN(IF($D$27&gt;=1,MIN($D$27,S32),S32*$D$27),IF($E$27="",9E+99,$E$27)),0))))</f>
        <v/>
      </c>
      <c r="W32" s="19">
        <f>IF(G32="","",MAX(T32:V32))</f>
        <v/>
      </c>
      <c r="X32" s="21">
        <f>IF(G32="","",S32-W32)</f>
        <v/>
      </c>
      <c r="Y32" s="19">
        <f>IF(G32="","",IF(B32="G마켓",ROUNDDOWN(MAX(I32*N($G$10),J32*N($G$11),K32*N($G$12),L32*N($G$13),M32*N($G$14))+MAX(O32*N($G$18),P32*N($G$19),Q32*N($G$20),R32*N($G$21))+MAX(T32*N($G$25),U32*N($G$26),V32*N($G$27)),0),ROUNDUP(MAX(I32*N($G$10),J32*N($G$11),K32*N($G$12),L32*N($G$13),M32*N($G$14))+MAX(O32*N($G$18),P32*N($G$19),Q32*N($G$20),R32*N($G$21))+MAX(T32*N($G$25),U32*N($G$26),V32*N($G$27)),0)))</f>
        <v/>
      </c>
      <c r="Z32" s="21">
        <f>IF(G32="","",IF(B32="G마켓",ROUNDDOWN(G32-G32*$Q$6-Y32,0),ROUNDUP(G32-G32*$Q$6-Y32,0)))</f>
        <v/>
      </c>
    </row>
    <row r="33">
      <c r="B33" s="7" t="n"/>
      <c r="C33" s="7" t="n"/>
      <c r="D33" s="22" t="n"/>
      <c r="E33" s="23" t="n"/>
      <c r="F33" s="23" t="n"/>
      <c r="G33" s="19">
        <f>IF(E33="","",E33-N(F33))</f>
        <v/>
      </c>
      <c r="I33" s="20">
        <f>IF(G33="","",IF(OR($D$10="",$H$10="X",G33&lt;N($C$10)),0,IF(B33="G마켓",ROUNDDOWN(MIN(IF($D$10&gt;=1,MIN($D$10,G33),G33*$D$10),IF($E$10="",9E+99,$E$10)),0),ROUNDUP(MIN(IF($D$10&gt;=1,MIN($D$10,G33),G33*$D$10),IF($E$10="",9E+99,$E$10)),0))))</f>
        <v/>
      </c>
      <c r="J33" s="20">
        <f>IF(G33="","",IF(OR($D$11="",$H$11="X",G33&lt;N($C$11)),0,IF(B33="G마켓",ROUNDDOWN(MIN(IF($D$11&gt;=1,MIN($D$11,G33),G33*$D$11),IF($E$11="",9E+99,$E$11)),0),ROUNDUP(MIN(IF($D$11&gt;=1,MIN($D$11,G33),G33*$D$11),IF($E$11="",9E+99,$E$11)),0))))</f>
        <v/>
      </c>
      <c r="K33" s="20">
        <f>IF(G33="","",IF(OR($D$12="",$H$12="X",G33&lt;N($C$12)),0,IF(B33="G마켓",ROUNDDOWN(MIN(IF($D$12&gt;=1,MIN($D$12,G33),G33*$D$12),IF($E$12="",9E+99,$E$12)),0),ROUNDUP(MIN(IF($D$12&gt;=1,MIN($D$12,G33),G33*$D$12),IF($E$12="",9E+99,$E$12)),0))))</f>
        <v/>
      </c>
      <c r="L33" s="20">
        <f>IF(G33="","",IF(OR($D$13="",$H$13="X",G33&lt;N($C$13)),0,IF(B33="G마켓",ROUNDDOWN(MIN(IF($D$13&gt;=1,MIN($D$13,G33),G33*$D$13),IF($E$13="",9E+99,$E$13)),0),ROUNDUP(MIN(IF($D$13&gt;=1,MIN($D$13,G33),G33*$D$13),IF($E$13="",9E+99,$E$13)),0))))</f>
        <v/>
      </c>
      <c r="M33" s="20">
        <f>IF(G33="","",IF(OR($D$14="",$H$14="X",G33&lt;N($C$14)),0,IF(B33="G마켓",ROUNDDOWN(MIN(IF($D$14&gt;=1,MIN($D$14,G33),G33*$D$14),IF($E$14="",9E+99,$E$14)),0),ROUNDUP(MIN(IF($D$14&gt;=1,MIN($D$14,G33),G33*$D$14),IF($E$14="",9E+99,$E$14)),0))))</f>
        <v/>
      </c>
      <c r="N33" s="19">
        <f>IF(G33="","",G33-MAX(I33:M33))</f>
        <v/>
      </c>
      <c r="O33" s="20">
        <f>IF(N33="","",IF(OR($D$18="",$H$18="X",N33&lt;N($C$18)),0,IF(B33="G마켓",ROUNDDOWN(MIN(IF($D$18&gt;=1,MIN($D$18,N33),N33*$D$18),IF($E$18="",9E+99,$E$18)),0),ROUNDUP(MIN(IF($D$18&gt;=1,MIN($D$18,N33),N33*$D$18),IF($E$18="",9E+99,$E$18)),0))))</f>
        <v/>
      </c>
      <c r="P33" s="20">
        <f>IF(N33="","",IF(OR($D$19="",$H$19="X",N33&lt;N($C$19)),0,IF(B33="G마켓",ROUNDDOWN(MIN(IF($D$19&gt;=1,MIN($D$19,N33),N33*$D$19),IF($E$19="",9E+99,$E$19)),0),ROUNDUP(MIN(IF($D$19&gt;=1,MIN($D$19,N33),N33*$D$19),IF($E$19="",9E+99,$E$19)),0))))</f>
        <v/>
      </c>
      <c r="Q33" s="20">
        <f>IF(N33="","",IF(OR($D$20="",$H$20="X",N33&lt;N($C$20)),0,IF(B33="G마켓",ROUNDDOWN(MIN(IF($D$20&gt;=1,MIN($D$20,N33),N33*$D$20),IF($E$20="",9E+99,$E$20)),0),ROUNDUP(MIN(IF($D$20&gt;=1,MIN($D$20,N33),N33*$D$20),IF($E$20="",9E+99,$E$20)),0))))</f>
        <v/>
      </c>
      <c r="R33" s="20">
        <f>IF(N33="","",IF(OR($D$21="",$H$21="X",N33&lt;N($C$21)),0,IF(B33="G마켓",ROUNDDOWN(MIN(IF($D$21&gt;=1,MIN($D$21,N33),N33*$D$21),IF($E$21="",9E+99,$E$21)),0),ROUNDUP(MIN(IF($D$21&gt;=1,MIN($D$21,N33),N33*$D$21),IF($E$21="",9E+99,$E$21)),0))))</f>
        <v/>
      </c>
      <c r="S33" s="19">
        <f>IF(G33="","",N33-MAX(O33:R33))</f>
        <v/>
      </c>
      <c r="T33" s="20">
        <f>IF(S33="","",IF(OR($D$25="",S33&lt;N($C$25)),0,IF(B33="G마켓",ROUNDDOWN(MIN(IF($D$25&gt;=1,MIN($D$25,S33),S33*$D$25),IF($E$25="",9E+99,$E$25)),0),ROUNDUP(MIN(IF($D$25&gt;=1,MIN($D$25,S33),S33*$D$25),IF($E$25="",9E+99,$E$25)),0))))</f>
        <v/>
      </c>
      <c r="U33" s="20">
        <f>IF(S33="","",IF(OR($D$26="",S33&lt;N($C$26)),0,IF(B33="G마켓",ROUNDDOWN(MIN(IF($D$26&gt;=1,MIN($D$26,S33),S33*$D$26),IF($E$26="",9E+99,$E$26)),0),ROUNDUP(MIN(IF($D$26&gt;=1,MIN($D$26,S33),S33*$D$26),IF($E$26="",9E+99,$E$26)),0))))</f>
        <v/>
      </c>
      <c r="V33" s="20">
        <f>IF(S33="","",IF(OR($D$27="",S33&lt;N($C$27)),0,IF(B33="G마켓",ROUNDDOWN(MIN(IF($D$27&gt;=1,MIN($D$27,S33),S33*$D$27),IF($E$27="",9E+99,$E$27)),0),ROUNDUP(MIN(IF($D$27&gt;=1,MIN($D$27,S33),S33*$D$27),IF($E$27="",9E+99,$E$27)),0))))</f>
        <v/>
      </c>
      <c r="W33" s="19">
        <f>IF(G33="","",MAX(T33:V33))</f>
        <v/>
      </c>
      <c r="X33" s="21">
        <f>IF(G33="","",S33-W33)</f>
        <v/>
      </c>
      <c r="Y33" s="19">
        <f>IF(G33="","",IF(B33="G마켓",ROUNDDOWN(MAX(I33*N($G$10),J33*N($G$11),K33*N($G$12),L33*N($G$13),M33*N($G$14))+MAX(O33*N($G$18),P33*N($G$19),Q33*N($G$20),R33*N($G$21))+MAX(T33*N($G$25),U33*N($G$26),V33*N($G$27)),0),ROUNDUP(MAX(I33*N($G$10),J33*N($G$11),K33*N($G$12),L33*N($G$13),M33*N($G$14))+MAX(O33*N($G$18),P33*N($G$19),Q33*N($G$20),R33*N($G$21))+MAX(T33*N($G$25),U33*N($G$26),V33*N($G$27)),0)))</f>
        <v/>
      </c>
      <c r="Z33" s="21">
        <f>IF(G33="","",IF(B33="G마켓",ROUNDDOWN(G33-G33*$Q$6-Y33,0),ROUNDUP(G33-G33*$Q$6-Y33,0)))</f>
        <v/>
      </c>
    </row>
    <row r="34">
      <c r="B34" s="7" t="n"/>
      <c r="C34" s="7" t="n"/>
      <c r="D34" s="22" t="n"/>
      <c r="E34" s="23" t="n"/>
      <c r="F34" s="23" t="n"/>
      <c r="G34" s="19">
        <f>IF(E34="","",E34-N(F34))</f>
        <v/>
      </c>
      <c r="I34" s="20">
        <f>IF(G34="","",IF(OR($D$10="",$H$10="X",G34&lt;N($C$10)),0,IF(B34="G마켓",ROUNDDOWN(MIN(IF($D$10&gt;=1,MIN($D$10,G34),G34*$D$10),IF($E$10="",9E+99,$E$10)),0),ROUNDUP(MIN(IF($D$10&gt;=1,MIN($D$10,G34),G34*$D$10),IF($E$10="",9E+99,$E$10)),0))))</f>
        <v/>
      </c>
      <c r="J34" s="20">
        <f>IF(G34="","",IF(OR($D$11="",$H$11="X",G34&lt;N($C$11)),0,IF(B34="G마켓",ROUNDDOWN(MIN(IF($D$11&gt;=1,MIN($D$11,G34),G34*$D$11),IF($E$11="",9E+99,$E$11)),0),ROUNDUP(MIN(IF($D$11&gt;=1,MIN($D$11,G34),G34*$D$11),IF($E$11="",9E+99,$E$11)),0))))</f>
        <v/>
      </c>
      <c r="K34" s="20">
        <f>IF(G34="","",IF(OR($D$12="",$H$12="X",G34&lt;N($C$12)),0,IF(B34="G마켓",ROUNDDOWN(MIN(IF($D$12&gt;=1,MIN($D$12,G34),G34*$D$12),IF($E$12="",9E+99,$E$12)),0),ROUNDUP(MIN(IF($D$12&gt;=1,MIN($D$12,G34),G34*$D$12),IF($E$12="",9E+99,$E$12)),0))))</f>
        <v/>
      </c>
      <c r="L34" s="20">
        <f>IF(G34="","",IF(OR($D$13="",$H$13="X",G34&lt;N($C$13)),0,IF(B34="G마켓",ROUNDDOWN(MIN(IF($D$13&gt;=1,MIN($D$13,G34),G34*$D$13),IF($E$13="",9E+99,$E$13)),0),ROUNDUP(MIN(IF($D$13&gt;=1,MIN($D$13,G34),G34*$D$13),IF($E$13="",9E+99,$E$13)),0))))</f>
        <v/>
      </c>
      <c r="M34" s="20">
        <f>IF(G34="","",IF(OR($D$14="",$H$14="X",G34&lt;N($C$14)),0,IF(B34="G마켓",ROUNDDOWN(MIN(IF($D$14&gt;=1,MIN($D$14,G34),G34*$D$14),IF($E$14="",9E+99,$E$14)),0),ROUNDUP(MIN(IF($D$14&gt;=1,MIN($D$14,G34),G34*$D$14),IF($E$14="",9E+99,$E$14)),0))))</f>
        <v/>
      </c>
      <c r="N34" s="19">
        <f>IF(G34="","",G34-MAX(I34:M34))</f>
        <v/>
      </c>
      <c r="O34" s="20">
        <f>IF(N34="","",IF(OR($D$18="",$H$18="X",N34&lt;N($C$18)),0,IF(B34="G마켓",ROUNDDOWN(MIN(IF($D$18&gt;=1,MIN($D$18,N34),N34*$D$18),IF($E$18="",9E+99,$E$18)),0),ROUNDUP(MIN(IF($D$18&gt;=1,MIN($D$18,N34),N34*$D$18),IF($E$18="",9E+99,$E$18)),0))))</f>
        <v/>
      </c>
      <c r="P34" s="20">
        <f>IF(N34="","",IF(OR($D$19="",$H$19="X",N34&lt;N($C$19)),0,IF(B34="G마켓",ROUNDDOWN(MIN(IF($D$19&gt;=1,MIN($D$19,N34),N34*$D$19),IF($E$19="",9E+99,$E$19)),0),ROUNDUP(MIN(IF($D$19&gt;=1,MIN($D$19,N34),N34*$D$19),IF($E$19="",9E+99,$E$19)),0))))</f>
        <v/>
      </c>
      <c r="Q34" s="20">
        <f>IF(N34="","",IF(OR($D$20="",$H$20="X",N34&lt;N($C$20)),0,IF(B34="G마켓",ROUNDDOWN(MIN(IF($D$20&gt;=1,MIN($D$20,N34),N34*$D$20),IF($E$20="",9E+99,$E$20)),0),ROUNDUP(MIN(IF($D$20&gt;=1,MIN($D$20,N34),N34*$D$20),IF($E$20="",9E+99,$E$20)),0))))</f>
        <v/>
      </c>
      <c r="R34" s="20">
        <f>IF(N34="","",IF(OR($D$21="",$H$21="X",N34&lt;N($C$21)),0,IF(B34="G마켓",ROUNDDOWN(MIN(IF($D$21&gt;=1,MIN($D$21,N34),N34*$D$21),IF($E$21="",9E+99,$E$21)),0),ROUNDUP(MIN(IF($D$21&gt;=1,MIN($D$21,N34),N34*$D$21),IF($E$21="",9E+99,$E$21)),0))))</f>
        <v/>
      </c>
      <c r="S34" s="19">
        <f>IF(G34="","",N34-MAX(O34:R34))</f>
        <v/>
      </c>
      <c r="T34" s="20">
        <f>IF(S34="","",IF(OR($D$25="",S34&lt;N($C$25)),0,IF(B34="G마켓",ROUNDDOWN(MIN(IF($D$25&gt;=1,MIN($D$25,S34),S34*$D$25),IF($E$25="",9E+99,$E$25)),0),ROUNDUP(MIN(IF($D$25&gt;=1,MIN($D$25,S34),S34*$D$25),IF($E$25="",9E+99,$E$25)),0))))</f>
        <v/>
      </c>
      <c r="U34" s="20">
        <f>IF(S34="","",IF(OR($D$26="",S34&lt;N($C$26)),0,IF(B34="G마켓",ROUNDDOWN(MIN(IF($D$26&gt;=1,MIN($D$26,S34),S34*$D$26),IF($E$26="",9E+99,$E$26)),0),ROUNDUP(MIN(IF($D$26&gt;=1,MIN($D$26,S34),S34*$D$26),IF($E$26="",9E+99,$E$26)),0))))</f>
        <v/>
      </c>
      <c r="V34" s="20">
        <f>IF(S34="","",IF(OR($D$27="",S34&lt;N($C$27)),0,IF(B34="G마켓",ROUNDDOWN(MIN(IF($D$27&gt;=1,MIN($D$27,S34),S34*$D$27),IF($E$27="",9E+99,$E$27)),0),ROUNDUP(MIN(IF($D$27&gt;=1,MIN($D$27,S34),S34*$D$27),IF($E$27="",9E+99,$E$27)),0))))</f>
        <v/>
      </c>
      <c r="W34" s="19">
        <f>IF(G34="","",MAX(T34:V34))</f>
        <v/>
      </c>
      <c r="X34" s="21">
        <f>IF(G34="","",S34-W34)</f>
        <v/>
      </c>
      <c r="Y34" s="19">
        <f>IF(G34="","",IF(B34="G마켓",ROUNDDOWN(MAX(I34*N($G$10),J34*N($G$11),K34*N($G$12),L34*N($G$13),M34*N($G$14))+MAX(O34*N($G$18),P34*N($G$19),Q34*N($G$20),R34*N($G$21))+MAX(T34*N($G$25),U34*N($G$26),V34*N($G$27)),0),ROUNDUP(MAX(I34*N($G$10),J34*N($G$11),K34*N($G$12),L34*N($G$13),M34*N($G$14))+MAX(O34*N($G$18),P34*N($G$19),Q34*N($G$20),R34*N($G$21))+MAX(T34*N($G$25),U34*N($G$26),V34*N($G$27)),0)))</f>
        <v/>
      </c>
      <c r="Z34" s="21">
        <f>IF(G34="","",IF(B34="G마켓",ROUNDDOWN(G34-G34*$Q$6-Y34,0),ROUNDUP(G34-G34*$Q$6-Y34,0)))</f>
        <v/>
      </c>
    </row>
    <row r="35">
      <c r="B35" s="7" t="n"/>
      <c r="C35" s="7" t="n"/>
      <c r="D35" s="22" t="n"/>
      <c r="E35" s="23" t="n"/>
      <c r="F35" s="23" t="n"/>
      <c r="G35" s="19">
        <f>IF(E35="","",E35-N(F35))</f>
        <v/>
      </c>
      <c r="I35" s="20">
        <f>IF(G35="","",IF(OR($D$10="",$H$10="X",G35&lt;N($C$10)),0,IF(B35="G마켓",ROUNDDOWN(MIN(IF($D$10&gt;=1,MIN($D$10,G35),G35*$D$10),IF($E$10="",9E+99,$E$10)),0),ROUNDUP(MIN(IF($D$10&gt;=1,MIN($D$10,G35),G35*$D$10),IF($E$10="",9E+99,$E$10)),0))))</f>
        <v/>
      </c>
      <c r="J35" s="20">
        <f>IF(G35="","",IF(OR($D$11="",$H$11="X",G35&lt;N($C$11)),0,IF(B35="G마켓",ROUNDDOWN(MIN(IF($D$11&gt;=1,MIN($D$11,G35),G35*$D$11),IF($E$11="",9E+99,$E$11)),0),ROUNDUP(MIN(IF($D$11&gt;=1,MIN($D$11,G35),G35*$D$11),IF($E$11="",9E+99,$E$11)),0))))</f>
        <v/>
      </c>
      <c r="K35" s="20">
        <f>IF(G35="","",IF(OR($D$12="",$H$12="X",G35&lt;N($C$12)),0,IF(B35="G마켓",ROUNDDOWN(MIN(IF($D$12&gt;=1,MIN($D$12,G35),G35*$D$12),IF($E$12="",9E+99,$E$12)),0),ROUNDUP(MIN(IF($D$12&gt;=1,MIN($D$12,G35),G35*$D$12),IF($E$12="",9E+99,$E$12)),0))))</f>
        <v/>
      </c>
      <c r="L35" s="20">
        <f>IF(G35="","",IF(OR($D$13="",$H$13="X",G35&lt;N($C$13)),0,IF(B35="G마켓",ROUNDDOWN(MIN(IF($D$13&gt;=1,MIN($D$13,G35),G35*$D$13),IF($E$13="",9E+99,$E$13)),0),ROUNDUP(MIN(IF($D$13&gt;=1,MIN($D$13,G35),G35*$D$13),IF($E$13="",9E+99,$E$13)),0))))</f>
        <v/>
      </c>
      <c r="M35" s="20">
        <f>IF(G35="","",IF(OR($D$14="",$H$14="X",G35&lt;N($C$14)),0,IF(B35="G마켓",ROUNDDOWN(MIN(IF($D$14&gt;=1,MIN($D$14,G35),G35*$D$14),IF($E$14="",9E+99,$E$14)),0),ROUNDUP(MIN(IF($D$14&gt;=1,MIN($D$14,G35),G35*$D$14),IF($E$14="",9E+99,$E$14)),0))))</f>
        <v/>
      </c>
      <c r="N35" s="19">
        <f>IF(G35="","",G35-MAX(I35:M35))</f>
        <v/>
      </c>
      <c r="O35" s="20">
        <f>IF(N35="","",IF(OR($D$18="",$H$18="X",N35&lt;N($C$18)),0,IF(B35="G마켓",ROUNDDOWN(MIN(IF($D$18&gt;=1,MIN($D$18,N35),N35*$D$18),IF($E$18="",9E+99,$E$18)),0),ROUNDUP(MIN(IF($D$18&gt;=1,MIN($D$18,N35),N35*$D$18),IF($E$18="",9E+99,$E$18)),0))))</f>
        <v/>
      </c>
      <c r="P35" s="20">
        <f>IF(N35="","",IF(OR($D$19="",$H$19="X",N35&lt;N($C$19)),0,IF(B35="G마켓",ROUNDDOWN(MIN(IF($D$19&gt;=1,MIN($D$19,N35),N35*$D$19),IF($E$19="",9E+99,$E$19)),0),ROUNDUP(MIN(IF($D$19&gt;=1,MIN($D$19,N35),N35*$D$19),IF($E$19="",9E+99,$E$19)),0))))</f>
        <v/>
      </c>
      <c r="Q35" s="20">
        <f>IF(N35="","",IF(OR($D$20="",$H$20="X",N35&lt;N($C$20)),0,IF(B35="G마켓",ROUNDDOWN(MIN(IF($D$20&gt;=1,MIN($D$20,N35),N35*$D$20),IF($E$20="",9E+99,$E$20)),0),ROUNDUP(MIN(IF($D$20&gt;=1,MIN($D$20,N35),N35*$D$20),IF($E$20="",9E+99,$E$20)),0))))</f>
        <v/>
      </c>
      <c r="R35" s="20">
        <f>IF(N35="","",IF(OR($D$21="",$H$21="X",N35&lt;N($C$21)),0,IF(B35="G마켓",ROUNDDOWN(MIN(IF($D$21&gt;=1,MIN($D$21,N35),N35*$D$21),IF($E$21="",9E+99,$E$21)),0),ROUNDUP(MIN(IF($D$21&gt;=1,MIN($D$21,N35),N35*$D$21),IF($E$21="",9E+99,$E$21)),0))))</f>
        <v/>
      </c>
      <c r="S35" s="19">
        <f>IF(G35="","",N35-MAX(O35:R35))</f>
        <v/>
      </c>
      <c r="T35" s="20">
        <f>IF(S35="","",IF(OR($D$25="",S35&lt;N($C$25)),0,IF(B35="G마켓",ROUNDDOWN(MIN(IF($D$25&gt;=1,MIN($D$25,S35),S35*$D$25),IF($E$25="",9E+99,$E$25)),0),ROUNDUP(MIN(IF($D$25&gt;=1,MIN($D$25,S35),S35*$D$25),IF($E$25="",9E+99,$E$25)),0))))</f>
        <v/>
      </c>
      <c r="U35" s="20">
        <f>IF(S35="","",IF(OR($D$26="",S35&lt;N($C$26)),0,IF(B35="G마켓",ROUNDDOWN(MIN(IF($D$26&gt;=1,MIN($D$26,S35),S35*$D$26),IF($E$26="",9E+99,$E$26)),0),ROUNDUP(MIN(IF($D$26&gt;=1,MIN($D$26,S35),S35*$D$26),IF($E$26="",9E+99,$E$26)),0))))</f>
        <v/>
      </c>
      <c r="V35" s="20">
        <f>IF(S35="","",IF(OR($D$27="",S35&lt;N($C$27)),0,IF(B35="G마켓",ROUNDDOWN(MIN(IF($D$27&gt;=1,MIN($D$27,S35),S35*$D$27),IF($E$27="",9E+99,$E$27)),0),ROUNDUP(MIN(IF($D$27&gt;=1,MIN($D$27,S35),S35*$D$27),IF($E$27="",9E+99,$E$27)),0))))</f>
        <v/>
      </c>
      <c r="W35" s="19">
        <f>IF(G35="","",MAX(T35:V35))</f>
        <v/>
      </c>
      <c r="X35" s="21">
        <f>IF(G35="","",S35-W35)</f>
        <v/>
      </c>
      <c r="Y35" s="19">
        <f>IF(G35="","",IF(B35="G마켓",ROUNDDOWN(MAX(I35*N($G$10),J35*N($G$11),K35*N($G$12),L35*N($G$13),M35*N($G$14))+MAX(O35*N($G$18),P35*N($G$19),Q35*N($G$20),R35*N($G$21))+MAX(T35*N($G$25),U35*N($G$26),V35*N($G$27)),0),ROUNDUP(MAX(I35*N($G$10),J35*N($G$11),K35*N($G$12),L35*N($G$13),M35*N($G$14))+MAX(O35*N($G$18),P35*N($G$19),Q35*N($G$20),R35*N($G$21))+MAX(T35*N($G$25),U35*N($G$26),V35*N($G$27)),0)))</f>
        <v/>
      </c>
      <c r="Z35" s="21">
        <f>IF(G35="","",IF(B35="G마켓",ROUNDDOWN(G35-G35*$Q$6-Y35,0),ROUNDUP(G35-G35*$Q$6-Y35,0)))</f>
        <v/>
      </c>
    </row>
    <row r="36">
      <c r="B36" s="7" t="n"/>
      <c r="C36" s="7" t="n"/>
      <c r="D36" s="22" t="n"/>
      <c r="E36" s="23" t="n"/>
      <c r="F36" s="23" t="n"/>
      <c r="G36" s="19">
        <f>IF(E36="","",E36-N(F36))</f>
        <v/>
      </c>
      <c r="I36" s="20">
        <f>IF(G36="","",IF(OR($D$10="",$H$10="X",G36&lt;N($C$10)),0,IF(B36="G마켓",ROUNDDOWN(MIN(IF($D$10&gt;=1,MIN($D$10,G36),G36*$D$10),IF($E$10="",9E+99,$E$10)),0),ROUNDUP(MIN(IF($D$10&gt;=1,MIN($D$10,G36),G36*$D$10),IF($E$10="",9E+99,$E$10)),0))))</f>
        <v/>
      </c>
      <c r="J36" s="20">
        <f>IF(G36="","",IF(OR($D$11="",$H$11="X",G36&lt;N($C$11)),0,IF(B36="G마켓",ROUNDDOWN(MIN(IF($D$11&gt;=1,MIN($D$11,G36),G36*$D$11),IF($E$11="",9E+99,$E$11)),0),ROUNDUP(MIN(IF($D$11&gt;=1,MIN($D$11,G36),G36*$D$11),IF($E$11="",9E+99,$E$11)),0))))</f>
        <v/>
      </c>
      <c r="K36" s="20">
        <f>IF(G36="","",IF(OR($D$12="",$H$12="X",G36&lt;N($C$12)),0,IF(B36="G마켓",ROUNDDOWN(MIN(IF($D$12&gt;=1,MIN($D$12,G36),G36*$D$12),IF($E$12="",9E+99,$E$12)),0),ROUNDUP(MIN(IF($D$12&gt;=1,MIN($D$12,G36),G36*$D$12),IF($E$12="",9E+99,$E$12)),0))))</f>
        <v/>
      </c>
      <c r="L36" s="20">
        <f>IF(G36="","",IF(OR($D$13="",$H$13="X",G36&lt;N($C$13)),0,IF(B36="G마켓",ROUNDDOWN(MIN(IF($D$13&gt;=1,MIN($D$13,G36),G36*$D$13),IF($E$13="",9E+99,$E$13)),0),ROUNDUP(MIN(IF($D$13&gt;=1,MIN($D$13,G36),G36*$D$13),IF($E$13="",9E+99,$E$13)),0))))</f>
        <v/>
      </c>
      <c r="M36" s="20">
        <f>IF(G36="","",IF(OR($D$14="",$H$14="X",G36&lt;N($C$14)),0,IF(B36="G마켓",ROUNDDOWN(MIN(IF($D$14&gt;=1,MIN($D$14,G36),G36*$D$14),IF($E$14="",9E+99,$E$14)),0),ROUNDUP(MIN(IF($D$14&gt;=1,MIN($D$14,G36),G36*$D$14),IF($E$14="",9E+99,$E$14)),0))))</f>
        <v/>
      </c>
      <c r="N36" s="19">
        <f>IF(G36="","",G36-MAX(I36:M36))</f>
        <v/>
      </c>
      <c r="O36" s="20">
        <f>IF(N36="","",IF(OR($D$18="",$H$18="X",N36&lt;N($C$18)),0,IF(B36="G마켓",ROUNDDOWN(MIN(IF($D$18&gt;=1,MIN($D$18,N36),N36*$D$18),IF($E$18="",9E+99,$E$18)),0),ROUNDUP(MIN(IF($D$18&gt;=1,MIN($D$18,N36),N36*$D$18),IF($E$18="",9E+99,$E$18)),0))))</f>
        <v/>
      </c>
      <c r="P36" s="20">
        <f>IF(N36="","",IF(OR($D$19="",$H$19="X",N36&lt;N($C$19)),0,IF(B36="G마켓",ROUNDDOWN(MIN(IF($D$19&gt;=1,MIN($D$19,N36),N36*$D$19),IF($E$19="",9E+99,$E$19)),0),ROUNDUP(MIN(IF($D$19&gt;=1,MIN($D$19,N36),N36*$D$19),IF($E$19="",9E+99,$E$19)),0))))</f>
        <v/>
      </c>
      <c r="Q36" s="20">
        <f>IF(N36="","",IF(OR($D$20="",$H$20="X",N36&lt;N($C$20)),0,IF(B36="G마켓",ROUNDDOWN(MIN(IF($D$20&gt;=1,MIN($D$20,N36),N36*$D$20),IF($E$20="",9E+99,$E$20)),0),ROUNDUP(MIN(IF($D$20&gt;=1,MIN($D$20,N36),N36*$D$20),IF($E$20="",9E+99,$E$20)),0))))</f>
        <v/>
      </c>
      <c r="R36" s="20">
        <f>IF(N36="","",IF(OR($D$21="",$H$21="X",N36&lt;N($C$21)),0,IF(B36="G마켓",ROUNDDOWN(MIN(IF($D$21&gt;=1,MIN($D$21,N36),N36*$D$21),IF($E$21="",9E+99,$E$21)),0),ROUNDUP(MIN(IF($D$21&gt;=1,MIN($D$21,N36),N36*$D$21),IF($E$21="",9E+99,$E$21)),0))))</f>
        <v/>
      </c>
      <c r="S36" s="19">
        <f>IF(G36="","",N36-MAX(O36:R36))</f>
        <v/>
      </c>
      <c r="T36" s="20">
        <f>IF(S36="","",IF(OR($D$25="",S36&lt;N($C$25)),0,IF(B36="G마켓",ROUNDDOWN(MIN(IF($D$25&gt;=1,MIN($D$25,S36),S36*$D$25),IF($E$25="",9E+99,$E$25)),0),ROUNDUP(MIN(IF($D$25&gt;=1,MIN($D$25,S36),S36*$D$25),IF($E$25="",9E+99,$E$25)),0))))</f>
        <v/>
      </c>
      <c r="U36" s="20">
        <f>IF(S36="","",IF(OR($D$26="",S36&lt;N($C$26)),0,IF(B36="G마켓",ROUNDDOWN(MIN(IF($D$26&gt;=1,MIN($D$26,S36),S36*$D$26),IF($E$26="",9E+99,$E$26)),0),ROUNDUP(MIN(IF($D$26&gt;=1,MIN($D$26,S36),S36*$D$26),IF($E$26="",9E+99,$E$26)),0))))</f>
        <v/>
      </c>
      <c r="V36" s="20">
        <f>IF(S36="","",IF(OR($D$27="",S36&lt;N($C$27)),0,IF(B36="G마켓",ROUNDDOWN(MIN(IF($D$27&gt;=1,MIN($D$27,S36),S36*$D$27),IF($E$27="",9E+99,$E$27)),0),ROUNDUP(MIN(IF($D$27&gt;=1,MIN($D$27,S36),S36*$D$27),IF($E$27="",9E+99,$E$27)),0))))</f>
        <v/>
      </c>
      <c r="W36" s="19">
        <f>IF(G36="","",MAX(T36:V36))</f>
        <v/>
      </c>
      <c r="X36" s="21">
        <f>IF(G36="","",S36-W36)</f>
        <v/>
      </c>
      <c r="Y36" s="19">
        <f>IF(G36="","",IF(B36="G마켓",ROUNDDOWN(MAX(I36*N($G$10),J36*N($G$11),K36*N($G$12),L36*N($G$13),M36*N($G$14))+MAX(O36*N($G$18),P36*N($G$19),Q36*N($G$20),R36*N($G$21))+MAX(T36*N($G$25),U36*N($G$26),V36*N($G$27)),0),ROUNDUP(MAX(I36*N($G$10),J36*N($G$11),K36*N($G$12),L36*N($G$13),M36*N($G$14))+MAX(O36*N($G$18),P36*N($G$19),Q36*N($G$20),R36*N($G$21))+MAX(T36*N($G$25),U36*N($G$26),V36*N($G$27)),0)))</f>
        <v/>
      </c>
      <c r="Z36" s="21">
        <f>IF(G36="","",IF(B36="G마켓",ROUNDDOWN(G36-G36*$Q$6-Y36,0),ROUNDUP(G36-G36*$Q$6-Y36,0)))</f>
        <v/>
      </c>
    </row>
    <row r="37">
      <c r="B37" s="7" t="n"/>
      <c r="C37" s="7" t="n"/>
      <c r="D37" s="22" t="n"/>
      <c r="E37" s="23" t="n"/>
      <c r="F37" s="23" t="n"/>
      <c r="G37" s="19">
        <f>IF(E37="","",E37-N(F37))</f>
        <v/>
      </c>
      <c r="I37" s="20">
        <f>IF(G37="","",IF(OR($D$10="",$H$10="X",G37&lt;N($C$10)),0,IF(B37="G마켓",ROUNDDOWN(MIN(IF($D$10&gt;=1,MIN($D$10,G37),G37*$D$10),IF($E$10="",9E+99,$E$10)),0),ROUNDUP(MIN(IF($D$10&gt;=1,MIN($D$10,G37),G37*$D$10),IF($E$10="",9E+99,$E$10)),0))))</f>
        <v/>
      </c>
      <c r="J37" s="20">
        <f>IF(G37="","",IF(OR($D$11="",$H$11="X",G37&lt;N($C$11)),0,IF(B37="G마켓",ROUNDDOWN(MIN(IF($D$11&gt;=1,MIN($D$11,G37),G37*$D$11),IF($E$11="",9E+99,$E$11)),0),ROUNDUP(MIN(IF($D$11&gt;=1,MIN($D$11,G37),G37*$D$11),IF($E$11="",9E+99,$E$11)),0))))</f>
        <v/>
      </c>
      <c r="K37" s="20">
        <f>IF(G37="","",IF(OR($D$12="",$H$12="X",G37&lt;N($C$12)),0,IF(B37="G마켓",ROUNDDOWN(MIN(IF($D$12&gt;=1,MIN($D$12,G37),G37*$D$12),IF($E$12="",9E+99,$E$12)),0),ROUNDUP(MIN(IF($D$12&gt;=1,MIN($D$12,G37),G37*$D$12),IF($E$12="",9E+99,$E$12)),0))))</f>
        <v/>
      </c>
      <c r="L37" s="20">
        <f>IF(G37="","",IF(OR($D$13="",$H$13="X",G37&lt;N($C$13)),0,IF(B37="G마켓",ROUNDDOWN(MIN(IF($D$13&gt;=1,MIN($D$13,G37),G37*$D$13),IF($E$13="",9E+99,$E$13)),0),ROUNDUP(MIN(IF($D$13&gt;=1,MIN($D$13,G37),G37*$D$13),IF($E$13="",9E+99,$E$13)),0))))</f>
        <v/>
      </c>
      <c r="M37" s="20">
        <f>IF(G37="","",IF(OR($D$14="",$H$14="X",G37&lt;N($C$14)),0,IF(B37="G마켓",ROUNDDOWN(MIN(IF($D$14&gt;=1,MIN($D$14,G37),G37*$D$14),IF($E$14="",9E+99,$E$14)),0),ROUNDUP(MIN(IF($D$14&gt;=1,MIN($D$14,G37),G37*$D$14),IF($E$14="",9E+99,$E$14)),0))))</f>
        <v/>
      </c>
      <c r="N37" s="19">
        <f>IF(G37="","",G37-MAX(I37:M37))</f>
        <v/>
      </c>
      <c r="O37" s="20">
        <f>IF(N37="","",IF(OR($D$18="",$H$18="X",N37&lt;N($C$18)),0,IF(B37="G마켓",ROUNDDOWN(MIN(IF($D$18&gt;=1,MIN($D$18,N37),N37*$D$18),IF($E$18="",9E+99,$E$18)),0),ROUNDUP(MIN(IF($D$18&gt;=1,MIN($D$18,N37),N37*$D$18),IF($E$18="",9E+99,$E$18)),0))))</f>
        <v/>
      </c>
      <c r="P37" s="20">
        <f>IF(N37="","",IF(OR($D$19="",$H$19="X",N37&lt;N($C$19)),0,IF(B37="G마켓",ROUNDDOWN(MIN(IF($D$19&gt;=1,MIN($D$19,N37),N37*$D$19),IF($E$19="",9E+99,$E$19)),0),ROUNDUP(MIN(IF($D$19&gt;=1,MIN($D$19,N37),N37*$D$19),IF($E$19="",9E+99,$E$19)),0))))</f>
        <v/>
      </c>
      <c r="Q37" s="20">
        <f>IF(N37="","",IF(OR($D$20="",$H$20="X",N37&lt;N($C$20)),0,IF(B37="G마켓",ROUNDDOWN(MIN(IF($D$20&gt;=1,MIN($D$20,N37),N37*$D$20),IF($E$20="",9E+99,$E$20)),0),ROUNDUP(MIN(IF($D$20&gt;=1,MIN($D$20,N37),N37*$D$20),IF($E$20="",9E+99,$E$20)),0))))</f>
        <v/>
      </c>
      <c r="R37" s="20">
        <f>IF(N37="","",IF(OR($D$21="",$H$21="X",N37&lt;N($C$21)),0,IF(B37="G마켓",ROUNDDOWN(MIN(IF($D$21&gt;=1,MIN($D$21,N37),N37*$D$21),IF($E$21="",9E+99,$E$21)),0),ROUNDUP(MIN(IF($D$21&gt;=1,MIN($D$21,N37),N37*$D$21),IF($E$21="",9E+99,$E$21)),0))))</f>
        <v/>
      </c>
      <c r="S37" s="19">
        <f>IF(G37="","",N37-MAX(O37:R37))</f>
        <v/>
      </c>
      <c r="T37" s="20">
        <f>IF(S37="","",IF(OR($D$25="",S37&lt;N($C$25)),0,IF(B37="G마켓",ROUNDDOWN(MIN(IF($D$25&gt;=1,MIN($D$25,S37),S37*$D$25),IF($E$25="",9E+99,$E$25)),0),ROUNDUP(MIN(IF($D$25&gt;=1,MIN($D$25,S37),S37*$D$25),IF($E$25="",9E+99,$E$25)),0))))</f>
        <v/>
      </c>
      <c r="U37" s="20">
        <f>IF(S37="","",IF(OR($D$26="",S37&lt;N($C$26)),0,IF(B37="G마켓",ROUNDDOWN(MIN(IF($D$26&gt;=1,MIN($D$26,S37),S37*$D$26),IF($E$26="",9E+99,$E$26)),0),ROUNDUP(MIN(IF($D$26&gt;=1,MIN($D$26,S37),S37*$D$26),IF($E$26="",9E+99,$E$26)),0))))</f>
        <v/>
      </c>
      <c r="V37" s="20">
        <f>IF(S37="","",IF(OR($D$27="",S37&lt;N($C$27)),0,IF(B37="G마켓",ROUNDDOWN(MIN(IF($D$27&gt;=1,MIN($D$27,S37),S37*$D$27),IF($E$27="",9E+99,$E$27)),0),ROUNDUP(MIN(IF($D$27&gt;=1,MIN($D$27,S37),S37*$D$27),IF($E$27="",9E+99,$E$27)),0))))</f>
        <v/>
      </c>
      <c r="W37" s="19">
        <f>IF(G37="","",MAX(T37:V37))</f>
        <v/>
      </c>
      <c r="X37" s="21">
        <f>IF(G37="","",S37-W37)</f>
        <v/>
      </c>
      <c r="Y37" s="19">
        <f>IF(G37="","",IF(B37="G마켓",ROUNDDOWN(MAX(I37*N($G$10),J37*N($G$11),K37*N($G$12),L37*N($G$13),M37*N($G$14))+MAX(O37*N($G$18),P37*N($G$19),Q37*N($G$20),R37*N($G$21))+MAX(T37*N($G$25),U37*N($G$26),V37*N($G$27)),0),ROUNDUP(MAX(I37*N($G$10),J37*N($G$11),K37*N($G$12),L37*N($G$13),M37*N($G$14))+MAX(O37*N($G$18),P37*N($G$19),Q37*N($G$20),R37*N($G$21))+MAX(T37*N($G$25),U37*N($G$26),V37*N($G$27)),0)))</f>
        <v/>
      </c>
      <c r="Z37" s="21">
        <f>IF(G37="","",IF(B37="G마켓",ROUNDDOWN(G37-G37*$Q$6-Y37,0),ROUNDUP(G37-G37*$Q$6-Y37,0)))</f>
        <v/>
      </c>
    </row>
    <row r="38">
      <c r="B38" s="7" t="n"/>
      <c r="C38" s="7" t="n"/>
      <c r="D38" s="22" t="n"/>
      <c r="E38" s="23" t="n"/>
      <c r="F38" s="23" t="n"/>
      <c r="G38" s="19">
        <f>IF(E38="","",E38-N(F38))</f>
        <v/>
      </c>
      <c r="I38" s="20">
        <f>IF(G38="","",IF(OR($D$10="",$H$10="X",G38&lt;N($C$10)),0,IF(B38="G마켓",ROUNDDOWN(MIN(IF($D$10&gt;=1,MIN($D$10,G38),G38*$D$10),IF($E$10="",9E+99,$E$10)),0),ROUNDUP(MIN(IF($D$10&gt;=1,MIN($D$10,G38),G38*$D$10),IF($E$10="",9E+99,$E$10)),0))))</f>
        <v/>
      </c>
      <c r="J38" s="20">
        <f>IF(G38="","",IF(OR($D$11="",$H$11="X",G38&lt;N($C$11)),0,IF(B38="G마켓",ROUNDDOWN(MIN(IF($D$11&gt;=1,MIN($D$11,G38),G38*$D$11),IF($E$11="",9E+99,$E$11)),0),ROUNDUP(MIN(IF($D$11&gt;=1,MIN($D$11,G38),G38*$D$11),IF($E$11="",9E+99,$E$11)),0))))</f>
        <v/>
      </c>
      <c r="K38" s="20">
        <f>IF(G38="","",IF(OR($D$12="",$H$12="X",G38&lt;N($C$12)),0,IF(B38="G마켓",ROUNDDOWN(MIN(IF($D$12&gt;=1,MIN($D$12,G38),G38*$D$12),IF($E$12="",9E+99,$E$12)),0),ROUNDUP(MIN(IF($D$12&gt;=1,MIN($D$12,G38),G38*$D$12),IF($E$12="",9E+99,$E$12)),0))))</f>
        <v/>
      </c>
      <c r="L38" s="20">
        <f>IF(G38="","",IF(OR($D$13="",$H$13="X",G38&lt;N($C$13)),0,IF(B38="G마켓",ROUNDDOWN(MIN(IF($D$13&gt;=1,MIN($D$13,G38),G38*$D$13),IF($E$13="",9E+99,$E$13)),0),ROUNDUP(MIN(IF($D$13&gt;=1,MIN($D$13,G38),G38*$D$13),IF($E$13="",9E+99,$E$13)),0))))</f>
        <v/>
      </c>
      <c r="M38" s="20">
        <f>IF(G38="","",IF(OR($D$14="",$H$14="X",G38&lt;N($C$14)),0,IF(B38="G마켓",ROUNDDOWN(MIN(IF($D$14&gt;=1,MIN($D$14,G38),G38*$D$14),IF($E$14="",9E+99,$E$14)),0),ROUNDUP(MIN(IF($D$14&gt;=1,MIN($D$14,G38),G38*$D$14),IF($E$14="",9E+99,$E$14)),0))))</f>
        <v/>
      </c>
      <c r="N38" s="19">
        <f>IF(G38="","",G38-MAX(I38:M38))</f>
        <v/>
      </c>
      <c r="O38" s="20">
        <f>IF(N38="","",IF(OR($D$18="",$H$18="X",N38&lt;N($C$18)),0,IF(B38="G마켓",ROUNDDOWN(MIN(IF($D$18&gt;=1,MIN($D$18,N38),N38*$D$18),IF($E$18="",9E+99,$E$18)),0),ROUNDUP(MIN(IF($D$18&gt;=1,MIN($D$18,N38),N38*$D$18),IF($E$18="",9E+99,$E$18)),0))))</f>
        <v/>
      </c>
      <c r="P38" s="20">
        <f>IF(N38="","",IF(OR($D$19="",$H$19="X",N38&lt;N($C$19)),0,IF(B38="G마켓",ROUNDDOWN(MIN(IF($D$19&gt;=1,MIN($D$19,N38),N38*$D$19),IF($E$19="",9E+99,$E$19)),0),ROUNDUP(MIN(IF($D$19&gt;=1,MIN($D$19,N38),N38*$D$19),IF($E$19="",9E+99,$E$19)),0))))</f>
        <v/>
      </c>
      <c r="Q38" s="20">
        <f>IF(N38="","",IF(OR($D$20="",$H$20="X",N38&lt;N($C$20)),0,IF(B38="G마켓",ROUNDDOWN(MIN(IF($D$20&gt;=1,MIN($D$20,N38),N38*$D$20),IF($E$20="",9E+99,$E$20)),0),ROUNDUP(MIN(IF($D$20&gt;=1,MIN($D$20,N38),N38*$D$20),IF($E$20="",9E+99,$E$20)),0))))</f>
        <v/>
      </c>
      <c r="R38" s="20">
        <f>IF(N38="","",IF(OR($D$21="",$H$21="X",N38&lt;N($C$21)),0,IF(B38="G마켓",ROUNDDOWN(MIN(IF($D$21&gt;=1,MIN($D$21,N38),N38*$D$21),IF($E$21="",9E+99,$E$21)),0),ROUNDUP(MIN(IF($D$21&gt;=1,MIN($D$21,N38),N38*$D$21),IF($E$21="",9E+99,$E$21)),0))))</f>
        <v/>
      </c>
      <c r="S38" s="19">
        <f>IF(G38="","",N38-MAX(O38:R38))</f>
        <v/>
      </c>
      <c r="T38" s="20">
        <f>IF(S38="","",IF(OR($D$25="",S38&lt;N($C$25)),0,IF(B38="G마켓",ROUNDDOWN(MIN(IF($D$25&gt;=1,MIN($D$25,S38),S38*$D$25),IF($E$25="",9E+99,$E$25)),0),ROUNDUP(MIN(IF($D$25&gt;=1,MIN($D$25,S38),S38*$D$25),IF($E$25="",9E+99,$E$25)),0))))</f>
        <v/>
      </c>
      <c r="U38" s="20">
        <f>IF(S38="","",IF(OR($D$26="",S38&lt;N($C$26)),0,IF(B38="G마켓",ROUNDDOWN(MIN(IF($D$26&gt;=1,MIN($D$26,S38),S38*$D$26),IF($E$26="",9E+99,$E$26)),0),ROUNDUP(MIN(IF($D$26&gt;=1,MIN($D$26,S38),S38*$D$26),IF($E$26="",9E+99,$E$26)),0))))</f>
        <v/>
      </c>
      <c r="V38" s="20">
        <f>IF(S38="","",IF(OR($D$27="",S38&lt;N($C$27)),0,IF(B38="G마켓",ROUNDDOWN(MIN(IF($D$27&gt;=1,MIN($D$27,S38),S38*$D$27),IF($E$27="",9E+99,$E$27)),0),ROUNDUP(MIN(IF($D$27&gt;=1,MIN($D$27,S38),S38*$D$27),IF($E$27="",9E+99,$E$27)),0))))</f>
        <v/>
      </c>
      <c r="W38" s="19">
        <f>IF(G38="","",MAX(T38:V38))</f>
        <v/>
      </c>
      <c r="X38" s="21">
        <f>IF(G38="","",S38-W38)</f>
        <v/>
      </c>
      <c r="Y38" s="19">
        <f>IF(G38="","",IF(B38="G마켓",ROUNDDOWN(MAX(I38*N($G$10),J38*N($G$11),K38*N($G$12),L38*N($G$13),M38*N($G$14))+MAX(O38*N($G$18),P38*N($G$19),Q38*N($G$20),R38*N($G$21))+MAX(T38*N($G$25),U38*N($G$26),V38*N($G$27)),0),ROUNDUP(MAX(I38*N($G$10),J38*N($G$11),K38*N($G$12),L38*N($G$13),M38*N($G$14))+MAX(O38*N($G$18),P38*N($G$19),Q38*N($G$20),R38*N($G$21))+MAX(T38*N($G$25),U38*N($G$26),V38*N($G$27)),0)))</f>
        <v/>
      </c>
      <c r="Z38" s="21">
        <f>IF(G38="","",IF(B38="G마켓",ROUNDDOWN(G38-G38*$Q$6-Y38,0),ROUNDUP(G38-G38*$Q$6-Y38,0)))</f>
        <v/>
      </c>
    </row>
    <row r="39">
      <c r="B39" s="7" t="n"/>
      <c r="C39" s="7" t="n"/>
      <c r="D39" s="22" t="n"/>
      <c r="E39" s="23" t="n"/>
      <c r="F39" s="23" t="n"/>
      <c r="G39" s="19">
        <f>IF(E39="","",E39-N(F39))</f>
        <v/>
      </c>
      <c r="I39" s="20">
        <f>IF(G39="","",IF(OR($D$10="",$H$10="X",G39&lt;N($C$10)),0,IF(B39="G마켓",ROUNDDOWN(MIN(IF($D$10&gt;=1,MIN($D$10,G39),G39*$D$10),IF($E$10="",9E+99,$E$10)),0),ROUNDUP(MIN(IF($D$10&gt;=1,MIN($D$10,G39),G39*$D$10),IF($E$10="",9E+99,$E$10)),0))))</f>
        <v/>
      </c>
      <c r="J39" s="20">
        <f>IF(G39="","",IF(OR($D$11="",$H$11="X",G39&lt;N($C$11)),0,IF(B39="G마켓",ROUNDDOWN(MIN(IF($D$11&gt;=1,MIN($D$11,G39),G39*$D$11),IF($E$11="",9E+99,$E$11)),0),ROUNDUP(MIN(IF($D$11&gt;=1,MIN($D$11,G39),G39*$D$11),IF($E$11="",9E+99,$E$11)),0))))</f>
        <v/>
      </c>
      <c r="K39" s="20">
        <f>IF(G39="","",IF(OR($D$12="",$H$12="X",G39&lt;N($C$12)),0,IF(B39="G마켓",ROUNDDOWN(MIN(IF($D$12&gt;=1,MIN($D$12,G39),G39*$D$12),IF($E$12="",9E+99,$E$12)),0),ROUNDUP(MIN(IF($D$12&gt;=1,MIN($D$12,G39),G39*$D$12),IF($E$12="",9E+99,$E$12)),0))))</f>
        <v/>
      </c>
      <c r="L39" s="20">
        <f>IF(G39="","",IF(OR($D$13="",$H$13="X",G39&lt;N($C$13)),0,IF(B39="G마켓",ROUNDDOWN(MIN(IF($D$13&gt;=1,MIN($D$13,G39),G39*$D$13),IF($E$13="",9E+99,$E$13)),0),ROUNDUP(MIN(IF($D$13&gt;=1,MIN($D$13,G39),G39*$D$13),IF($E$13="",9E+99,$E$13)),0))))</f>
        <v/>
      </c>
      <c r="M39" s="20">
        <f>IF(G39="","",IF(OR($D$14="",$H$14="X",G39&lt;N($C$14)),0,IF(B39="G마켓",ROUNDDOWN(MIN(IF($D$14&gt;=1,MIN($D$14,G39),G39*$D$14),IF($E$14="",9E+99,$E$14)),0),ROUNDUP(MIN(IF($D$14&gt;=1,MIN($D$14,G39),G39*$D$14),IF($E$14="",9E+99,$E$14)),0))))</f>
        <v/>
      </c>
      <c r="N39" s="19">
        <f>IF(G39="","",G39-MAX(I39:M39))</f>
        <v/>
      </c>
      <c r="O39" s="20">
        <f>IF(N39="","",IF(OR($D$18="",$H$18="X",N39&lt;N($C$18)),0,IF(B39="G마켓",ROUNDDOWN(MIN(IF($D$18&gt;=1,MIN($D$18,N39),N39*$D$18),IF($E$18="",9E+99,$E$18)),0),ROUNDUP(MIN(IF($D$18&gt;=1,MIN($D$18,N39),N39*$D$18),IF($E$18="",9E+99,$E$18)),0))))</f>
        <v/>
      </c>
      <c r="P39" s="20">
        <f>IF(N39="","",IF(OR($D$19="",$H$19="X",N39&lt;N($C$19)),0,IF(B39="G마켓",ROUNDDOWN(MIN(IF($D$19&gt;=1,MIN($D$19,N39),N39*$D$19),IF($E$19="",9E+99,$E$19)),0),ROUNDUP(MIN(IF($D$19&gt;=1,MIN($D$19,N39),N39*$D$19),IF($E$19="",9E+99,$E$19)),0))))</f>
        <v/>
      </c>
      <c r="Q39" s="20">
        <f>IF(N39="","",IF(OR($D$20="",$H$20="X",N39&lt;N($C$20)),0,IF(B39="G마켓",ROUNDDOWN(MIN(IF($D$20&gt;=1,MIN($D$20,N39),N39*$D$20),IF($E$20="",9E+99,$E$20)),0),ROUNDUP(MIN(IF($D$20&gt;=1,MIN($D$20,N39),N39*$D$20),IF($E$20="",9E+99,$E$20)),0))))</f>
        <v/>
      </c>
      <c r="R39" s="20">
        <f>IF(N39="","",IF(OR($D$21="",$H$21="X",N39&lt;N($C$21)),0,IF(B39="G마켓",ROUNDDOWN(MIN(IF($D$21&gt;=1,MIN($D$21,N39),N39*$D$21),IF($E$21="",9E+99,$E$21)),0),ROUNDUP(MIN(IF($D$21&gt;=1,MIN($D$21,N39),N39*$D$21),IF($E$21="",9E+99,$E$21)),0))))</f>
        <v/>
      </c>
      <c r="S39" s="19">
        <f>IF(G39="","",N39-MAX(O39:R39))</f>
        <v/>
      </c>
      <c r="T39" s="20">
        <f>IF(S39="","",IF(OR($D$25="",S39&lt;N($C$25)),0,IF(B39="G마켓",ROUNDDOWN(MIN(IF($D$25&gt;=1,MIN($D$25,S39),S39*$D$25),IF($E$25="",9E+99,$E$25)),0),ROUNDUP(MIN(IF($D$25&gt;=1,MIN($D$25,S39),S39*$D$25),IF($E$25="",9E+99,$E$25)),0))))</f>
        <v/>
      </c>
      <c r="U39" s="20">
        <f>IF(S39="","",IF(OR($D$26="",S39&lt;N($C$26)),0,IF(B39="G마켓",ROUNDDOWN(MIN(IF($D$26&gt;=1,MIN($D$26,S39),S39*$D$26),IF($E$26="",9E+99,$E$26)),0),ROUNDUP(MIN(IF($D$26&gt;=1,MIN($D$26,S39),S39*$D$26),IF($E$26="",9E+99,$E$26)),0))))</f>
        <v/>
      </c>
      <c r="V39" s="20">
        <f>IF(S39="","",IF(OR($D$27="",S39&lt;N($C$27)),0,IF(B39="G마켓",ROUNDDOWN(MIN(IF($D$27&gt;=1,MIN($D$27,S39),S39*$D$27),IF($E$27="",9E+99,$E$27)),0),ROUNDUP(MIN(IF($D$27&gt;=1,MIN($D$27,S39),S39*$D$27),IF($E$27="",9E+99,$E$27)),0))))</f>
        <v/>
      </c>
      <c r="W39" s="19">
        <f>IF(G39="","",MAX(T39:V39))</f>
        <v/>
      </c>
      <c r="X39" s="21">
        <f>IF(G39="","",S39-W39)</f>
        <v/>
      </c>
      <c r="Y39" s="19">
        <f>IF(G39="","",IF(B39="G마켓",ROUNDDOWN(MAX(I39*N($G$10),J39*N($G$11),K39*N($G$12),L39*N($G$13),M39*N($G$14))+MAX(O39*N($G$18),P39*N($G$19),Q39*N($G$20),R39*N($G$21))+MAX(T39*N($G$25),U39*N($G$26),V39*N($G$27)),0),ROUNDUP(MAX(I39*N($G$10),J39*N($G$11),K39*N($G$12),L39*N($G$13),M39*N($G$14))+MAX(O39*N($G$18),P39*N($G$19),Q39*N($G$20),R39*N($G$21))+MAX(T39*N($G$25),U39*N($G$26),V39*N($G$27)),0)))</f>
        <v/>
      </c>
      <c r="Z39" s="21">
        <f>IF(G39="","",IF(B39="G마켓",ROUNDDOWN(G39-G39*$Q$6-Y39,0),ROUNDUP(G39-G39*$Q$6-Y39,0)))</f>
        <v/>
      </c>
    </row>
    <row r="40">
      <c r="B40" s="7" t="n"/>
      <c r="C40" s="7" t="n"/>
      <c r="D40" s="22" t="n"/>
      <c r="E40" s="23" t="n"/>
      <c r="F40" s="23" t="n"/>
      <c r="G40" s="19">
        <f>IF(E40="","",E40-N(F40))</f>
        <v/>
      </c>
      <c r="I40" s="20">
        <f>IF(G40="","",IF(OR($D$10="",$H$10="X",G40&lt;N($C$10)),0,IF(B40="G마켓",ROUNDDOWN(MIN(IF($D$10&gt;=1,MIN($D$10,G40),G40*$D$10),IF($E$10="",9E+99,$E$10)),0),ROUNDUP(MIN(IF($D$10&gt;=1,MIN($D$10,G40),G40*$D$10),IF($E$10="",9E+99,$E$10)),0))))</f>
        <v/>
      </c>
      <c r="J40" s="20">
        <f>IF(G40="","",IF(OR($D$11="",$H$11="X",G40&lt;N($C$11)),0,IF(B40="G마켓",ROUNDDOWN(MIN(IF($D$11&gt;=1,MIN($D$11,G40),G40*$D$11),IF($E$11="",9E+99,$E$11)),0),ROUNDUP(MIN(IF($D$11&gt;=1,MIN($D$11,G40),G40*$D$11),IF($E$11="",9E+99,$E$11)),0))))</f>
        <v/>
      </c>
      <c r="K40" s="20">
        <f>IF(G40="","",IF(OR($D$12="",$H$12="X",G40&lt;N($C$12)),0,IF(B40="G마켓",ROUNDDOWN(MIN(IF($D$12&gt;=1,MIN($D$12,G40),G40*$D$12),IF($E$12="",9E+99,$E$12)),0),ROUNDUP(MIN(IF($D$12&gt;=1,MIN($D$12,G40),G40*$D$12),IF($E$12="",9E+99,$E$12)),0))))</f>
        <v/>
      </c>
      <c r="L40" s="20">
        <f>IF(G40="","",IF(OR($D$13="",$H$13="X",G40&lt;N($C$13)),0,IF(B40="G마켓",ROUNDDOWN(MIN(IF($D$13&gt;=1,MIN($D$13,G40),G40*$D$13),IF($E$13="",9E+99,$E$13)),0),ROUNDUP(MIN(IF($D$13&gt;=1,MIN($D$13,G40),G40*$D$13),IF($E$13="",9E+99,$E$13)),0))))</f>
        <v/>
      </c>
      <c r="M40" s="20">
        <f>IF(G40="","",IF(OR($D$14="",$H$14="X",G40&lt;N($C$14)),0,IF(B40="G마켓",ROUNDDOWN(MIN(IF($D$14&gt;=1,MIN($D$14,G40),G40*$D$14),IF($E$14="",9E+99,$E$14)),0),ROUNDUP(MIN(IF($D$14&gt;=1,MIN($D$14,G40),G40*$D$14),IF($E$14="",9E+99,$E$14)),0))))</f>
        <v/>
      </c>
      <c r="N40" s="19">
        <f>IF(G40="","",G40-MAX(I40:M40))</f>
        <v/>
      </c>
      <c r="O40" s="20">
        <f>IF(N40="","",IF(OR($D$18="",$H$18="X",N40&lt;N($C$18)),0,IF(B40="G마켓",ROUNDDOWN(MIN(IF($D$18&gt;=1,MIN($D$18,N40),N40*$D$18),IF($E$18="",9E+99,$E$18)),0),ROUNDUP(MIN(IF($D$18&gt;=1,MIN($D$18,N40),N40*$D$18),IF($E$18="",9E+99,$E$18)),0))))</f>
        <v/>
      </c>
      <c r="P40" s="20">
        <f>IF(N40="","",IF(OR($D$19="",$H$19="X",N40&lt;N($C$19)),0,IF(B40="G마켓",ROUNDDOWN(MIN(IF($D$19&gt;=1,MIN($D$19,N40),N40*$D$19),IF($E$19="",9E+99,$E$19)),0),ROUNDUP(MIN(IF($D$19&gt;=1,MIN($D$19,N40),N40*$D$19),IF($E$19="",9E+99,$E$19)),0))))</f>
        <v/>
      </c>
      <c r="Q40" s="20">
        <f>IF(N40="","",IF(OR($D$20="",$H$20="X",N40&lt;N($C$20)),0,IF(B40="G마켓",ROUNDDOWN(MIN(IF($D$20&gt;=1,MIN($D$20,N40),N40*$D$20),IF($E$20="",9E+99,$E$20)),0),ROUNDUP(MIN(IF($D$20&gt;=1,MIN($D$20,N40),N40*$D$20),IF($E$20="",9E+99,$E$20)),0))))</f>
        <v/>
      </c>
      <c r="R40" s="20">
        <f>IF(N40="","",IF(OR($D$21="",$H$21="X",N40&lt;N($C$21)),0,IF(B40="G마켓",ROUNDDOWN(MIN(IF($D$21&gt;=1,MIN($D$21,N40),N40*$D$21),IF($E$21="",9E+99,$E$21)),0),ROUNDUP(MIN(IF($D$21&gt;=1,MIN($D$21,N40),N40*$D$21),IF($E$21="",9E+99,$E$21)),0))))</f>
        <v/>
      </c>
      <c r="S40" s="19">
        <f>IF(G40="","",N40-MAX(O40:R40))</f>
        <v/>
      </c>
      <c r="T40" s="20">
        <f>IF(S40="","",IF(OR($D$25="",S40&lt;N($C$25)),0,IF(B40="G마켓",ROUNDDOWN(MIN(IF($D$25&gt;=1,MIN($D$25,S40),S40*$D$25),IF($E$25="",9E+99,$E$25)),0),ROUNDUP(MIN(IF($D$25&gt;=1,MIN($D$25,S40),S40*$D$25),IF($E$25="",9E+99,$E$25)),0))))</f>
        <v/>
      </c>
      <c r="U40" s="20">
        <f>IF(S40="","",IF(OR($D$26="",S40&lt;N($C$26)),0,IF(B40="G마켓",ROUNDDOWN(MIN(IF($D$26&gt;=1,MIN($D$26,S40),S40*$D$26),IF($E$26="",9E+99,$E$26)),0),ROUNDUP(MIN(IF($D$26&gt;=1,MIN($D$26,S40),S40*$D$26),IF($E$26="",9E+99,$E$26)),0))))</f>
        <v/>
      </c>
      <c r="V40" s="20">
        <f>IF(S40="","",IF(OR($D$27="",S40&lt;N($C$27)),0,IF(B40="G마켓",ROUNDDOWN(MIN(IF($D$27&gt;=1,MIN($D$27,S40),S40*$D$27),IF($E$27="",9E+99,$E$27)),0),ROUNDUP(MIN(IF($D$27&gt;=1,MIN($D$27,S40),S40*$D$27),IF($E$27="",9E+99,$E$27)),0))))</f>
        <v/>
      </c>
      <c r="W40" s="19">
        <f>IF(G40="","",MAX(T40:V40))</f>
        <v/>
      </c>
      <c r="X40" s="21">
        <f>IF(G40="","",S40-W40)</f>
        <v/>
      </c>
      <c r="Y40" s="19">
        <f>IF(G40="","",IF(B40="G마켓",ROUNDDOWN(MAX(I40*N($G$10),J40*N($G$11),K40*N($G$12),L40*N($G$13),M40*N($G$14))+MAX(O40*N($G$18),P40*N($G$19),Q40*N($G$20),R40*N($G$21))+MAX(T40*N($G$25),U40*N($G$26),V40*N($G$27)),0),ROUNDUP(MAX(I40*N($G$10),J40*N($G$11),K40*N($G$12),L40*N($G$13),M40*N($G$14))+MAX(O40*N($G$18),P40*N($G$19),Q40*N($G$20),R40*N($G$21))+MAX(T40*N($G$25),U40*N($G$26),V40*N($G$27)),0)))</f>
        <v/>
      </c>
      <c r="Z40" s="21">
        <f>IF(G40="","",IF(B40="G마켓",ROUNDDOWN(G40-G40*$Q$6-Y40,0),ROUNDUP(G40-G40*$Q$6-Y40,0)))</f>
        <v/>
      </c>
    </row>
    <row r="41">
      <c r="B41" s="7" t="n"/>
      <c r="C41" s="7" t="n"/>
      <c r="D41" s="22" t="n"/>
      <c r="E41" s="23" t="n"/>
      <c r="F41" s="23" t="n"/>
      <c r="G41" s="19">
        <f>IF(E41="","",E41-N(F41))</f>
        <v/>
      </c>
      <c r="I41" s="20">
        <f>IF(G41="","",IF(OR($D$10="",$H$10="X",G41&lt;N($C$10)),0,IF(B41="G마켓",ROUNDDOWN(MIN(IF($D$10&gt;=1,MIN($D$10,G41),G41*$D$10),IF($E$10="",9E+99,$E$10)),0),ROUNDUP(MIN(IF($D$10&gt;=1,MIN($D$10,G41),G41*$D$10),IF($E$10="",9E+99,$E$10)),0))))</f>
        <v/>
      </c>
      <c r="J41" s="20">
        <f>IF(G41="","",IF(OR($D$11="",$H$11="X",G41&lt;N($C$11)),0,IF(B41="G마켓",ROUNDDOWN(MIN(IF($D$11&gt;=1,MIN($D$11,G41),G41*$D$11),IF($E$11="",9E+99,$E$11)),0),ROUNDUP(MIN(IF($D$11&gt;=1,MIN($D$11,G41),G41*$D$11),IF($E$11="",9E+99,$E$11)),0))))</f>
        <v/>
      </c>
      <c r="K41" s="20">
        <f>IF(G41="","",IF(OR($D$12="",$H$12="X",G41&lt;N($C$12)),0,IF(B41="G마켓",ROUNDDOWN(MIN(IF($D$12&gt;=1,MIN($D$12,G41),G41*$D$12),IF($E$12="",9E+99,$E$12)),0),ROUNDUP(MIN(IF($D$12&gt;=1,MIN($D$12,G41),G41*$D$12),IF($E$12="",9E+99,$E$12)),0))))</f>
        <v/>
      </c>
      <c r="L41" s="20">
        <f>IF(G41="","",IF(OR($D$13="",$H$13="X",G41&lt;N($C$13)),0,IF(B41="G마켓",ROUNDDOWN(MIN(IF($D$13&gt;=1,MIN($D$13,G41),G41*$D$13),IF($E$13="",9E+99,$E$13)),0),ROUNDUP(MIN(IF($D$13&gt;=1,MIN($D$13,G41),G41*$D$13),IF($E$13="",9E+99,$E$13)),0))))</f>
        <v/>
      </c>
      <c r="M41" s="20">
        <f>IF(G41="","",IF(OR($D$14="",$H$14="X",G41&lt;N($C$14)),0,IF(B41="G마켓",ROUNDDOWN(MIN(IF($D$14&gt;=1,MIN($D$14,G41),G41*$D$14),IF($E$14="",9E+99,$E$14)),0),ROUNDUP(MIN(IF($D$14&gt;=1,MIN($D$14,G41),G41*$D$14),IF($E$14="",9E+99,$E$14)),0))))</f>
        <v/>
      </c>
      <c r="N41" s="19">
        <f>IF(G41="","",G41-MAX(I41:M41))</f>
        <v/>
      </c>
      <c r="O41" s="20">
        <f>IF(N41="","",IF(OR($D$18="",$H$18="X",N41&lt;N($C$18)),0,IF(B41="G마켓",ROUNDDOWN(MIN(IF($D$18&gt;=1,MIN($D$18,N41),N41*$D$18),IF($E$18="",9E+99,$E$18)),0),ROUNDUP(MIN(IF($D$18&gt;=1,MIN($D$18,N41),N41*$D$18),IF($E$18="",9E+99,$E$18)),0))))</f>
        <v/>
      </c>
      <c r="P41" s="20">
        <f>IF(N41="","",IF(OR($D$19="",$H$19="X",N41&lt;N($C$19)),0,IF(B41="G마켓",ROUNDDOWN(MIN(IF($D$19&gt;=1,MIN($D$19,N41),N41*$D$19),IF($E$19="",9E+99,$E$19)),0),ROUNDUP(MIN(IF($D$19&gt;=1,MIN($D$19,N41),N41*$D$19),IF($E$19="",9E+99,$E$19)),0))))</f>
        <v/>
      </c>
      <c r="Q41" s="20">
        <f>IF(N41="","",IF(OR($D$20="",$H$20="X",N41&lt;N($C$20)),0,IF(B41="G마켓",ROUNDDOWN(MIN(IF($D$20&gt;=1,MIN($D$20,N41),N41*$D$20),IF($E$20="",9E+99,$E$20)),0),ROUNDUP(MIN(IF($D$20&gt;=1,MIN($D$20,N41),N41*$D$20),IF($E$20="",9E+99,$E$20)),0))))</f>
        <v/>
      </c>
      <c r="R41" s="20">
        <f>IF(N41="","",IF(OR($D$21="",$H$21="X",N41&lt;N($C$21)),0,IF(B41="G마켓",ROUNDDOWN(MIN(IF($D$21&gt;=1,MIN($D$21,N41),N41*$D$21),IF($E$21="",9E+99,$E$21)),0),ROUNDUP(MIN(IF($D$21&gt;=1,MIN($D$21,N41),N41*$D$21),IF($E$21="",9E+99,$E$21)),0))))</f>
        <v/>
      </c>
      <c r="S41" s="19">
        <f>IF(G41="","",N41-MAX(O41:R41))</f>
        <v/>
      </c>
      <c r="T41" s="20">
        <f>IF(S41="","",IF(OR($D$25="",S41&lt;N($C$25)),0,IF(B41="G마켓",ROUNDDOWN(MIN(IF($D$25&gt;=1,MIN($D$25,S41),S41*$D$25),IF($E$25="",9E+99,$E$25)),0),ROUNDUP(MIN(IF($D$25&gt;=1,MIN($D$25,S41),S41*$D$25),IF($E$25="",9E+99,$E$25)),0))))</f>
        <v/>
      </c>
      <c r="U41" s="20">
        <f>IF(S41="","",IF(OR($D$26="",S41&lt;N($C$26)),0,IF(B41="G마켓",ROUNDDOWN(MIN(IF($D$26&gt;=1,MIN($D$26,S41),S41*$D$26),IF($E$26="",9E+99,$E$26)),0),ROUNDUP(MIN(IF($D$26&gt;=1,MIN($D$26,S41),S41*$D$26),IF($E$26="",9E+99,$E$26)),0))))</f>
        <v/>
      </c>
      <c r="V41" s="20">
        <f>IF(S41="","",IF(OR($D$27="",S41&lt;N($C$27)),0,IF(B41="G마켓",ROUNDDOWN(MIN(IF($D$27&gt;=1,MIN($D$27,S41),S41*$D$27),IF($E$27="",9E+99,$E$27)),0),ROUNDUP(MIN(IF($D$27&gt;=1,MIN($D$27,S41),S41*$D$27),IF($E$27="",9E+99,$E$27)),0))))</f>
        <v/>
      </c>
      <c r="W41" s="19">
        <f>IF(G41="","",MAX(T41:V41))</f>
        <v/>
      </c>
      <c r="X41" s="21">
        <f>IF(G41="","",S41-W41)</f>
        <v/>
      </c>
      <c r="Y41" s="19">
        <f>IF(G41="","",IF(B41="G마켓",ROUNDDOWN(MAX(I41*N($G$10),J41*N($G$11),K41*N($G$12),L41*N($G$13),M41*N($G$14))+MAX(O41*N($G$18),P41*N($G$19),Q41*N($G$20),R41*N($G$21))+MAX(T41*N($G$25),U41*N($G$26),V41*N($G$27)),0),ROUNDUP(MAX(I41*N($G$10),J41*N($G$11),K41*N($G$12),L41*N($G$13),M41*N($G$14))+MAX(O41*N($G$18),P41*N($G$19),Q41*N($G$20),R41*N($G$21))+MAX(T41*N($G$25),U41*N($G$26),V41*N($G$27)),0)))</f>
        <v/>
      </c>
      <c r="Z41" s="21">
        <f>IF(G41="","",IF(B41="G마켓",ROUNDDOWN(G41-G41*$Q$6-Y41,0),ROUNDUP(G41-G41*$Q$6-Y41,0)))</f>
        <v/>
      </c>
    </row>
    <row r="42">
      <c r="B42" s="7" t="n"/>
      <c r="C42" s="7" t="n"/>
      <c r="D42" s="22" t="n"/>
      <c r="E42" s="23" t="n"/>
      <c r="F42" s="23" t="n"/>
      <c r="G42" s="19">
        <f>IF(E42="","",E42-N(F42))</f>
        <v/>
      </c>
      <c r="I42" s="20">
        <f>IF(G42="","",IF(OR($D$10="",$H$10="X",G42&lt;N($C$10)),0,IF(B42="G마켓",ROUNDDOWN(MIN(IF($D$10&gt;=1,MIN($D$10,G42),G42*$D$10),IF($E$10="",9E+99,$E$10)),0),ROUNDUP(MIN(IF($D$10&gt;=1,MIN($D$10,G42),G42*$D$10),IF($E$10="",9E+99,$E$10)),0))))</f>
        <v/>
      </c>
      <c r="J42" s="20">
        <f>IF(G42="","",IF(OR($D$11="",$H$11="X",G42&lt;N($C$11)),0,IF(B42="G마켓",ROUNDDOWN(MIN(IF($D$11&gt;=1,MIN($D$11,G42),G42*$D$11),IF($E$11="",9E+99,$E$11)),0),ROUNDUP(MIN(IF($D$11&gt;=1,MIN($D$11,G42),G42*$D$11),IF($E$11="",9E+99,$E$11)),0))))</f>
        <v/>
      </c>
      <c r="K42" s="20">
        <f>IF(G42="","",IF(OR($D$12="",$H$12="X",G42&lt;N($C$12)),0,IF(B42="G마켓",ROUNDDOWN(MIN(IF($D$12&gt;=1,MIN($D$12,G42),G42*$D$12),IF($E$12="",9E+99,$E$12)),0),ROUNDUP(MIN(IF($D$12&gt;=1,MIN($D$12,G42),G42*$D$12),IF($E$12="",9E+99,$E$12)),0))))</f>
        <v/>
      </c>
      <c r="L42" s="20">
        <f>IF(G42="","",IF(OR($D$13="",$H$13="X",G42&lt;N($C$13)),0,IF(B42="G마켓",ROUNDDOWN(MIN(IF($D$13&gt;=1,MIN($D$13,G42),G42*$D$13),IF($E$13="",9E+99,$E$13)),0),ROUNDUP(MIN(IF($D$13&gt;=1,MIN($D$13,G42),G42*$D$13),IF($E$13="",9E+99,$E$13)),0))))</f>
        <v/>
      </c>
      <c r="M42" s="20">
        <f>IF(G42="","",IF(OR($D$14="",$H$14="X",G42&lt;N($C$14)),0,IF(B42="G마켓",ROUNDDOWN(MIN(IF($D$14&gt;=1,MIN($D$14,G42),G42*$D$14),IF($E$14="",9E+99,$E$14)),0),ROUNDUP(MIN(IF($D$14&gt;=1,MIN($D$14,G42),G42*$D$14),IF($E$14="",9E+99,$E$14)),0))))</f>
        <v/>
      </c>
      <c r="N42" s="19">
        <f>IF(G42="","",G42-MAX(I42:M42))</f>
        <v/>
      </c>
      <c r="O42" s="20">
        <f>IF(N42="","",IF(OR($D$18="",$H$18="X",N42&lt;N($C$18)),0,IF(B42="G마켓",ROUNDDOWN(MIN(IF($D$18&gt;=1,MIN($D$18,N42),N42*$D$18),IF($E$18="",9E+99,$E$18)),0),ROUNDUP(MIN(IF($D$18&gt;=1,MIN($D$18,N42),N42*$D$18),IF($E$18="",9E+99,$E$18)),0))))</f>
        <v/>
      </c>
      <c r="P42" s="20">
        <f>IF(N42="","",IF(OR($D$19="",$H$19="X",N42&lt;N($C$19)),0,IF(B42="G마켓",ROUNDDOWN(MIN(IF($D$19&gt;=1,MIN($D$19,N42),N42*$D$19),IF($E$19="",9E+99,$E$19)),0),ROUNDUP(MIN(IF($D$19&gt;=1,MIN($D$19,N42),N42*$D$19),IF($E$19="",9E+99,$E$19)),0))))</f>
        <v/>
      </c>
      <c r="Q42" s="20">
        <f>IF(N42="","",IF(OR($D$20="",$H$20="X",N42&lt;N($C$20)),0,IF(B42="G마켓",ROUNDDOWN(MIN(IF($D$20&gt;=1,MIN($D$20,N42),N42*$D$20),IF($E$20="",9E+99,$E$20)),0),ROUNDUP(MIN(IF($D$20&gt;=1,MIN($D$20,N42),N42*$D$20),IF($E$20="",9E+99,$E$20)),0))))</f>
        <v/>
      </c>
      <c r="R42" s="20">
        <f>IF(N42="","",IF(OR($D$21="",$H$21="X",N42&lt;N($C$21)),0,IF(B42="G마켓",ROUNDDOWN(MIN(IF($D$21&gt;=1,MIN($D$21,N42),N42*$D$21),IF($E$21="",9E+99,$E$21)),0),ROUNDUP(MIN(IF($D$21&gt;=1,MIN($D$21,N42),N42*$D$21),IF($E$21="",9E+99,$E$21)),0))))</f>
        <v/>
      </c>
      <c r="S42" s="19">
        <f>IF(G42="","",N42-MAX(O42:R42))</f>
        <v/>
      </c>
      <c r="T42" s="20">
        <f>IF(S42="","",IF(OR($D$25="",S42&lt;N($C$25)),0,IF(B42="G마켓",ROUNDDOWN(MIN(IF($D$25&gt;=1,MIN($D$25,S42),S42*$D$25),IF($E$25="",9E+99,$E$25)),0),ROUNDUP(MIN(IF($D$25&gt;=1,MIN($D$25,S42),S42*$D$25),IF($E$25="",9E+99,$E$25)),0))))</f>
        <v/>
      </c>
      <c r="U42" s="20">
        <f>IF(S42="","",IF(OR($D$26="",S42&lt;N($C$26)),0,IF(B42="G마켓",ROUNDDOWN(MIN(IF($D$26&gt;=1,MIN($D$26,S42),S42*$D$26),IF($E$26="",9E+99,$E$26)),0),ROUNDUP(MIN(IF($D$26&gt;=1,MIN($D$26,S42),S42*$D$26),IF($E$26="",9E+99,$E$26)),0))))</f>
        <v/>
      </c>
      <c r="V42" s="20">
        <f>IF(S42="","",IF(OR($D$27="",S42&lt;N($C$27)),0,IF(B42="G마켓",ROUNDDOWN(MIN(IF($D$27&gt;=1,MIN($D$27,S42),S42*$D$27),IF($E$27="",9E+99,$E$27)),0),ROUNDUP(MIN(IF($D$27&gt;=1,MIN($D$27,S42),S42*$D$27),IF($E$27="",9E+99,$E$27)),0))))</f>
        <v/>
      </c>
      <c r="W42" s="19">
        <f>IF(G42="","",MAX(T42:V42))</f>
        <v/>
      </c>
      <c r="X42" s="21">
        <f>IF(G42="","",S42-W42)</f>
        <v/>
      </c>
      <c r="Y42" s="19">
        <f>IF(G42="","",IF(B42="G마켓",ROUNDDOWN(MAX(I42*N($G$10),J42*N($G$11),K42*N($G$12),L42*N($G$13),M42*N($G$14))+MAX(O42*N($G$18),P42*N($G$19),Q42*N($G$20),R42*N($G$21))+MAX(T42*N($G$25),U42*N($G$26),V42*N($G$27)),0),ROUNDUP(MAX(I42*N($G$10),J42*N($G$11),K42*N($G$12),L42*N($G$13),M42*N($G$14))+MAX(O42*N($G$18),P42*N($G$19),Q42*N($G$20),R42*N($G$21))+MAX(T42*N($G$25),U42*N($G$26),V42*N($G$27)),0)))</f>
        <v/>
      </c>
      <c r="Z42" s="21">
        <f>IF(G42="","",IF(B42="G마켓",ROUNDDOWN(G42-G42*$Q$6-Y42,0),ROUNDUP(G42-G42*$Q$6-Y42,0)))</f>
        <v/>
      </c>
    </row>
    <row r="43">
      <c r="B43" s="7" t="n"/>
      <c r="C43" s="7" t="n"/>
      <c r="D43" s="22" t="n"/>
      <c r="E43" s="23" t="n"/>
      <c r="F43" s="23" t="n"/>
      <c r="G43" s="19">
        <f>IF(E43="","",E43-N(F43))</f>
        <v/>
      </c>
      <c r="I43" s="20">
        <f>IF(G43="","",IF(OR($D$10="",$H$10="X",G43&lt;N($C$10)),0,IF(B43="G마켓",ROUNDDOWN(MIN(IF($D$10&gt;=1,MIN($D$10,G43),G43*$D$10),IF($E$10="",9E+99,$E$10)),0),ROUNDUP(MIN(IF($D$10&gt;=1,MIN($D$10,G43),G43*$D$10),IF($E$10="",9E+99,$E$10)),0))))</f>
        <v/>
      </c>
      <c r="J43" s="20">
        <f>IF(G43="","",IF(OR($D$11="",$H$11="X",G43&lt;N($C$11)),0,IF(B43="G마켓",ROUNDDOWN(MIN(IF($D$11&gt;=1,MIN($D$11,G43),G43*$D$11),IF($E$11="",9E+99,$E$11)),0),ROUNDUP(MIN(IF($D$11&gt;=1,MIN($D$11,G43),G43*$D$11),IF($E$11="",9E+99,$E$11)),0))))</f>
        <v/>
      </c>
      <c r="K43" s="20">
        <f>IF(G43="","",IF(OR($D$12="",$H$12="X",G43&lt;N($C$12)),0,IF(B43="G마켓",ROUNDDOWN(MIN(IF($D$12&gt;=1,MIN($D$12,G43),G43*$D$12),IF($E$12="",9E+99,$E$12)),0),ROUNDUP(MIN(IF($D$12&gt;=1,MIN($D$12,G43),G43*$D$12),IF($E$12="",9E+99,$E$12)),0))))</f>
        <v/>
      </c>
      <c r="L43" s="20">
        <f>IF(G43="","",IF(OR($D$13="",$H$13="X",G43&lt;N($C$13)),0,IF(B43="G마켓",ROUNDDOWN(MIN(IF($D$13&gt;=1,MIN($D$13,G43),G43*$D$13),IF($E$13="",9E+99,$E$13)),0),ROUNDUP(MIN(IF($D$13&gt;=1,MIN($D$13,G43),G43*$D$13),IF($E$13="",9E+99,$E$13)),0))))</f>
        <v/>
      </c>
      <c r="M43" s="20">
        <f>IF(G43="","",IF(OR($D$14="",$H$14="X",G43&lt;N($C$14)),0,IF(B43="G마켓",ROUNDDOWN(MIN(IF($D$14&gt;=1,MIN($D$14,G43),G43*$D$14),IF($E$14="",9E+99,$E$14)),0),ROUNDUP(MIN(IF($D$14&gt;=1,MIN($D$14,G43),G43*$D$14),IF($E$14="",9E+99,$E$14)),0))))</f>
        <v/>
      </c>
      <c r="N43" s="19">
        <f>IF(G43="","",G43-MAX(I43:M43))</f>
        <v/>
      </c>
      <c r="O43" s="20">
        <f>IF(N43="","",IF(OR($D$18="",$H$18="X",N43&lt;N($C$18)),0,IF(B43="G마켓",ROUNDDOWN(MIN(IF($D$18&gt;=1,MIN($D$18,N43),N43*$D$18),IF($E$18="",9E+99,$E$18)),0),ROUNDUP(MIN(IF($D$18&gt;=1,MIN($D$18,N43),N43*$D$18),IF($E$18="",9E+99,$E$18)),0))))</f>
        <v/>
      </c>
      <c r="P43" s="20">
        <f>IF(N43="","",IF(OR($D$19="",$H$19="X",N43&lt;N($C$19)),0,IF(B43="G마켓",ROUNDDOWN(MIN(IF($D$19&gt;=1,MIN($D$19,N43),N43*$D$19),IF($E$19="",9E+99,$E$19)),0),ROUNDUP(MIN(IF($D$19&gt;=1,MIN($D$19,N43),N43*$D$19),IF($E$19="",9E+99,$E$19)),0))))</f>
        <v/>
      </c>
      <c r="Q43" s="20">
        <f>IF(N43="","",IF(OR($D$20="",$H$20="X",N43&lt;N($C$20)),0,IF(B43="G마켓",ROUNDDOWN(MIN(IF($D$20&gt;=1,MIN($D$20,N43),N43*$D$20),IF($E$20="",9E+99,$E$20)),0),ROUNDUP(MIN(IF($D$20&gt;=1,MIN($D$20,N43),N43*$D$20),IF($E$20="",9E+99,$E$20)),0))))</f>
        <v/>
      </c>
      <c r="R43" s="20">
        <f>IF(N43="","",IF(OR($D$21="",$H$21="X",N43&lt;N($C$21)),0,IF(B43="G마켓",ROUNDDOWN(MIN(IF($D$21&gt;=1,MIN($D$21,N43),N43*$D$21),IF($E$21="",9E+99,$E$21)),0),ROUNDUP(MIN(IF($D$21&gt;=1,MIN($D$21,N43),N43*$D$21),IF($E$21="",9E+99,$E$21)),0))))</f>
        <v/>
      </c>
      <c r="S43" s="19">
        <f>IF(G43="","",N43-MAX(O43:R43))</f>
        <v/>
      </c>
      <c r="T43" s="20">
        <f>IF(S43="","",IF(OR($D$25="",S43&lt;N($C$25)),0,IF(B43="G마켓",ROUNDDOWN(MIN(IF($D$25&gt;=1,MIN($D$25,S43),S43*$D$25),IF($E$25="",9E+99,$E$25)),0),ROUNDUP(MIN(IF($D$25&gt;=1,MIN($D$25,S43),S43*$D$25),IF($E$25="",9E+99,$E$25)),0))))</f>
        <v/>
      </c>
      <c r="U43" s="20">
        <f>IF(S43="","",IF(OR($D$26="",S43&lt;N($C$26)),0,IF(B43="G마켓",ROUNDDOWN(MIN(IF($D$26&gt;=1,MIN($D$26,S43),S43*$D$26),IF($E$26="",9E+99,$E$26)),0),ROUNDUP(MIN(IF($D$26&gt;=1,MIN($D$26,S43),S43*$D$26),IF($E$26="",9E+99,$E$26)),0))))</f>
        <v/>
      </c>
      <c r="V43" s="20">
        <f>IF(S43="","",IF(OR($D$27="",S43&lt;N($C$27)),0,IF(B43="G마켓",ROUNDDOWN(MIN(IF($D$27&gt;=1,MIN($D$27,S43),S43*$D$27),IF($E$27="",9E+99,$E$27)),0),ROUNDUP(MIN(IF($D$27&gt;=1,MIN($D$27,S43),S43*$D$27),IF($E$27="",9E+99,$E$27)),0))))</f>
        <v/>
      </c>
      <c r="W43" s="19">
        <f>IF(G43="","",MAX(T43:V43))</f>
        <v/>
      </c>
      <c r="X43" s="21">
        <f>IF(G43="","",S43-W43)</f>
        <v/>
      </c>
      <c r="Y43" s="19">
        <f>IF(G43="","",IF(B43="G마켓",ROUNDDOWN(MAX(I43*N($G$10),J43*N($G$11),K43*N($G$12),L43*N($G$13),M43*N($G$14))+MAX(O43*N($G$18),P43*N($G$19),Q43*N($G$20),R43*N($G$21))+MAX(T43*N($G$25),U43*N($G$26),V43*N($G$27)),0),ROUNDUP(MAX(I43*N($G$10),J43*N($G$11),K43*N($G$12),L43*N($G$13),M43*N($G$14))+MAX(O43*N($G$18),P43*N($G$19),Q43*N($G$20),R43*N($G$21))+MAX(T43*N($G$25),U43*N($G$26),V43*N($G$27)),0)))</f>
        <v/>
      </c>
      <c r="Z43" s="21">
        <f>IF(G43="","",IF(B43="G마켓",ROUNDDOWN(G43-G43*$Q$6-Y43,0),ROUNDUP(G43-G43*$Q$6-Y43,0)))</f>
        <v/>
      </c>
    </row>
    <row r="44">
      <c r="B44" s="7" t="n"/>
      <c r="C44" s="7" t="n"/>
      <c r="D44" s="22" t="n"/>
      <c r="E44" s="23" t="n"/>
      <c r="F44" s="23" t="n"/>
      <c r="G44" s="19">
        <f>IF(E44="","",E44-N(F44))</f>
        <v/>
      </c>
      <c r="I44" s="20">
        <f>IF(G44="","",IF(OR($D$10="",$H$10="X",G44&lt;N($C$10)),0,IF(B44="G마켓",ROUNDDOWN(MIN(IF($D$10&gt;=1,MIN($D$10,G44),G44*$D$10),IF($E$10="",9E+99,$E$10)),0),ROUNDUP(MIN(IF($D$10&gt;=1,MIN($D$10,G44),G44*$D$10),IF($E$10="",9E+99,$E$10)),0))))</f>
        <v/>
      </c>
      <c r="J44" s="20">
        <f>IF(G44="","",IF(OR($D$11="",$H$11="X",G44&lt;N($C$11)),0,IF(B44="G마켓",ROUNDDOWN(MIN(IF($D$11&gt;=1,MIN($D$11,G44),G44*$D$11),IF($E$11="",9E+99,$E$11)),0),ROUNDUP(MIN(IF($D$11&gt;=1,MIN($D$11,G44),G44*$D$11),IF($E$11="",9E+99,$E$11)),0))))</f>
        <v/>
      </c>
      <c r="K44" s="20">
        <f>IF(G44="","",IF(OR($D$12="",$H$12="X",G44&lt;N($C$12)),0,IF(B44="G마켓",ROUNDDOWN(MIN(IF($D$12&gt;=1,MIN($D$12,G44),G44*$D$12),IF($E$12="",9E+99,$E$12)),0),ROUNDUP(MIN(IF($D$12&gt;=1,MIN($D$12,G44),G44*$D$12),IF($E$12="",9E+99,$E$12)),0))))</f>
        <v/>
      </c>
      <c r="L44" s="20">
        <f>IF(G44="","",IF(OR($D$13="",$H$13="X",G44&lt;N($C$13)),0,IF(B44="G마켓",ROUNDDOWN(MIN(IF($D$13&gt;=1,MIN($D$13,G44),G44*$D$13),IF($E$13="",9E+99,$E$13)),0),ROUNDUP(MIN(IF($D$13&gt;=1,MIN($D$13,G44),G44*$D$13),IF($E$13="",9E+99,$E$13)),0))))</f>
        <v/>
      </c>
      <c r="M44" s="20">
        <f>IF(G44="","",IF(OR($D$14="",$H$14="X",G44&lt;N($C$14)),0,IF(B44="G마켓",ROUNDDOWN(MIN(IF($D$14&gt;=1,MIN($D$14,G44),G44*$D$14),IF($E$14="",9E+99,$E$14)),0),ROUNDUP(MIN(IF($D$14&gt;=1,MIN($D$14,G44),G44*$D$14),IF($E$14="",9E+99,$E$14)),0))))</f>
        <v/>
      </c>
      <c r="N44" s="19">
        <f>IF(G44="","",G44-MAX(I44:M44))</f>
        <v/>
      </c>
      <c r="O44" s="20">
        <f>IF(N44="","",IF(OR($D$18="",$H$18="X",N44&lt;N($C$18)),0,IF(B44="G마켓",ROUNDDOWN(MIN(IF($D$18&gt;=1,MIN($D$18,N44),N44*$D$18),IF($E$18="",9E+99,$E$18)),0),ROUNDUP(MIN(IF($D$18&gt;=1,MIN($D$18,N44),N44*$D$18),IF($E$18="",9E+99,$E$18)),0))))</f>
        <v/>
      </c>
      <c r="P44" s="20">
        <f>IF(N44="","",IF(OR($D$19="",$H$19="X",N44&lt;N($C$19)),0,IF(B44="G마켓",ROUNDDOWN(MIN(IF($D$19&gt;=1,MIN($D$19,N44),N44*$D$19),IF($E$19="",9E+99,$E$19)),0),ROUNDUP(MIN(IF($D$19&gt;=1,MIN($D$19,N44),N44*$D$19),IF($E$19="",9E+99,$E$19)),0))))</f>
        <v/>
      </c>
      <c r="Q44" s="20">
        <f>IF(N44="","",IF(OR($D$20="",$H$20="X",N44&lt;N($C$20)),0,IF(B44="G마켓",ROUNDDOWN(MIN(IF($D$20&gt;=1,MIN($D$20,N44),N44*$D$20),IF($E$20="",9E+99,$E$20)),0),ROUNDUP(MIN(IF($D$20&gt;=1,MIN($D$20,N44),N44*$D$20),IF($E$20="",9E+99,$E$20)),0))))</f>
        <v/>
      </c>
      <c r="R44" s="20">
        <f>IF(N44="","",IF(OR($D$21="",$H$21="X",N44&lt;N($C$21)),0,IF(B44="G마켓",ROUNDDOWN(MIN(IF($D$21&gt;=1,MIN($D$21,N44),N44*$D$21),IF($E$21="",9E+99,$E$21)),0),ROUNDUP(MIN(IF($D$21&gt;=1,MIN($D$21,N44),N44*$D$21),IF($E$21="",9E+99,$E$21)),0))))</f>
        <v/>
      </c>
      <c r="S44" s="19">
        <f>IF(G44="","",N44-MAX(O44:R44))</f>
        <v/>
      </c>
      <c r="T44" s="20">
        <f>IF(S44="","",IF(OR($D$25="",S44&lt;N($C$25)),0,IF(B44="G마켓",ROUNDDOWN(MIN(IF($D$25&gt;=1,MIN($D$25,S44),S44*$D$25),IF($E$25="",9E+99,$E$25)),0),ROUNDUP(MIN(IF($D$25&gt;=1,MIN($D$25,S44),S44*$D$25),IF($E$25="",9E+99,$E$25)),0))))</f>
        <v/>
      </c>
      <c r="U44" s="20">
        <f>IF(S44="","",IF(OR($D$26="",S44&lt;N($C$26)),0,IF(B44="G마켓",ROUNDDOWN(MIN(IF($D$26&gt;=1,MIN($D$26,S44),S44*$D$26),IF($E$26="",9E+99,$E$26)),0),ROUNDUP(MIN(IF($D$26&gt;=1,MIN($D$26,S44),S44*$D$26),IF($E$26="",9E+99,$E$26)),0))))</f>
        <v/>
      </c>
      <c r="V44" s="20">
        <f>IF(S44="","",IF(OR($D$27="",S44&lt;N($C$27)),0,IF(B44="G마켓",ROUNDDOWN(MIN(IF($D$27&gt;=1,MIN($D$27,S44),S44*$D$27),IF($E$27="",9E+99,$E$27)),0),ROUNDUP(MIN(IF($D$27&gt;=1,MIN($D$27,S44),S44*$D$27),IF($E$27="",9E+99,$E$27)),0))))</f>
        <v/>
      </c>
      <c r="W44" s="19">
        <f>IF(G44="","",MAX(T44:V44))</f>
        <v/>
      </c>
      <c r="X44" s="21">
        <f>IF(G44="","",S44-W44)</f>
        <v/>
      </c>
      <c r="Y44" s="19">
        <f>IF(G44="","",IF(B44="G마켓",ROUNDDOWN(MAX(I44*N($G$10),J44*N($G$11),K44*N($G$12),L44*N($G$13),M44*N($G$14))+MAX(O44*N($G$18),P44*N($G$19),Q44*N($G$20),R44*N($G$21))+MAX(T44*N($G$25),U44*N($G$26),V44*N($G$27)),0),ROUNDUP(MAX(I44*N($G$10),J44*N($G$11),K44*N($G$12),L44*N($G$13),M44*N($G$14))+MAX(O44*N($G$18),P44*N($G$19),Q44*N($G$20),R44*N($G$21))+MAX(T44*N($G$25),U44*N($G$26),V44*N($G$27)),0)))</f>
        <v/>
      </c>
      <c r="Z44" s="21">
        <f>IF(G44="","",IF(B44="G마켓",ROUNDDOWN(G44-G44*$Q$6-Y44,0),ROUNDUP(G44-G44*$Q$6-Y44,0)))</f>
        <v/>
      </c>
    </row>
    <row r="45">
      <c r="B45" s="7" t="n"/>
      <c r="C45" s="7" t="n"/>
      <c r="D45" s="22" t="n"/>
      <c r="E45" s="23" t="n"/>
      <c r="F45" s="23" t="n"/>
      <c r="G45" s="19">
        <f>IF(E45="","",E45-N(F45))</f>
        <v/>
      </c>
      <c r="I45" s="20">
        <f>IF(G45="","",IF(OR($D$10="",$H$10="X",G45&lt;N($C$10)),0,IF(B45="G마켓",ROUNDDOWN(MIN(IF($D$10&gt;=1,MIN($D$10,G45),G45*$D$10),IF($E$10="",9E+99,$E$10)),0),ROUNDUP(MIN(IF($D$10&gt;=1,MIN($D$10,G45),G45*$D$10),IF($E$10="",9E+99,$E$10)),0))))</f>
        <v/>
      </c>
      <c r="J45" s="20">
        <f>IF(G45="","",IF(OR($D$11="",$H$11="X",G45&lt;N($C$11)),0,IF(B45="G마켓",ROUNDDOWN(MIN(IF($D$11&gt;=1,MIN($D$11,G45),G45*$D$11),IF($E$11="",9E+99,$E$11)),0),ROUNDUP(MIN(IF($D$11&gt;=1,MIN($D$11,G45),G45*$D$11),IF($E$11="",9E+99,$E$11)),0))))</f>
        <v/>
      </c>
      <c r="K45" s="20">
        <f>IF(G45="","",IF(OR($D$12="",$H$12="X",G45&lt;N($C$12)),0,IF(B45="G마켓",ROUNDDOWN(MIN(IF($D$12&gt;=1,MIN($D$12,G45),G45*$D$12),IF($E$12="",9E+99,$E$12)),0),ROUNDUP(MIN(IF($D$12&gt;=1,MIN($D$12,G45),G45*$D$12),IF($E$12="",9E+99,$E$12)),0))))</f>
        <v/>
      </c>
      <c r="L45" s="20">
        <f>IF(G45="","",IF(OR($D$13="",$H$13="X",G45&lt;N($C$13)),0,IF(B45="G마켓",ROUNDDOWN(MIN(IF($D$13&gt;=1,MIN($D$13,G45),G45*$D$13),IF($E$13="",9E+99,$E$13)),0),ROUNDUP(MIN(IF($D$13&gt;=1,MIN($D$13,G45),G45*$D$13),IF($E$13="",9E+99,$E$13)),0))))</f>
        <v/>
      </c>
      <c r="M45" s="20">
        <f>IF(G45="","",IF(OR($D$14="",$H$14="X",G45&lt;N($C$14)),0,IF(B45="G마켓",ROUNDDOWN(MIN(IF($D$14&gt;=1,MIN($D$14,G45),G45*$D$14),IF($E$14="",9E+99,$E$14)),0),ROUNDUP(MIN(IF($D$14&gt;=1,MIN($D$14,G45),G45*$D$14),IF($E$14="",9E+99,$E$14)),0))))</f>
        <v/>
      </c>
      <c r="N45" s="19">
        <f>IF(G45="","",G45-MAX(I45:M45))</f>
        <v/>
      </c>
      <c r="O45" s="20">
        <f>IF(N45="","",IF(OR($D$18="",$H$18="X",N45&lt;N($C$18)),0,IF(B45="G마켓",ROUNDDOWN(MIN(IF($D$18&gt;=1,MIN($D$18,N45),N45*$D$18),IF($E$18="",9E+99,$E$18)),0),ROUNDUP(MIN(IF($D$18&gt;=1,MIN($D$18,N45),N45*$D$18),IF($E$18="",9E+99,$E$18)),0))))</f>
        <v/>
      </c>
      <c r="P45" s="20">
        <f>IF(N45="","",IF(OR($D$19="",$H$19="X",N45&lt;N($C$19)),0,IF(B45="G마켓",ROUNDDOWN(MIN(IF($D$19&gt;=1,MIN($D$19,N45),N45*$D$19),IF($E$19="",9E+99,$E$19)),0),ROUNDUP(MIN(IF($D$19&gt;=1,MIN($D$19,N45),N45*$D$19),IF($E$19="",9E+99,$E$19)),0))))</f>
        <v/>
      </c>
      <c r="Q45" s="20">
        <f>IF(N45="","",IF(OR($D$20="",$H$20="X",N45&lt;N($C$20)),0,IF(B45="G마켓",ROUNDDOWN(MIN(IF($D$20&gt;=1,MIN($D$20,N45),N45*$D$20),IF($E$20="",9E+99,$E$20)),0),ROUNDUP(MIN(IF($D$20&gt;=1,MIN($D$20,N45),N45*$D$20),IF($E$20="",9E+99,$E$20)),0))))</f>
        <v/>
      </c>
      <c r="R45" s="20">
        <f>IF(N45="","",IF(OR($D$21="",$H$21="X",N45&lt;N($C$21)),0,IF(B45="G마켓",ROUNDDOWN(MIN(IF($D$21&gt;=1,MIN($D$21,N45),N45*$D$21),IF($E$21="",9E+99,$E$21)),0),ROUNDUP(MIN(IF($D$21&gt;=1,MIN($D$21,N45),N45*$D$21),IF($E$21="",9E+99,$E$21)),0))))</f>
        <v/>
      </c>
      <c r="S45" s="19">
        <f>IF(G45="","",N45-MAX(O45:R45))</f>
        <v/>
      </c>
      <c r="T45" s="20">
        <f>IF(S45="","",IF(OR($D$25="",S45&lt;N($C$25)),0,IF(B45="G마켓",ROUNDDOWN(MIN(IF($D$25&gt;=1,MIN($D$25,S45),S45*$D$25),IF($E$25="",9E+99,$E$25)),0),ROUNDUP(MIN(IF($D$25&gt;=1,MIN($D$25,S45),S45*$D$25),IF($E$25="",9E+99,$E$25)),0))))</f>
        <v/>
      </c>
      <c r="U45" s="20">
        <f>IF(S45="","",IF(OR($D$26="",S45&lt;N($C$26)),0,IF(B45="G마켓",ROUNDDOWN(MIN(IF($D$26&gt;=1,MIN($D$26,S45),S45*$D$26),IF($E$26="",9E+99,$E$26)),0),ROUNDUP(MIN(IF($D$26&gt;=1,MIN($D$26,S45),S45*$D$26),IF($E$26="",9E+99,$E$26)),0))))</f>
        <v/>
      </c>
      <c r="V45" s="20">
        <f>IF(S45="","",IF(OR($D$27="",S45&lt;N($C$27)),0,IF(B45="G마켓",ROUNDDOWN(MIN(IF($D$27&gt;=1,MIN($D$27,S45),S45*$D$27),IF($E$27="",9E+99,$E$27)),0),ROUNDUP(MIN(IF($D$27&gt;=1,MIN($D$27,S45),S45*$D$27),IF($E$27="",9E+99,$E$27)),0))))</f>
        <v/>
      </c>
      <c r="W45" s="19">
        <f>IF(G45="","",MAX(T45:V45))</f>
        <v/>
      </c>
      <c r="X45" s="21">
        <f>IF(G45="","",S45-W45)</f>
        <v/>
      </c>
      <c r="Y45" s="19">
        <f>IF(G45="","",IF(B45="G마켓",ROUNDDOWN(MAX(I45*N($G$10),J45*N($G$11),K45*N($G$12),L45*N($G$13),M45*N($G$14))+MAX(O45*N($G$18),P45*N($G$19),Q45*N($G$20),R45*N($G$21))+MAX(T45*N($G$25),U45*N($G$26),V45*N($G$27)),0),ROUNDUP(MAX(I45*N($G$10),J45*N($G$11),K45*N($G$12),L45*N($G$13),M45*N($G$14))+MAX(O45*N($G$18),P45*N($G$19),Q45*N($G$20),R45*N($G$21))+MAX(T45*N($G$25),U45*N($G$26),V45*N($G$27)),0)))</f>
        <v/>
      </c>
      <c r="Z45" s="21">
        <f>IF(G45="","",IF(B45="G마켓",ROUNDDOWN(G45-G45*$Q$6-Y45,0),ROUNDUP(G45-G45*$Q$6-Y45,0)))</f>
        <v/>
      </c>
    </row>
    <row r="46">
      <c r="B46" s="7" t="n"/>
      <c r="C46" s="7" t="n"/>
      <c r="D46" s="22" t="n"/>
      <c r="E46" s="23" t="n"/>
      <c r="F46" s="23" t="n"/>
      <c r="G46" s="19">
        <f>IF(E46="","",E46-N(F46))</f>
        <v/>
      </c>
      <c r="I46" s="20">
        <f>IF(G46="","",IF(OR($D$10="",$H$10="X",G46&lt;N($C$10)),0,IF(B46="G마켓",ROUNDDOWN(MIN(IF($D$10&gt;=1,MIN($D$10,G46),G46*$D$10),IF($E$10="",9E+99,$E$10)),0),ROUNDUP(MIN(IF($D$10&gt;=1,MIN($D$10,G46),G46*$D$10),IF($E$10="",9E+99,$E$10)),0))))</f>
        <v/>
      </c>
      <c r="J46" s="20">
        <f>IF(G46="","",IF(OR($D$11="",$H$11="X",G46&lt;N($C$11)),0,IF(B46="G마켓",ROUNDDOWN(MIN(IF($D$11&gt;=1,MIN($D$11,G46),G46*$D$11),IF($E$11="",9E+99,$E$11)),0),ROUNDUP(MIN(IF($D$11&gt;=1,MIN($D$11,G46),G46*$D$11),IF($E$11="",9E+99,$E$11)),0))))</f>
        <v/>
      </c>
      <c r="K46" s="20">
        <f>IF(G46="","",IF(OR($D$12="",$H$12="X",G46&lt;N($C$12)),0,IF(B46="G마켓",ROUNDDOWN(MIN(IF($D$12&gt;=1,MIN($D$12,G46),G46*$D$12),IF($E$12="",9E+99,$E$12)),0),ROUNDUP(MIN(IF($D$12&gt;=1,MIN($D$12,G46),G46*$D$12),IF($E$12="",9E+99,$E$12)),0))))</f>
        <v/>
      </c>
      <c r="L46" s="20">
        <f>IF(G46="","",IF(OR($D$13="",$H$13="X",G46&lt;N($C$13)),0,IF(B46="G마켓",ROUNDDOWN(MIN(IF($D$13&gt;=1,MIN($D$13,G46),G46*$D$13),IF($E$13="",9E+99,$E$13)),0),ROUNDUP(MIN(IF($D$13&gt;=1,MIN($D$13,G46),G46*$D$13),IF($E$13="",9E+99,$E$13)),0))))</f>
        <v/>
      </c>
      <c r="M46" s="20">
        <f>IF(G46="","",IF(OR($D$14="",$H$14="X",G46&lt;N($C$14)),0,IF(B46="G마켓",ROUNDDOWN(MIN(IF($D$14&gt;=1,MIN($D$14,G46),G46*$D$14),IF($E$14="",9E+99,$E$14)),0),ROUNDUP(MIN(IF($D$14&gt;=1,MIN($D$14,G46),G46*$D$14),IF($E$14="",9E+99,$E$14)),0))))</f>
        <v/>
      </c>
      <c r="N46" s="19">
        <f>IF(G46="","",G46-MAX(I46:M46))</f>
        <v/>
      </c>
      <c r="O46" s="20">
        <f>IF(N46="","",IF(OR($D$18="",$H$18="X",N46&lt;N($C$18)),0,IF(B46="G마켓",ROUNDDOWN(MIN(IF($D$18&gt;=1,MIN($D$18,N46),N46*$D$18),IF($E$18="",9E+99,$E$18)),0),ROUNDUP(MIN(IF($D$18&gt;=1,MIN($D$18,N46),N46*$D$18),IF($E$18="",9E+99,$E$18)),0))))</f>
        <v/>
      </c>
      <c r="P46" s="20">
        <f>IF(N46="","",IF(OR($D$19="",$H$19="X",N46&lt;N($C$19)),0,IF(B46="G마켓",ROUNDDOWN(MIN(IF($D$19&gt;=1,MIN($D$19,N46),N46*$D$19),IF($E$19="",9E+99,$E$19)),0),ROUNDUP(MIN(IF($D$19&gt;=1,MIN($D$19,N46),N46*$D$19),IF($E$19="",9E+99,$E$19)),0))))</f>
        <v/>
      </c>
      <c r="Q46" s="20">
        <f>IF(N46="","",IF(OR($D$20="",$H$20="X",N46&lt;N($C$20)),0,IF(B46="G마켓",ROUNDDOWN(MIN(IF($D$20&gt;=1,MIN($D$20,N46),N46*$D$20),IF($E$20="",9E+99,$E$20)),0),ROUNDUP(MIN(IF($D$20&gt;=1,MIN($D$20,N46),N46*$D$20),IF($E$20="",9E+99,$E$20)),0))))</f>
        <v/>
      </c>
      <c r="R46" s="20">
        <f>IF(N46="","",IF(OR($D$21="",$H$21="X",N46&lt;N($C$21)),0,IF(B46="G마켓",ROUNDDOWN(MIN(IF($D$21&gt;=1,MIN($D$21,N46),N46*$D$21),IF($E$21="",9E+99,$E$21)),0),ROUNDUP(MIN(IF($D$21&gt;=1,MIN($D$21,N46),N46*$D$21),IF($E$21="",9E+99,$E$21)),0))))</f>
        <v/>
      </c>
      <c r="S46" s="19">
        <f>IF(G46="","",N46-MAX(O46:R46))</f>
        <v/>
      </c>
      <c r="T46" s="20">
        <f>IF(S46="","",IF(OR($D$25="",S46&lt;N($C$25)),0,IF(B46="G마켓",ROUNDDOWN(MIN(IF($D$25&gt;=1,MIN($D$25,S46),S46*$D$25),IF($E$25="",9E+99,$E$25)),0),ROUNDUP(MIN(IF($D$25&gt;=1,MIN($D$25,S46),S46*$D$25),IF($E$25="",9E+99,$E$25)),0))))</f>
        <v/>
      </c>
      <c r="U46" s="20">
        <f>IF(S46="","",IF(OR($D$26="",S46&lt;N($C$26)),0,IF(B46="G마켓",ROUNDDOWN(MIN(IF($D$26&gt;=1,MIN($D$26,S46),S46*$D$26),IF($E$26="",9E+99,$E$26)),0),ROUNDUP(MIN(IF($D$26&gt;=1,MIN($D$26,S46),S46*$D$26),IF($E$26="",9E+99,$E$26)),0))))</f>
        <v/>
      </c>
      <c r="V46" s="20">
        <f>IF(S46="","",IF(OR($D$27="",S46&lt;N($C$27)),0,IF(B46="G마켓",ROUNDDOWN(MIN(IF($D$27&gt;=1,MIN($D$27,S46),S46*$D$27),IF($E$27="",9E+99,$E$27)),0),ROUNDUP(MIN(IF($D$27&gt;=1,MIN($D$27,S46),S46*$D$27),IF($E$27="",9E+99,$E$27)),0))))</f>
        <v/>
      </c>
      <c r="W46" s="19">
        <f>IF(G46="","",MAX(T46:V46))</f>
        <v/>
      </c>
      <c r="X46" s="21">
        <f>IF(G46="","",S46-W46)</f>
        <v/>
      </c>
      <c r="Y46" s="19">
        <f>IF(G46="","",IF(B46="G마켓",ROUNDDOWN(MAX(I46*N($G$10),J46*N($G$11),K46*N($G$12),L46*N($G$13),M46*N($G$14))+MAX(O46*N($G$18),P46*N($G$19),Q46*N($G$20),R46*N($G$21))+MAX(T46*N($G$25),U46*N($G$26),V46*N($G$27)),0),ROUNDUP(MAX(I46*N($G$10),J46*N($G$11),K46*N($G$12),L46*N($G$13),M46*N($G$14))+MAX(O46*N($G$18),P46*N($G$19),Q46*N($G$20),R46*N($G$21))+MAX(T46*N($G$25),U46*N($G$26),V46*N($G$27)),0)))</f>
        <v/>
      </c>
      <c r="Z46" s="21">
        <f>IF(G46="","",IF(B46="G마켓",ROUNDDOWN(G46-G46*$Q$6-Y46,0),ROUNDUP(G46-G46*$Q$6-Y46,0)))</f>
        <v/>
      </c>
    </row>
    <row r="47">
      <c r="B47" s="7" t="n"/>
      <c r="C47" s="7" t="n"/>
      <c r="D47" s="22" t="n"/>
      <c r="E47" s="23" t="n"/>
      <c r="F47" s="23" t="n"/>
      <c r="G47" s="19">
        <f>IF(E47="","",E47-N(F47))</f>
        <v/>
      </c>
      <c r="I47" s="20">
        <f>IF(G47="","",IF(OR($D$10="",$H$10="X",G47&lt;N($C$10)),0,IF(B47="G마켓",ROUNDDOWN(MIN(IF($D$10&gt;=1,MIN($D$10,G47),G47*$D$10),IF($E$10="",9E+99,$E$10)),0),ROUNDUP(MIN(IF($D$10&gt;=1,MIN($D$10,G47),G47*$D$10),IF($E$10="",9E+99,$E$10)),0))))</f>
        <v/>
      </c>
      <c r="J47" s="20">
        <f>IF(G47="","",IF(OR($D$11="",$H$11="X",G47&lt;N($C$11)),0,IF(B47="G마켓",ROUNDDOWN(MIN(IF($D$11&gt;=1,MIN($D$11,G47),G47*$D$11),IF($E$11="",9E+99,$E$11)),0),ROUNDUP(MIN(IF($D$11&gt;=1,MIN($D$11,G47),G47*$D$11),IF($E$11="",9E+99,$E$11)),0))))</f>
        <v/>
      </c>
      <c r="K47" s="20">
        <f>IF(G47="","",IF(OR($D$12="",$H$12="X",G47&lt;N($C$12)),0,IF(B47="G마켓",ROUNDDOWN(MIN(IF($D$12&gt;=1,MIN($D$12,G47),G47*$D$12),IF($E$12="",9E+99,$E$12)),0),ROUNDUP(MIN(IF($D$12&gt;=1,MIN($D$12,G47),G47*$D$12),IF($E$12="",9E+99,$E$12)),0))))</f>
        <v/>
      </c>
      <c r="L47" s="20">
        <f>IF(G47="","",IF(OR($D$13="",$H$13="X",G47&lt;N($C$13)),0,IF(B47="G마켓",ROUNDDOWN(MIN(IF($D$13&gt;=1,MIN($D$13,G47),G47*$D$13),IF($E$13="",9E+99,$E$13)),0),ROUNDUP(MIN(IF($D$13&gt;=1,MIN($D$13,G47),G47*$D$13),IF($E$13="",9E+99,$E$13)),0))))</f>
        <v/>
      </c>
      <c r="M47" s="20">
        <f>IF(G47="","",IF(OR($D$14="",$H$14="X",G47&lt;N($C$14)),0,IF(B47="G마켓",ROUNDDOWN(MIN(IF($D$14&gt;=1,MIN($D$14,G47),G47*$D$14),IF($E$14="",9E+99,$E$14)),0),ROUNDUP(MIN(IF($D$14&gt;=1,MIN($D$14,G47),G47*$D$14),IF($E$14="",9E+99,$E$14)),0))))</f>
        <v/>
      </c>
      <c r="N47" s="19">
        <f>IF(G47="","",G47-MAX(I47:M47))</f>
        <v/>
      </c>
      <c r="O47" s="20">
        <f>IF(N47="","",IF(OR($D$18="",$H$18="X",N47&lt;N($C$18)),0,IF(B47="G마켓",ROUNDDOWN(MIN(IF($D$18&gt;=1,MIN($D$18,N47),N47*$D$18),IF($E$18="",9E+99,$E$18)),0),ROUNDUP(MIN(IF($D$18&gt;=1,MIN($D$18,N47),N47*$D$18),IF($E$18="",9E+99,$E$18)),0))))</f>
        <v/>
      </c>
      <c r="P47" s="20">
        <f>IF(N47="","",IF(OR($D$19="",$H$19="X",N47&lt;N($C$19)),0,IF(B47="G마켓",ROUNDDOWN(MIN(IF($D$19&gt;=1,MIN($D$19,N47),N47*$D$19),IF($E$19="",9E+99,$E$19)),0),ROUNDUP(MIN(IF($D$19&gt;=1,MIN($D$19,N47),N47*$D$19),IF($E$19="",9E+99,$E$19)),0))))</f>
        <v/>
      </c>
      <c r="Q47" s="20">
        <f>IF(N47="","",IF(OR($D$20="",$H$20="X",N47&lt;N($C$20)),0,IF(B47="G마켓",ROUNDDOWN(MIN(IF($D$20&gt;=1,MIN($D$20,N47),N47*$D$20),IF($E$20="",9E+99,$E$20)),0),ROUNDUP(MIN(IF($D$20&gt;=1,MIN($D$20,N47),N47*$D$20),IF($E$20="",9E+99,$E$20)),0))))</f>
        <v/>
      </c>
      <c r="R47" s="20">
        <f>IF(N47="","",IF(OR($D$21="",$H$21="X",N47&lt;N($C$21)),0,IF(B47="G마켓",ROUNDDOWN(MIN(IF($D$21&gt;=1,MIN($D$21,N47),N47*$D$21),IF($E$21="",9E+99,$E$21)),0),ROUNDUP(MIN(IF($D$21&gt;=1,MIN($D$21,N47),N47*$D$21),IF($E$21="",9E+99,$E$21)),0))))</f>
        <v/>
      </c>
      <c r="S47" s="19">
        <f>IF(G47="","",N47-MAX(O47:R47))</f>
        <v/>
      </c>
      <c r="T47" s="20">
        <f>IF(S47="","",IF(OR($D$25="",S47&lt;N($C$25)),0,IF(B47="G마켓",ROUNDDOWN(MIN(IF($D$25&gt;=1,MIN($D$25,S47),S47*$D$25),IF($E$25="",9E+99,$E$25)),0),ROUNDUP(MIN(IF($D$25&gt;=1,MIN($D$25,S47),S47*$D$25),IF($E$25="",9E+99,$E$25)),0))))</f>
        <v/>
      </c>
      <c r="U47" s="20">
        <f>IF(S47="","",IF(OR($D$26="",S47&lt;N($C$26)),0,IF(B47="G마켓",ROUNDDOWN(MIN(IF($D$26&gt;=1,MIN($D$26,S47),S47*$D$26),IF($E$26="",9E+99,$E$26)),0),ROUNDUP(MIN(IF($D$26&gt;=1,MIN($D$26,S47),S47*$D$26),IF($E$26="",9E+99,$E$26)),0))))</f>
        <v/>
      </c>
      <c r="V47" s="20">
        <f>IF(S47="","",IF(OR($D$27="",S47&lt;N($C$27)),0,IF(B47="G마켓",ROUNDDOWN(MIN(IF($D$27&gt;=1,MIN($D$27,S47),S47*$D$27),IF($E$27="",9E+99,$E$27)),0),ROUNDUP(MIN(IF($D$27&gt;=1,MIN($D$27,S47),S47*$D$27),IF($E$27="",9E+99,$E$27)),0))))</f>
        <v/>
      </c>
      <c r="W47" s="19">
        <f>IF(G47="","",MAX(T47:V47))</f>
        <v/>
      </c>
      <c r="X47" s="21">
        <f>IF(G47="","",S47-W47)</f>
        <v/>
      </c>
      <c r="Y47" s="19">
        <f>IF(G47="","",IF(B47="G마켓",ROUNDDOWN(MAX(I47*N($G$10),J47*N($G$11),K47*N($G$12),L47*N($G$13),M47*N($G$14))+MAX(O47*N($G$18),P47*N($G$19),Q47*N($G$20),R47*N($G$21))+MAX(T47*N($G$25),U47*N($G$26),V47*N($G$27)),0),ROUNDUP(MAX(I47*N($G$10),J47*N($G$11),K47*N($G$12),L47*N($G$13),M47*N($G$14))+MAX(O47*N($G$18),P47*N($G$19),Q47*N($G$20),R47*N($G$21))+MAX(T47*N($G$25),U47*N($G$26),V47*N($G$27)),0)))</f>
        <v/>
      </c>
      <c r="Z47" s="21">
        <f>IF(G47="","",IF(B47="G마켓",ROUNDDOWN(G47-G47*$Q$6-Y47,0),ROUNDUP(G47-G47*$Q$6-Y47,0)))</f>
        <v/>
      </c>
    </row>
    <row r="48">
      <c r="B48" s="7" t="n"/>
      <c r="C48" s="7" t="n"/>
      <c r="D48" s="22" t="n"/>
      <c r="E48" s="23" t="n"/>
      <c r="F48" s="23" t="n"/>
      <c r="G48" s="19">
        <f>IF(E48="","",E48-N(F48))</f>
        <v/>
      </c>
      <c r="I48" s="20">
        <f>IF(G48="","",IF(OR($D$10="",$H$10="X",G48&lt;N($C$10)),0,IF(B48="G마켓",ROUNDDOWN(MIN(IF($D$10&gt;=1,MIN($D$10,G48),G48*$D$10),IF($E$10="",9E+99,$E$10)),0),ROUNDUP(MIN(IF($D$10&gt;=1,MIN($D$10,G48),G48*$D$10),IF($E$10="",9E+99,$E$10)),0))))</f>
        <v/>
      </c>
      <c r="J48" s="20">
        <f>IF(G48="","",IF(OR($D$11="",$H$11="X",G48&lt;N($C$11)),0,IF(B48="G마켓",ROUNDDOWN(MIN(IF($D$11&gt;=1,MIN($D$11,G48),G48*$D$11),IF($E$11="",9E+99,$E$11)),0),ROUNDUP(MIN(IF($D$11&gt;=1,MIN($D$11,G48),G48*$D$11),IF($E$11="",9E+99,$E$11)),0))))</f>
        <v/>
      </c>
      <c r="K48" s="20">
        <f>IF(G48="","",IF(OR($D$12="",$H$12="X",G48&lt;N($C$12)),0,IF(B48="G마켓",ROUNDDOWN(MIN(IF($D$12&gt;=1,MIN($D$12,G48),G48*$D$12),IF($E$12="",9E+99,$E$12)),0),ROUNDUP(MIN(IF($D$12&gt;=1,MIN($D$12,G48),G48*$D$12),IF($E$12="",9E+99,$E$12)),0))))</f>
        <v/>
      </c>
      <c r="L48" s="20">
        <f>IF(G48="","",IF(OR($D$13="",$H$13="X",G48&lt;N($C$13)),0,IF(B48="G마켓",ROUNDDOWN(MIN(IF($D$13&gt;=1,MIN($D$13,G48),G48*$D$13),IF($E$13="",9E+99,$E$13)),0),ROUNDUP(MIN(IF($D$13&gt;=1,MIN($D$13,G48),G48*$D$13),IF($E$13="",9E+99,$E$13)),0))))</f>
        <v/>
      </c>
      <c r="M48" s="20">
        <f>IF(G48="","",IF(OR($D$14="",$H$14="X",G48&lt;N($C$14)),0,IF(B48="G마켓",ROUNDDOWN(MIN(IF($D$14&gt;=1,MIN($D$14,G48),G48*$D$14),IF($E$14="",9E+99,$E$14)),0),ROUNDUP(MIN(IF($D$14&gt;=1,MIN($D$14,G48),G48*$D$14),IF($E$14="",9E+99,$E$14)),0))))</f>
        <v/>
      </c>
      <c r="N48" s="19">
        <f>IF(G48="","",G48-MAX(I48:M48))</f>
        <v/>
      </c>
      <c r="O48" s="20">
        <f>IF(N48="","",IF(OR($D$18="",$H$18="X",N48&lt;N($C$18)),0,IF(B48="G마켓",ROUNDDOWN(MIN(IF($D$18&gt;=1,MIN($D$18,N48),N48*$D$18),IF($E$18="",9E+99,$E$18)),0),ROUNDUP(MIN(IF($D$18&gt;=1,MIN($D$18,N48),N48*$D$18),IF($E$18="",9E+99,$E$18)),0))))</f>
        <v/>
      </c>
      <c r="P48" s="20">
        <f>IF(N48="","",IF(OR($D$19="",$H$19="X",N48&lt;N($C$19)),0,IF(B48="G마켓",ROUNDDOWN(MIN(IF($D$19&gt;=1,MIN($D$19,N48),N48*$D$19),IF($E$19="",9E+99,$E$19)),0),ROUNDUP(MIN(IF($D$19&gt;=1,MIN($D$19,N48),N48*$D$19),IF($E$19="",9E+99,$E$19)),0))))</f>
        <v/>
      </c>
      <c r="Q48" s="20">
        <f>IF(N48="","",IF(OR($D$20="",$H$20="X",N48&lt;N($C$20)),0,IF(B48="G마켓",ROUNDDOWN(MIN(IF($D$20&gt;=1,MIN($D$20,N48),N48*$D$20),IF($E$20="",9E+99,$E$20)),0),ROUNDUP(MIN(IF($D$20&gt;=1,MIN($D$20,N48),N48*$D$20),IF($E$20="",9E+99,$E$20)),0))))</f>
        <v/>
      </c>
      <c r="R48" s="20">
        <f>IF(N48="","",IF(OR($D$21="",$H$21="X",N48&lt;N($C$21)),0,IF(B48="G마켓",ROUNDDOWN(MIN(IF($D$21&gt;=1,MIN($D$21,N48),N48*$D$21),IF($E$21="",9E+99,$E$21)),0),ROUNDUP(MIN(IF($D$21&gt;=1,MIN($D$21,N48),N48*$D$21),IF($E$21="",9E+99,$E$21)),0))))</f>
        <v/>
      </c>
      <c r="S48" s="19">
        <f>IF(G48="","",N48-MAX(O48:R48))</f>
        <v/>
      </c>
      <c r="T48" s="20">
        <f>IF(S48="","",IF(OR($D$25="",S48&lt;N($C$25)),0,IF(B48="G마켓",ROUNDDOWN(MIN(IF($D$25&gt;=1,MIN($D$25,S48),S48*$D$25),IF($E$25="",9E+99,$E$25)),0),ROUNDUP(MIN(IF($D$25&gt;=1,MIN($D$25,S48),S48*$D$25),IF($E$25="",9E+99,$E$25)),0))))</f>
        <v/>
      </c>
      <c r="U48" s="20">
        <f>IF(S48="","",IF(OR($D$26="",S48&lt;N($C$26)),0,IF(B48="G마켓",ROUNDDOWN(MIN(IF($D$26&gt;=1,MIN($D$26,S48),S48*$D$26),IF($E$26="",9E+99,$E$26)),0),ROUNDUP(MIN(IF($D$26&gt;=1,MIN($D$26,S48),S48*$D$26),IF($E$26="",9E+99,$E$26)),0))))</f>
        <v/>
      </c>
      <c r="V48" s="20">
        <f>IF(S48="","",IF(OR($D$27="",S48&lt;N($C$27)),0,IF(B48="G마켓",ROUNDDOWN(MIN(IF($D$27&gt;=1,MIN($D$27,S48),S48*$D$27),IF($E$27="",9E+99,$E$27)),0),ROUNDUP(MIN(IF($D$27&gt;=1,MIN($D$27,S48),S48*$D$27),IF($E$27="",9E+99,$E$27)),0))))</f>
        <v/>
      </c>
      <c r="W48" s="19">
        <f>IF(G48="","",MAX(T48:V48))</f>
        <v/>
      </c>
      <c r="X48" s="21">
        <f>IF(G48="","",S48-W48)</f>
        <v/>
      </c>
      <c r="Y48" s="19">
        <f>IF(G48="","",IF(B48="G마켓",ROUNDDOWN(MAX(I48*N($G$10),J48*N($G$11),K48*N($G$12),L48*N($G$13),M48*N($G$14))+MAX(O48*N($G$18),P48*N($G$19),Q48*N($G$20),R48*N($G$21))+MAX(T48*N($G$25),U48*N($G$26),V48*N($G$27)),0),ROUNDUP(MAX(I48*N($G$10),J48*N($G$11),K48*N($G$12),L48*N($G$13),M48*N($G$14))+MAX(O48*N($G$18),P48*N($G$19),Q48*N($G$20),R48*N($G$21))+MAX(T48*N($G$25),U48*N($G$26),V48*N($G$27)),0)))</f>
        <v/>
      </c>
      <c r="Z48" s="21">
        <f>IF(G48="","",IF(B48="G마켓",ROUNDDOWN(G48-G48*$Q$6-Y48,0),ROUNDUP(G48-G48*$Q$6-Y48,0)))</f>
        <v/>
      </c>
    </row>
    <row r="49">
      <c r="B49" s="7" t="n"/>
      <c r="C49" s="7" t="n"/>
      <c r="D49" s="22" t="n"/>
      <c r="E49" s="23" t="n"/>
      <c r="F49" s="23" t="n"/>
      <c r="G49" s="19">
        <f>IF(E49="","",E49-N(F49))</f>
        <v/>
      </c>
      <c r="I49" s="20">
        <f>IF(G49="","",IF(OR($D$10="",$H$10="X",G49&lt;N($C$10)),0,IF(B49="G마켓",ROUNDDOWN(MIN(IF($D$10&gt;=1,MIN($D$10,G49),G49*$D$10),IF($E$10="",9E+99,$E$10)),0),ROUNDUP(MIN(IF($D$10&gt;=1,MIN($D$10,G49),G49*$D$10),IF($E$10="",9E+99,$E$10)),0))))</f>
        <v/>
      </c>
      <c r="J49" s="20">
        <f>IF(G49="","",IF(OR($D$11="",$H$11="X",G49&lt;N($C$11)),0,IF(B49="G마켓",ROUNDDOWN(MIN(IF($D$11&gt;=1,MIN($D$11,G49),G49*$D$11),IF($E$11="",9E+99,$E$11)),0),ROUNDUP(MIN(IF($D$11&gt;=1,MIN($D$11,G49),G49*$D$11),IF($E$11="",9E+99,$E$11)),0))))</f>
        <v/>
      </c>
      <c r="K49" s="20">
        <f>IF(G49="","",IF(OR($D$12="",$H$12="X",G49&lt;N($C$12)),0,IF(B49="G마켓",ROUNDDOWN(MIN(IF($D$12&gt;=1,MIN($D$12,G49),G49*$D$12),IF($E$12="",9E+99,$E$12)),0),ROUNDUP(MIN(IF($D$12&gt;=1,MIN($D$12,G49),G49*$D$12),IF($E$12="",9E+99,$E$12)),0))))</f>
        <v/>
      </c>
      <c r="L49" s="20">
        <f>IF(G49="","",IF(OR($D$13="",$H$13="X",G49&lt;N($C$13)),0,IF(B49="G마켓",ROUNDDOWN(MIN(IF($D$13&gt;=1,MIN($D$13,G49),G49*$D$13),IF($E$13="",9E+99,$E$13)),0),ROUNDUP(MIN(IF($D$13&gt;=1,MIN($D$13,G49),G49*$D$13),IF($E$13="",9E+99,$E$13)),0))))</f>
        <v/>
      </c>
      <c r="M49" s="20">
        <f>IF(G49="","",IF(OR($D$14="",$H$14="X",G49&lt;N($C$14)),0,IF(B49="G마켓",ROUNDDOWN(MIN(IF($D$14&gt;=1,MIN($D$14,G49),G49*$D$14),IF($E$14="",9E+99,$E$14)),0),ROUNDUP(MIN(IF($D$14&gt;=1,MIN($D$14,G49),G49*$D$14),IF($E$14="",9E+99,$E$14)),0))))</f>
        <v/>
      </c>
      <c r="N49" s="19">
        <f>IF(G49="","",G49-MAX(I49:M49))</f>
        <v/>
      </c>
      <c r="O49" s="20">
        <f>IF(N49="","",IF(OR($D$18="",$H$18="X",N49&lt;N($C$18)),0,IF(B49="G마켓",ROUNDDOWN(MIN(IF($D$18&gt;=1,MIN($D$18,N49),N49*$D$18),IF($E$18="",9E+99,$E$18)),0),ROUNDUP(MIN(IF($D$18&gt;=1,MIN($D$18,N49),N49*$D$18),IF($E$18="",9E+99,$E$18)),0))))</f>
        <v/>
      </c>
      <c r="P49" s="20">
        <f>IF(N49="","",IF(OR($D$19="",$H$19="X",N49&lt;N($C$19)),0,IF(B49="G마켓",ROUNDDOWN(MIN(IF($D$19&gt;=1,MIN($D$19,N49),N49*$D$19),IF($E$19="",9E+99,$E$19)),0),ROUNDUP(MIN(IF($D$19&gt;=1,MIN($D$19,N49),N49*$D$19),IF($E$19="",9E+99,$E$19)),0))))</f>
        <v/>
      </c>
      <c r="Q49" s="20">
        <f>IF(N49="","",IF(OR($D$20="",$H$20="X",N49&lt;N($C$20)),0,IF(B49="G마켓",ROUNDDOWN(MIN(IF($D$20&gt;=1,MIN($D$20,N49),N49*$D$20),IF($E$20="",9E+99,$E$20)),0),ROUNDUP(MIN(IF($D$20&gt;=1,MIN($D$20,N49),N49*$D$20),IF($E$20="",9E+99,$E$20)),0))))</f>
        <v/>
      </c>
      <c r="R49" s="20">
        <f>IF(N49="","",IF(OR($D$21="",$H$21="X",N49&lt;N($C$21)),0,IF(B49="G마켓",ROUNDDOWN(MIN(IF($D$21&gt;=1,MIN($D$21,N49),N49*$D$21),IF($E$21="",9E+99,$E$21)),0),ROUNDUP(MIN(IF($D$21&gt;=1,MIN($D$21,N49),N49*$D$21),IF($E$21="",9E+99,$E$21)),0))))</f>
        <v/>
      </c>
      <c r="S49" s="19">
        <f>IF(G49="","",N49-MAX(O49:R49))</f>
        <v/>
      </c>
      <c r="T49" s="20">
        <f>IF(S49="","",IF(OR($D$25="",S49&lt;N($C$25)),0,IF(B49="G마켓",ROUNDDOWN(MIN(IF($D$25&gt;=1,MIN($D$25,S49),S49*$D$25),IF($E$25="",9E+99,$E$25)),0),ROUNDUP(MIN(IF($D$25&gt;=1,MIN($D$25,S49),S49*$D$25),IF($E$25="",9E+99,$E$25)),0))))</f>
        <v/>
      </c>
      <c r="U49" s="20">
        <f>IF(S49="","",IF(OR($D$26="",S49&lt;N($C$26)),0,IF(B49="G마켓",ROUNDDOWN(MIN(IF($D$26&gt;=1,MIN($D$26,S49),S49*$D$26),IF($E$26="",9E+99,$E$26)),0),ROUNDUP(MIN(IF($D$26&gt;=1,MIN($D$26,S49),S49*$D$26),IF($E$26="",9E+99,$E$26)),0))))</f>
        <v/>
      </c>
      <c r="V49" s="20">
        <f>IF(S49="","",IF(OR($D$27="",S49&lt;N($C$27)),0,IF(B49="G마켓",ROUNDDOWN(MIN(IF($D$27&gt;=1,MIN($D$27,S49),S49*$D$27),IF($E$27="",9E+99,$E$27)),0),ROUNDUP(MIN(IF($D$27&gt;=1,MIN($D$27,S49),S49*$D$27),IF($E$27="",9E+99,$E$27)),0))))</f>
        <v/>
      </c>
      <c r="W49" s="19">
        <f>IF(G49="","",MAX(T49:V49))</f>
        <v/>
      </c>
      <c r="X49" s="21">
        <f>IF(G49="","",S49-W49)</f>
        <v/>
      </c>
      <c r="Y49" s="19">
        <f>IF(G49="","",IF(B49="G마켓",ROUNDDOWN(MAX(I49*N($G$10),J49*N($G$11),K49*N($G$12),L49*N($G$13),M49*N($G$14))+MAX(O49*N($G$18),P49*N($G$19),Q49*N($G$20),R49*N($G$21))+MAX(T49*N($G$25),U49*N($G$26),V49*N($G$27)),0),ROUNDUP(MAX(I49*N($G$10),J49*N($G$11),K49*N($G$12),L49*N($G$13),M49*N($G$14))+MAX(O49*N($G$18),P49*N($G$19),Q49*N($G$20),R49*N($G$21))+MAX(T49*N($G$25),U49*N($G$26),V49*N($G$27)),0)))</f>
        <v/>
      </c>
      <c r="Z49" s="21">
        <f>IF(G49="","",IF(B49="G마켓",ROUNDDOWN(G49-G49*$Q$6-Y49,0),ROUNDUP(G49-G49*$Q$6-Y49,0)))</f>
        <v/>
      </c>
    </row>
    <row r="50">
      <c r="B50" s="7" t="n"/>
      <c r="C50" s="7" t="n"/>
      <c r="D50" s="22" t="n"/>
      <c r="E50" s="23" t="n"/>
      <c r="F50" s="23" t="n"/>
      <c r="G50" s="19">
        <f>IF(E50="","",E50-N(F50))</f>
        <v/>
      </c>
      <c r="I50" s="20">
        <f>IF(G50="","",IF(OR($D$10="",$H$10="X",G50&lt;N($C$10)),0,IF(B50="G마켓",ROUNDDOWN(MIN(IF($D$10&gt;=1,MIN($D$10,G50),G50*$D$10),IF($E$10="",9E+99,$E$10)),0),ROUNDUP(MIN(IF($D$10&gt;=1,MIN($D$10,G50),G50*$D$10),IF($E$10="",9E+99,$E$10)),0))))</f>
        <v/>
      </c>
      <c r="J50" s="20">
        <f>IF(G50="","",IF(OR($D$11="",$H$11="X",G50&lt;N($C$11)),0,IF(B50="G마켓",ROUNDDOWN(MIN(IF($D$11&gt;=1,MIN($D$11,G50),G50*$D$11),IF($E$11="",9E+99,$E$11)),0),ROUNDUP(MIN(IF($D$11&gt;=1,MIN($D$11,G50),G50*$D$11),IF($E$11="",9E+99,$E$11)),0))))</f>
        <v/>
      </c>
      <c r="K50" s="20">
        <f>IF(G50="","",IF(OR($D$12="",$H$12="X",G50&lt;N($C$12)),0,IF(B50="G마켓",ROUNDDOWN(MIN(IF($D$12&gt;=1,MIN($D$12,G50),G50*$D$12),IF($E$12="",9E+99,$E$12)),0),ROUNDUP(MIN(IF($D$12&gt;=1,MIN($D$12,G50),G50*$D$12),IF($E$12="",9E+99,$E$12)),0))))</f>
        <v/>
      </c>
      <c r="L50" s="20">
        <f>IF(G50="","",IF(OR($D$13="",$H$13="X",G50&lt;N($C$13)),0,IF(B50="G마켓",ROUNDDOWN(MIN(IF($D$13&gt;=1,MIN($D$13,G50),G50*$D$13),IF($E$13="",9E+99,$E$13)),0),ROUNDUP(MIN(IF($D$13&gt;=1,MIN($D$13,G50),G50*$D$13),IF($E$13="",9E+99,$E$13)),0))))</f>
        <v/>
      </c>
      <c r="M50" s="20">
        <f>IF(G50="","",IF(OR($D$14="",$H$14="X",G50&lt;N($C$14)),0,IF(B50="G마켓",ROUNDDOWN(MIN(IF($D$14&gt;=1,MIN($D$14,G50),G50*$D$14),IF($E$14="",9E+99,$E$14)),0),ROUNDUP(MIN(IF($D$14&gt;=1,MIN($D$14,G50),G50*$D$14),IF($E$14="",9E+99,$E$14)),0))))</f>
        <v/>
      </c>
      <c r="N50" s="19">
        <f>IF(G50="","",G50-MAX(I50:M50))</f>
        <v/>
      </c>
      <c r="O50" s="20">
        <f>IF(N50="","",IF(OR($D$18="",$H$18="X",N50&lt;N($C$18)),0,IF(B50="G마켓",ROUNDDOWN(MIN(IF($D$18&gt;=1,MIN($D$18,N50),N50*$D$18),IF($E$18="",9E+99,$E$18)),0),ROUNDUP(MIN(IF($D$18&gt;=1,MIN($D$18,N50),N50*$D$18),IF($E$18="",9E+99,$E$18)),0))))</f>
        <v/>
      </c>
      <c r="P50" s="20">
        <f>IF(N50="","",IF(OR($D$19="",$H$19="X",N50&lt;N($C$19)),0,IF(B50="G마켓",ROUNDDOWN(MIN(IF($D$19&gt;=1,MIN($D$19,N50),N50*$D$19),IF($E$19="",9E+99,$E$19)),0),ROUNDUP(MIN(IF($D$19&gt;=1,MIN($D$19,N50),N50*$D$19),IF($E$19="",9E+99,$E$19)),0))))</f>
        <v/>
      </c>
      <c r="Q50" s="20">
        <f>IF(N50="","",IF(OR($D$20="",$H$20="X",N50&lt;N($C$20)),0,IF(B50="G마켓",ROUNDDOWN(MIN(IF($D$20&gt;=1,MIN($D$20,N50),N50*$D$20),IF($E$20="",9E+99,$E$20)),0),ROUNDUP(MIN(IF($D$20&gt;=1,MIN($D$20,N50),N50*$D$20),IF($E$20="",9E+99,$E$20)),0))))</f>
        <v/>
      </c>
      <c r="R50" s="20">
        <f>IF(N50="","",IF(OR($D$21="",$H$21="X",N50&lt;N($C$21)),0,IF(B50="G마켓",ROUNDDOWN(MIN(IF($D$21&gt;=1,MIN($D$21,N50),N50*$D$21),IF($E$21="",9E+99,$E$21)),0),ROUNDUP(MIN(IF($D$21&gt;=1,MIN($D$21,N50),N50*$D$21),IF($E$21="",9E+99,$E$21)),0))))</f>
        <v/>
      </c>
      <c r="S50" s="19">
        <f>IF(G50="","",N50-MAX(O50:R50))</f>
        <v/>
      </c>
      <c r="T50" s="20">
        <f>IF(S50="","",IF(OR($D$25="",S50&lt;N($C$25)),0,IF(B50="G마켓",ROUNDDOWN(MIN(IF($D$25&gt;=1,MIN($D$25,S50),S50*$D$25),IF($E$25="",9E+99,$E$25)),0),ROUNDUP(MIN(IF($D$25&gt;=1,MIN($D$25,S50),S50*$D$25),IF($E$25="",9E+99,$E$25)),0))))</f>
        <v/>
      </c>
      <c r="U50" s="20">
        <f>IF(S50="","",IF(OR($D$26="",S50&lt;N($C$26)),0,IF(B50="G마켓",ROUNDDOWN(MIN(IF($D$26&gt;=1,MIN($D$26,S50),S50*$D$26),IF($E$26="",9E+99,$E$26)),0),ROUNDUP(MIN(IF($D$26&gt;=1,MIN($D$26,S50),S50*$D$26),IF($E$26="",9E+99,$E$26)),0))))</f>
        <v/>
      </c>
      <c r="V50" s="20">
        <f>IF(S50="","",IF(OR($D$27="",S50&lt;N($C$27)),0,IF(B50="G마켓",ROUNDDOWN(MIN(IF($D$27&gt;=1,MIN($D$27,S50),S50*$D$27),IF($E$27="",9E+99,$E$27)),0),ROUNDUP(MIN(IF($D$27&gt;=1,MIN($D$27,S50),S50*$D$27),IF($E$27="",9E+99,$E$27)),0))))</f>
        <v/>
      </c>
      <c r="W50" s="19">
        <f>IF(G50="","",MAX(T50:V50))</f>
        <v/>
      </c>
      <c r="X50" s="21">
        <f>IF(G50="","",S50-W50)</f>
        <v/>
      </c>
      <c r="Y50" s="19">
        <f>IF(G50="","",IF(B50="G마켓",ROUNDDOWN(MAX(I50*N($G$10),J50*N($G$11),K50*N($G$12),L50*N($G$13),M50*N($G$14))+MAX(O50*N($G$18),P50*N($G$19),Q50*N($G$20),R50*N($G$21))+MAX(T50*N($G$25),U50*N($G$26),V50*N($G$27)),0),ROUNDUP(MAX(I50*N($G$10),J50*N($G$11),K50*N($G$12),L50*N($G$13),M50*N($G$14))+MAX(O50*N($G$18),P50*N($G$19),Q50*N($G$20),R50*N($G$21))+MAX(T50*N($G$25),U50*N($G$26),V50*N($G$27)),0)))</f>
        <v/>
      </c>
      <c r="Z50" s="21">
        <f>IF(G50="","",IF(B50="G마켓",ROUNDDOWN(G50-G50*$Q$6-Y50,0),ROUNDUP(G50-G50*$Q$6-Y50,0)))</f>
        <v/>
      </c>
    </row>
    <row r="51">
      <c r="B51" s="7" t="n"/>
      <c r="C51" s="7" t="n"/>
      <c r="D51" s="22" t="n"/>
      <c r="E51" s="23" t="n"/>
      <c r="F51" s="23" t="n"/>
      <c r="G51" s="19">
        <f>IF(E51="","",E51-N(F51))</f>
        <v/>
      </c>
      <c r="I51" s="20">
        <f>IF(G51="","",IF(OR($D$10="",$H$10="X",G51&lt;N($C$10)),0,IF(B51="G마켓",ROUNDDOWN(MIN(IF($D$10&gt;=1,MIN($D$10,G51),G51*$D$10),IF($E$10="",9E+99,$E$10)),0),ROUNDUP(MIN(IF($D$10&gt;=1,MIN($D$10,G51),G51*$D$10),IF($E$10="",9E+99,$E$10)),0))))</f>
        <v/>
      </c>
      <c r="J51" s="20">
        <f>IF(G51="","",IF(OR($D$11="",$H$11="X",G51&lt;N($C$11)),0,IF(B51="G마켓",ROUNDDOWN(MIN(IF($D$11&gt;=1,MIN($D$11,G51),G51*$D$11),IF($E$11="",9E+99,$E$11)),0),ROUNDUP(MIN(IF($D$11&gt;=1,MIN($D$11,G51),G51*$D$11),IF($E$11="",9E+99,$E$11)),0))))</f>
        <v/>
      </c>
      <c r="K51" s="20">
        <f>IF(G51="","",IF(OR($D$12="",$H$12="X",G51&lt;N($C$12)),0,IF(B51="G마켓",ROUNDDOWN(MIN(IF($D$12&gt;=1,MIN($D$12,G51),G51*$D$12),IF($E$12="",9E+99,$E$12)),0),ROUNDUP(MIN(IF($D$12&gt;=1,MIN($D$12,G51),G51*$D$12),IF($E$12="",9E+99,$E$12)),0))))</f>
        <v/>
      </c>
      <c r="L51" s="20">
        <f>IF(G51="","",IF(OR($D$13="",$H$13="X",G51&lt;N($C$13)),0,IF(B51="G마켓",ROUNDDOWN(MIN(IF($D$13&gt;=1,MIN($D$13,G51),G51*$D$13),IF($E$13="",9E+99,$E$13)),0),ROUNDUP(MIN(IF($D$13&gt;=1,MIN($D$13,G51),G51*$D$13),IF($E$13="",9E+99,$E$13)),0))))</f>
        <v/>
      </c>
      <c r="M51" s="20">
        <f>IF(G51="","",IF(OR($D$14="",$H$14="X",G51&lt;N($C$14)),0,IF(B51="G마켓",ROUNDDOWN(MIN(IF($D$14&gt;=1,MIN($D$14,G51),G51*$D$14),IF($E$14="",9E+99,$E$14)),0),ROUNDUP(MIN(IF($D$14&gt;=1,MIN($D$14,G51),G51*$D$14),IF($E$14="",9E+99,$E$14)),0))))</f>
        <v/>
      </c>
      <c r="N51" s="19">
        <f>IF(G51="","",G51-MAX(I51:M51))</f>
        <v/>
      </c>
      <c r="O51" s="20">
        <f>IF(N51="","",IF(OR($D$18="",$H$18="X",N51&lt;N($C$18)),0,IF(B51="G마켓",ROUNDDOWN(MIN(IF($D$18&gt;=1,MIN($D$18,N51),N51*$D$18),IF($E$18="",9E+99,$E$18)),0),ROUNDUP(MIN(IF($D$18&gt;=1,MIN($D$18,N51),N51*$D$18),IF($E$18="",9E+99,$E$18)),0))))</f>
        <v/>
      </c>
      <c r="P51" s="20">
        <f>IF(N51="","",IF(OR($D$19="",$H$19="X",N51&lt;N($C$19)),0,IF(B51="G마켓",ROUNDDOWN(MIN(IF($D$19&gt;=1,MIN($D$19,N51),N51*$D$19),IF($E$19="",9E+99,$E$19)),0),ROUNDUP(MIN(IF($D$19&gt;=1,MIN($D$19,N51),N51*$D$19),IF($E$19="",9E+99,$E$19)),0))))</f>
        <v/>
      </c>
      <c r="Q51" s="20">
        <f>IF(N51="","",IF(OR($D$20="",$H$20="X",N51&lt;N($C$20)),0,IF(B51="G마켓",ROUNDDOWN(MIN(IF($D$20&gt;=1,MIN($D$20,N51),N51*$D$20),IF($E$20="",9E+99,$E$20)),0),ROUNDUP(MIN(IF($D$20&gt;=1,MIN($D$20,N51),N51*$D$20),IF($E$20="",9E+99,$E$20)),0))))</f>
        <v/>
      </c>
      <c r="R51" s="20">
        <f>IF(N51="","",IF(OR($D$21="",$H$21="X",N51&lt;N($C$21)),0,IF(B51="G마켓",ROUNDDOWN(MIN(IF($D$21&gt;=1,MIN($D$21,N51),N51*$D$21),IF($E$21="",9E+99,$E$21)),0),ROUNDUP(MIN(IF($D$21&gt;=1,MIN($D$21,N51),N51*$D$21),IF($E$21="",9E+99,$E$21)),0))))</f>
        <v/>
      </c>
      <c r="S51" s="19">
        <f>IF(G51="","",N51-MAX(O51:R51))</f>
        <v/>
      </c>
      <c r="T51" s="20">
        <f>IF(S51="","",IF(OR($D$25="",S51&lt;N($C$25)),0,IF(B51="G마켓",ROUNDDOWN(MIN(IF($D$25&gt;=1,MIN($D$25,S51),S51*$D$25),IF($E$25="",9E+99,$E$25)),0),ROUNDUP(MIN(IF($D$25&gt;=1,MIN($D$25,S51),S51*$D$25),IF($E$25="",9E+99,$E$25)),0))))</f>
        <v/>
      </c>
      <c r="U51" s="20">
        <f>IF(S51="","",IF(OR($D$26="",S51&lt;N($C$26)),0,IF(B51="G마켓",ROUNDDOWN(MIN(IF($D$26&gt;=1,MIN($D$26,S51),S51*$D$26),IF($E$26="",9E+99,$E$26)),0),ROUNDUP(MIN(IF($D$26&gt;=1,MIN($D$26,S51),S51*$D$26),IF($E$26="",9E+99,$E$26)),0))))</f>
        <v/>
      </c>
      <c r="V51" s="20">
        <f>IF(S51="","",IF(OR($D$27="",S51&lt;N($C$27)),0,IF(B51="G마켓",ROUNDDOWN(MIN(IF($D$27&gt;=1,MIN($D$27,S51),S51*$D$27),IF($E$27="",9E+99,$E$27)),0),ROUNDUP(MIN(IF($D$27&gt;=1,MIN($D$27,S51),S51*$D$27),IF($E$27="",9E+99,$E$27)),0))))</f>
        <v/>
      </c>
      <c r="W51" s="19">
        <f>IF(G51="","",MAX(T51:V51))</f>
        <v/>
      </c>
      <c r="X51" s="21">
        <f>IF(G51="","",S51-W51)</f>
        <v/>
      </c>
      <c r="Y51" s="19">
        <f>IF(G51="","",IF(B51="G마켓",ROUNDDOWN(MAX(I51*N($G$10),J51*N($G$11),K51*N($G$12),L51*N($G$13),M51*N($G$14))+MAX(O51*N($G$18),P51*N($G$19),Q51*N($G$20),R51*N($G$21))+MAX(T51*N($G$25),U51*N($G$26),V51*N($G$27)),0),ROUNDUP(MAX(I51*N($G$10),J51*N($G$11),K51*N($G$12),L51*N($G$13),M51*N($G$14))+MAX(O51*N($G$18),P51*N($G$19),Q51*N($G$20),R51*N($G$21))+MAX(T51*N($G$25),U51*N($G$26),V51*N($G$27)),0)))</f>
        <v/>
      </c>
      <c r="Z51" s="21">
        <f>IF(G51="","",IF(B51="G마켓",ROUNDDOWN(G51-G51*$Q$6-Y51,0),ROUNDUP(G51-G51*$Q$6-Y51,0)))</f>
        <v/>
      </c>
    </row>
    <row r="52">
      <c r="B52" s="7" t="n"/>
      <c r="C52" s="7" t="n"/>
      <c r="D52" s="22" t="n"/>
      <c r="E52" s="23" t="n"/>
      <c r="F52" s="23" t="n"/>
      <c r="G52" s="19">
        <f>IF(E52="","",E52-N(F52))</f>
        <v/>
      </c>
      <c r="I52" s="20">
        <f>IF(G52="","",IF(OR($D$10="",$H$10="X",G52&lt;N($C$10)),0,IF(B52="G마켓",ROUNDDOWN(MIN(IF($D$10&gt;=1,MIN($D$10,G52),G52*$D$10),IF($E$10="",9E+99,$E$10)),0),ROUNDUP(MIN(IF($D$10&gt;=1,MIN($D$10,G52),G52*$D$10),IF($E$10="",9E+99,$E$10)),0))))</f>
        <v/>
      </c>
      <c r="J52" s="20">
        <f>IF(G52="","",IF(OR($D$11="",$H$11="X",G52&lt;N($C$11)),0,IF(B52="G마켓",ROUNDDOWN(MIN(IF($D$11&gt;=1,MIN($D$11,G52),G52*$D$11),IF($E$11="",9E+99,$E$11)),0),ROUNDUP(MIN(IF($D$11&gt;=1,MIN($D$11,G52),G52*$D$11),IF($E$11="",9E+99,$E$11)),0))))</f>
        <v/>
      </c>
      <c r="K52" s="20">
        <f>IF(G52="","",IF(OR($D$12="",$H$12="X",G52&lt;N($C$12)),0,IF(B52="G마켓",ROUNDDOWN(MIN(IF($D$12&gt;=1,MIN($D$12,G52),G52*$D$12),IF($E$12="",9E+99,$E$12)),0),ROUNDUP(MIN(IF($D$12&gt;=1,MIN($D$12,G52),G52*$D$12),IF($E$12="",9E+99,$E$12)),0))))</f>
        <v/>
      </c>
      <c r="L52" s="20">
        <f>IF(G52="","",IF(OR($D$13="",$H$13="X",G52&lt;N($C$13)),0,IF(B52="G마켓",ROUNDDOWN(MIN(IF($D$13&gt;=1,MIN($D$13,G52),G52*$D$13),IF($E$13="",9E+99,$E$13)),0),ROUNDUP(MIN(IF($D$13&gt;=1,MIN($D$13,G52),G52*$D$13),IF($E$13="",9E+99,$E$13)),0))))</f>
        <v/>
      </c>
      <c r="M52" s="20">
        <f>IF(G52="","",IF(OR($D$14="",$H$14="X",G52&lt;N($C$14)),0,IF(B52="G마켓",ROUNDDOWN(MIN(IF($D$14&gt;=1,MIN($D$14,G52),G52*$D$14),IF($E$14="",9E+99,$E$14)),0),ROUNDUP(MIN(IF($D$14&gt;=1,MIN($D$14,G52),G52*$D$14),IF($E$14="",9E+99,$E$14)),0))))</f>
        <v/>
      </c>
      <c r="N52" s="19">
        <f>IF(G52="","",G52-MAX(I52:M52))</f>
        <v/>
      </c>
      <c r="O52" s="20">
        <f>IF(N52="","",IF(OR($D$18="",$H$18="X",N52&lt;N($C$18)),0,IF(B52="G마켓",ROUNDDOWN(MIN(IF($D$18&gt;=1,MIN($D$18,N52),N52*$D$18),IF($E$18="",9E+99,$E$18)),0),ROUNDUP(MIN(IF($D$18&gt;=1,MIN($D$18,N52),N52*$D$18),IF($E$18="",9E+99,$E$18)),0))))</f>
        <v/>
      </c>
      <c r="P52" s="20">
        <f>IF(N52="","",IF(OR($D$19="",$H$19="X",N52&lt;N($C$19)),0,IF(B52="G마켓",ROUNDDOWN(MIN(IF($D$19&gt;=1,MIN($D$19,N52),N52*$D$19),IF($E$19="",9E+99,$E$19)),0),ROUNDUP(MIN(IF($D$19&gt;=1,MIN($D$19,N52),N52*$D$19),IF($E$19="",9E+99,$E$19)),0))))</f>
        <v/>
      </c>
      <c r="Q52" s="20">
        <f>IF(N52="","",IF(OR($D$20="",$H$20="X",N52&lt;N($C$20)),0,IF(B52="G마켓",ROUNDDOWN(MIN(IF($D$20&gt;=1,MIN($D$20,N52),N52*$D$20),IF($E$20="",9E+99,$E$20)),0),ROUNDUP(MIN(IF($D$20&gt;=1,MIN($D$20,N52),N52*$D$20),IF($E$20="",9E+99,$E$20)),0))))</f>
        <v/>
      </c>
      <c r="R52" s="20">
        <f>IF(N52="","",IF(OR($D$21="",$H$21="X",N52&lt;N($C$21)),0,IF(B52="G마켓",ROUNDDOWN(MIN(IF($D$21&gt;=1,MIN($D$21,N52),N52*$D$21),IF($E$21="",9E+99,$E$21)),0),ROUNDUP(MIN(IF($D$21&gt;=1,MIN($D$21,N52),N52*$D$21),IF($E$21="",9E+99,$E$21)),0))))</f>
        <v/>
      </c>
      <c r="S52" s="19">
        <f>IF(G52="","",N52-MAX(O52:R52))</f>
        <v/>
      </c>
      <c r="T52" s="20">
        <f>IF(S52="","",IF(OR($D$25="",S52&lt;N($C$25)),0,IF(B52="G마켓",ROUNDDOWN(MIN(IF($D$25&gt;=1,MIN($D$25,S52),S52*$D$25),IF($E$25="",9E+99,$E$25)),0),ROUNDUP(MIN(IF($D$25&gt;=1,MIN($D$25,S52),S52*$D$25),IF($E$25="",9E+99,$E$25)),0))))</f>
        <v/>
      </c>
      <c r="U52" s="20">
        <f>IF(S52="","",IF(OR($D$26="",S52&lt;N($C$26)),0,IF(B52="G마켓",ROUNDDOWN(MIN(IF($D$26&gt;=1,MIN($D$26,S52),S52*$D$26),IF($E$26="",9E+99,$E$26)),0),ROUNDUP(MIN(IF($D$26&gt;=1,MIN($D$26,S52),S52*$D$26),IF($E$26="",9E+99,$E$26)),0))))</f>
        <v/>
      </c>
      <c r="V52" s="20">
        <f>IF(S52="","",IF(OR($D$27="",S52&lt;N($C$27)),0,IF(B52="G마켓",ROUNDDOWN(MIN(IF($D$27&gt;=1,MIN($D$27,S52),S52*$D$27),IF($E$27="",9E+99,$E$27)),0),ROUNDUP(MIN(IF($D$27&gt;=1,MIN($D$27,S52),S52*$D$27),IF($E$27="",9E+99,$E$27)),0))))</f>
        <v/>
      </c>
      <c r="W52" s="19">
        <f>IF(G52="","",MAX(T52:V52))</f>
        <v/>
      </c>
      <c r="X52" s="21">
        <f>IF(G52="","",S52-W52)</f>
        <v/>
      </c>
      <c r="Y52" s="19">
        <f>IF(G52="","",IF(B52="G마켓",ROUNDDOWN(MAX(I52*N($G$10),J52*N($G$11),K52*N($G$12),L52*N($G$13),M52*N($G$14))+MAX(O52*N($G$18),P52*N($G$19),Q52*N($G$20),R52*N($G$21))+MAX(T52*N($G$25),U52*N($G$26),V52*N($G$27)),0),ROUNDUP(MAX(I52*N($G$10),J52*N($G$11),K52*N($G$12),L52*N($G$13),M52*N($G$14))+MAX(O52*N($G$18),P52*N($G$19),Q52*N($G$20),R52*N($G$21))+MAX(T52*N($G$25),U52*N($G$26),V52*N($G$27)),0)))</f>
        <v/>
      </c>
      <c r="Z52" s="21">
        <f>IF(G52="","",IF(B52="G마켓",ROUNDDOWN(G52-G52*$Q$6-Y52,0),ROUNDUP(G52-G52*$Q$6-Y52,0)))</f>
        <v/>
      </c>
    </row>
    <row r="53">
      <c r="B53" s="7" t="n"/>
      <c r="C53" s="7" t="n"/>
      <c r="D53" s="22" t="n"/>
      <c r="E53" s="23" t="n"/>
      <c r="F53" s="23" t="n"/>
      <c r="G53" s="19">
        <f>IF(E53="","",E53-N(F53))</f>
        <v/>
      </c>
      <c r="I53" s="20">
        <f>IF(G53="","",IF(OR($D$10="",$H$10="X",G53&lt;N($C$10)),0,IF(B53="G마켓",ROUNDDOWN(MIN(IF($D$10&gt;=1,MIN($D$10,G53),G53*$D$10),IF($E$10="",9E+99,$E$10)),0),ROUNDUP(MIN(IF($D$10&gt;=1,MIN($D$10,G53),G53*$D$10),IF($E$10="",9E+99,$E$10)),0))))</f>
        <v/>
      </c>
      <c r="J53" s="20">
        <f>IF(G53="","",IF(OR($D$11="",$H$11="X",G53&lt;N($C$11)),0,IF(B53="G마켓",ROUNDDOWN(MIN(IF($D$11&gt;=1,MIN($D$11,G53),G53*$D$11),IF($E$11="",9E+99,$E$11)),0),ROUNDUP(MIN(IF($D$11&gt;=1,MIN($D$11,G53),G53*$D$11),IF($E$11="",9E+99,$E$11)),0))))</f>
        <v/>
      </c>
      <c r="K53" s="20">
        <f>IF(G53="","",IF(OR($D$12="",$H$12="X",G53&lt;N($C$12)),0,IF(B53="G마켓",ROUNDDOWN(MIN(IF($D$12&gt;=1,MIN($D$12,G53),G53*$D$12),IF($E$12="",9E+99,$E$12)),0),ROUNDUP(MIN(IF($D$12&gt;=1,MIN($D$12,G53),G53*$D$12),IF($E$12="",9E+99,$E$12)),0))))</f>
        <v/>
      </c>
      <c r="L53" s="20">
        <f>IF(G53="","",IF(OR($D$13="",$H$13="X",G53&lt;N($C$13)),0,IF(B53="G마켓",ROUNDDOWN(MIN(IF($D$13&gt;=1,MIN($D$13,G53),G53*$D$13),IF($E$13="",9E+99,$E$13)),0),ROUNDUP(MIN(IF($D$13&gt;=1,MIN($D$13,G53),G53*$D$13),IF($E$13="",9E+99,$E$13)),0))))</f>
        <v/>
      </c>
      <c r="M53" s="20">
        <f>IF(G53="","",IF(OR($D$14="",$H$14="X",G53&lt;N($C$14)),0,IF(B53="G마켓",ROUNDDOWN(MIN(IF($D$14&gt;=1,MIN($D$14,G53),G53*$D$14),IF($E$14="",9E+99,$E$14)),0),ROUNDUP(MIN(IF($D$14&gt;=1,MIN($D$14,G53),G53*$D$14),IF($E$14="",9E+99,$E$14)),0))))</f>
        <v/>
      </c>
      <c r="N53" s="19">
        <f>IF(G53="","",G53-MAX(I53:M53))</f>
        <v/>
      </c>
      <c r="O53" s="20">
        <f>IF(N53="","",IF(OR($D$18="",$H$18="X",N53&lt;N($C$18)),0,IF(B53="G마켓",ROUNDDOWN(MIN(IF($D$18&gt;=1,MIN($D$18,N53),N53*$D$18),IF($E$18="",9E+99,$E$18)),0),ROUNDUP(MIN(IF($D$18&gt;=1,MIN($D$18,N53),N53*$D$18),IF($E$18="",9E+99,$E$18)),0))))</f>
        <v/>
      </c>
      <c r="P53" s="20">
        <f>IF(N53="","",IF(OR($D$19="",$H$19="X",N53&lt;N($C$19)),0,IF(B53="G마켓",ROUNDDOWN(MIN(IF($D$19&gt;=1,MIN($D$19,N53),N53*$D$19),IF($E$19="",9E+99,$E$19)),0),ROUNDUP(MIN(IF($D$19&gt;=1,MIN($D$19,N53),N53*$D$19),IF($E$19="",9E+99,$E$19)),0))))</f>
        <v/>
      </c>
      <c r="Q53" s="20">
        <f>IF(N53="","",IF(OR($D$20="",$H$20="X",N53&lt;N($C$20)),0,IF(B53="G마켓",ROUNDDOWN(MIN(IF($D$20&gt;=1,MIN($D$20,N53),N53*$D$20),IF($E$20="",9E+99,$E$20)),0),ROUNDUP(MIN(IF($D$20&gt;=1,MIN($D$20,N53),N53*$D$20),IF($E$20="",9E+99,$E$20)),0))))</f>
        <v/>
      </c>
      <c r="R53" s="20">
        <f>IF(N53="","",IF(OR($D$21="",$H$21="X",N53&lt;N($C$21)),0,IF(B53="G마켓",ROUNDDOWN(MIN(IF($D$21&gt;=1,MIN($D$21,N53),N53*$D$21),IF($E$21="",9E+99,$E$21)),0),ROUNDUP(MIN(IF($D$21&gt;=1,MIN($D$21,N53),N53*$D$21),IF($E$21="",9E+99,$E$21)),0))))</f>
        <v/>
      </c>
      <c r="S53" s="19">
        <f>IF(G53="","",N53-MAX(O53:R53))</f>
        <v/>
      </c>
      <c r="T53" s="20">
        <f>IF(S53="","",IF(OR($D$25="",S53&lt;N($C$25)),0,IF(B53="G마켓",ROUNDDOWN(MIN(IF($D$25&gt;=1,MIN($D$25,S53),S53*$D$25),IF($E$25="",9E+99,$E$25)),0),ROUNDUP(MIN(IF($D$25&gt;=1,MIN($D$25,S53),S53*$D$25),IF($E$25="",9E+99,$E$25)),0))))</f>
        <v/>
      </c>
      <c r="U53" s="20">
        <f>IF(S53="","",IF(OR($D$26="",S53&lt;N($C$26)),0,IF(B53="G마켓",ROUNDDOWN(MIN(IF($D$26&gt;=1,MIN($D$26,S53),S53*$D$26),IF($E$26="",9E+99,$E$26)),0),ROUNDUP(MIN(IF($D$26&gt;=1,MIN($D$26,S53),S53*$D$26),IF($E$26="",9E+99,$E$26)),0))))</f>
        <v/>
      </c>
      <c r="V53" s="20">
        <f>IF(S53="","",IF(OR($D$27="",S53&lt;N($C$27)),0,IF(B53="G마켓",ROUNDDOWN(MIN(IF($D$27&gt;=1,MIN($D$27,S53),S53*$D$27),IF($E$27="",9E+99,$E$27)),0),ROUNDUP(MIN(IF($D$27&gt;=1,MIN($D$27,S53),S53*$D$27),IF($E$27="",9E+99,$E$27)),0))))</f>
        <v/>
      </c>
      <c r="W53" s="19">
        <f>IF(G53="","",MAX(T53:V53))</f>
        <v/>
      </c>
      <c r="X53" s="21">
        <f>IF(G53="","",S53-W53)</f>
        <v/>
      </c>
      <c r="Y53" s="19">
        <f>IF(G53="","",IF(B53="G마켓",ROUNDDOWN(MAX(I53*N($G$10),J53*N($G$11),K53*N($G$12),L53*N($G$13),M53*N($G$14))+MAX(O53*N($G$18),P53*N($G$19),Q53*N($G$20),R53*N($G$21))+MAX(T53*N($G$25),U53*N($G$26),V53*N($G$27)),0),ROUNDUP(MAX(I53*N($G$10),J53*N($G$11),K53*N($G$12),L53*N($G$13),M53*N($G$14))+MAX(O53*N($G$18),P53*N($G$19),Q53*N($G$20),R53*N($G$21))+MAX(T53*N($G$25),U53*N($G$26),V53*N($G$27)),0)))</f>
        <v/>
      </c>
      <c r="Z53" s="21">
        <f>IF(G53="","",IF(B53="G마켓",ROUNDDOWN(G53-G53*$Q$6-Y53,0),ROUNDUP(G53-G53*$Q$6-Y53,0)))</f>
        <v/>
      </c>
    </row>
    <row r="54">
      <c r="B54" s="7" t="n"/>
      <c r="C54" s="7" t="n"/>
      <c r="D54" s="22" t="n"/>
      <c r="E54" s="23" t="n"/>
      <c r="F54" s="23" t="n"/>
      <c r="G54" s="19">
        <f>IF(E54="","",E54-N(F54))</f>
        <v/>
      </c>
      <c r="I54" s="20">
        <f>IF(G54="","",IF(OR($D$10="",$H$10="X",G54&lt;N($C$10)),0,IF(B54="G마켓",ROUNDDOWN(MIN(IF($D$10&gt;=1,MIN($D$10,G54),G54*$D$10),IF($E$10="",9E+99,$E$10)),0),ROUNDUP(MIN(IF($D$10&gt;=1,MIN($D$10,G54),G54*$D$10),IF($E$10="",9E+99,$E$10)),0))))</f>
        <v/>
      </c>
      <c r="J54" s="20">
        <f>IF(G54="","",IF(OR($D$11="",$H$11="X",G54&lt;N($C$11)),0,IF(B54="G마켓",ROUNDDOWN(MIN(IF($D$11&gt;=1,MIN($D$11,G54),G54*$D$11),IF($E$11="",9E+99,$E$11)),0),ROUNDUP(MIN(IF($D$11&gt;=1,MIN($D$11,G54),G54*$D$11),IF($E$11="",9E+99,$E$11)),0))))</f>
        <v/>
      </c>
      <c r="K54" s="20">
        <f>IF(G54="","",IF(OR($D$12="",$H$12="X",G54&lt;N($C$12)),0,IF(B54="G마켓",ROUNDDOWN(MIN(IF($D$12&gt;=1,MIN($D$12,G54),G54*$D$12),IF($E$12="",9E+99,$E$12)),0),ROUNDUP(MIN(IF($D$12&gt;=1,MIN($D$12,G54),G54*$D$12),IF($E$12="",9E+99,$E$12)),0))))</f>
        <v/>
      </c>
      <c r="L54" s="20">
        <f>IF(G54="","",IF(OR($D$13="",$H$13="X",G54&lt;N($C$13)),0,IF(B54="G마켓",ROUNDDOWN(MIN(IF($D$13&gt;=1,MIN($D$13,G54),G54*$D$13),IF($E$13="",9E+99,$E$13)),0),ROUNDUP(MIN(IF($D$13&gt;=1,MIN($D$13,G54),G54*$D$13),IF($E$13="",9E+99,$E$13)),0))))</f>
        <v/>
      </c>
      <c r="M54" s="20">
        <f>IF(G54="","",IF(OR($D$14="",$H$14="X",G54&lt;N($C$14)),0,IF(B54="G마켓",ROUNDDOWN(MIN(IF($D$14&gt;=1,MIN($D$14,G54),G54*$D$14),IF($E$14="",9E+99,$E$14)),0),ROUNDUP(MIN(IF($D$14&gt;=1,MIN($D$14,G54),G54*$D$14),IF($E$14="",9E+99,$E$14)),0))))</f>
        <v/>
      </c>
      <c r="N54" s="19">
        <f>IF(G54="","",G54-MAX(I54:M54))</f>
        <v/>
      </c>
      <c r="O54" s="20">
        <f>IF(N54="","",IF(OR($D$18="",$H$18="X",N54&lt;N($C$18)),0,IF(B54="G마켓",ROUNDDOWN(MIN(IF($D$18&gt;=1,MIN($D$18,N54),N54*$D$18),IF($E$18="",9E+99,$E$18)),0),ROUNDUP(MIN(IF($D$18&gt;=1,MIN($D$18,N54),N54*$D$18),IF($E$18="",9E+99,$E$18)),0))))</f>
        <v/>
      </c>
      <c r="P54" s="20">
        <f>IF(N54="","",IF(OR($D$19="",$H$19="X",N54&lt;N($C$19)),0,IF(B54="G마켓",ROUNDDOWN(MIN(IF($D$19&gt;=1,MIN($D$19,N54),N54*$D$19),IF($E$19="",9E+99,$E$19)),0),ROUNDUP(MIN(IF($D$19&gt;=1,MIN($D$19,N54),N54*$D$19),IF($E$19="",9E+99,$E$19)),0))))</f>
        <v/>
      </c>
      <c r="Q54" s="20">
        <f>IF(N54="","",IF(OR($D$20="",$H$20="X",N54&lt;N($C$20)),0,IF(B54="G마켓",ROUNDDOWN(MIN(IF($D$20&gt;=1,MIN($D$20,N54),N54*$D$20),IF($E$20="",9E+99,$E$20)),0),ROUNDUP(MIN(IF($D$20&gt;=1,MIN($D$20,N54),N54*$D$20),IF($E$20="",9E+99,$E$20)),0))))</f>
        <v/>
      </c>
      <c r="R54" s="20">
        <f>IF(N54="","",IF(OR($D$21="",$H$21="X",N54&lt;N($C$21)),0,IF(B54="G마켓",ROUNDDOWN(MIN(IF($D$21&gt;=1,MIN($D$21,N54),N54*$D$21),IF($E$21="",9E+99,$E$21)),0),ROUNDUP(MIN(IF($D$21&gt;=1,MIN($D$21,N54),N54*$D$21),IF($E$21="",9E+99,$E$21)),0))))</f>
        <v/>
      </c>
      <c r="S54" s="19">
        <f>IF(G54="","",N54-MAX(O54:R54))</f>
        <v/>
      </c>
      <c r="T54" s="20">
        <f>IF(S54="","",IF(OR($D$25="",S54&lt;N($C$25)),0,IF(B54="G마켓",ROUNDDOWN(MIN(IF($D$25&gt;=1,MIN($D$25,S54),S54*$D$25),IF($E$25="",9E+99,$E$25)),0),ROUNDUP(MIN(IF($D$25&gt;=1,MIN($D$25,S54),S54*$D$25),IF($E$25="",9E+99,$E$25)),0))))</f>
        <v/>
      </c>
      <c r="U54" s="20">
        <f>IF(S54="","",IF(OR($D$26="",S54&lt;N($C$26)),0,IF(B54="G마켓",ROUNDDOWN(MIN(IF($D$26&gt;=1,MIN($D$26,S54),S54*$D$26),IF($E$26="",9E+99,$E$26)),0),ROUNDUP(MIN(IF($D$26&gt;=1,MIN($D$26,S54),S54*$D$26),IF($E$26="",9E+99,$E$26)),0))))</f>
        <v/>
      </c>
      <c r="V54" s="20">
        <f>IF(S54="","",IF(OR($D$27="",S54&lt;N($C$27)),0,IF(B54="G마켓",ROUNDDOWN(MIN(IF($D$27&gt;=1,MIN($D$27,S54),S54*$D$27),IF($E$27="",9E+99,$E$27)),0),ROUNDUP(MIN(IF($D$27&gt;=1,MIN($D$27,S54),S54*$D$27),IF($E$27="",9E+99,$E$27)),0))))</f>
        <v/>
      </c>
      <c r="W54" s="19">
        <f>IF(G54="","",MAX(T54:V54))</f>
        <v/>
      </c>
      <c r="X54" s="21">
        <f>IF(G54="","",S54-W54)</f>
        <v/>
      </c>
      <c r="Y54" s="19">
        <f>IF(G54="","",IF(B54="G마켓",ROUNDDOWN(MAX(I54*N($G$10),J54*N($G$11),K54*N($G$12),L54*N($G$13),M54*N($G$14))+MAX(O54*N($G$18),P54*N($G$19),Q54*N($G$20),R54*N($G$21))+MAX(T54*N($G$25),U54*N($G$26),V54*N($G$27)),0),ROUNDUP(MAX(I54*N($G$10),J54*N($G$11),K54*N($G$12),L54*N($G$13),M54*N($G$14))+MAX(O54*N($G$18),P54*N($G$19),Q54*N($G$20),R54*N($G$21))+MAX(T54*N($G$25),U54*N($G$26),V54*N($G$27)),0)))</f>
        <v/>
      </c>
      <c r="Z54" s="21">
        <f>IF(G54="","",IF(B54="G마켓",ROUNDDOWN(G54-G54*$Q$6-Y54,0),ROUNDUP(G54-G54*$Q$6-Y54,0)))</f>
        <v/>
      </c>
    </row>
    <row r="55">
      <c r="B55" s="7" t="n"/>
      <c r="C55" s="7" t="n"/>
      <c r="D55" s="22" t="n"/>
      <c r="E55" s="23" t="n"/>
      <c r="F55" s="23" t="n"/>
      <c r="G55" s="19">
        <f>IF(E55="","",E55-N(F55))</f>
        <v/>
      </c>
      <c r="I55" s="20">
        <f>IF(G55="","",IF(OR($D$10="",$H$10="X",G55&lt;N($C$10)),0,IF(B55="G마켓",ROUNDDOWN(MIN(IF($D$10&gt;=1,MIN($D$10,G55),G55*$D$10),IF($E$10="",9E+99,$E$10)),0),ROUNDUP(MIN(IF($D$10&gt;=1,MIN($D$10,G55),G55*$D$10),IF($E$10="",9E+99,$E$10)),0))))</f>
        <v/>
      </c>
      <c r="J55" s="20">
        <f>IF(G55="","",IF(OR($D$11="",$H$11="X",G55&lt;N($C$11)),0,IF(B55="G마켓",ROUNDDOWN(MIN(IF($D$11&gt;=1,MIN($D$11,G55),G55*$D$11),IF($E$11="",9E+99,$E$11)),0),ROUNDUP(MIN(IF($D$11&gt;=1,MIN($D$11,G55),G55*$D$11),IF($E$11="",9E+99,$E$11)),0))))</f>
        <v/>
      </c>
      <c r="K55" s="20">
        <f>IF(G55="","",IF(OR($D$12="",$H$12="X",G55&lt;N($C$12)),0,IF(B55="G마켓",ROUNDDOWN(MIN(IF($D$12&gt;=1,MIN($D$12,G55),G55*$D$12),IF($E$12="",9E+99,$E$12)),0),ROUNDUP(MIN(IF($D$12&gt;=1,MIN($D$12,G55),G55*$D$12),IF($E$12="",9E+99,$E$12)),0))))</f>
        <v/>
      </c>
      <c r="L55" s="20">
        <f>IF(G55="","",IF(OR($D$13="",$H$13="X",G55&lt;N($C$13)),0,IF(B55="G마켓",ROUNDDOWN(MIN(IF($D$13&gt;=1,MIN($D$13,G55),G55*$D$13),IF($E$13="",9E+99,$E$13)),0),ROUNDUP(MIN(IF($D$13&gt;=1,MIN($D$13,G55),G55*$D$13),IF($E$13="",9E+99,$E$13)),0))))</f>
        <v/>
      </c>
      <c r="M55" s="20">
        <f>IF(G55="","",IF(OR($D$14="",$H$14="X",G55&lt;N($C$14)),0,IF(B55="G마켓",ROUNDDOWN(MIN(IF($D$14&gt;=1,MIN($D$14,G55),G55*$D$14),IF($E$14="",9E+99,$E$14)),0),ROUNDUP(MIN(IF($D$14&gt;=1,MIN($D$14,G55),G55*$D$14),IF($E$14="",9E+99,$E$14)),0))))</f>
        <v/>
      </c>
      <c r="N55" s="19">
        <f>IF(G55="","",G55-MAX(I55:M55))</f>
        <v/>
      </c>
      <c r="O55" s="20">
        <f>IF(N55="","",IF(OR($D$18="",$H$18="X",N55&lt;N($C$18)),0,IF(B55="G마켓",ROUNDDOWN(MIN(IF($D$18&gt;=1,MIN($D$18,N55),N55*$D$18),IF($E$18="",9E+99,$E$18)),0),ROUNDUP(MIN(IF($D$18&gt;=1,MIN($D$18,N55),N55*$D$18),IF($E$18="",9E+99,$E$18)),0))))</f>
        <v/>
      </c>
      <c r="P55" s="20">
        <f>IF(N55="","",IF(OR($D$19="",$H$19="X",N55&lt;N($C$19)),0,IF(B55="G마켓",ROUNDDOWN(MIN(IF($D$19&gt;=1,MIN($D$19,N55),N55*$D$19),IF($E$19="",9E+99,$E$19)),0),ROUNDUP(MIN(IF($D$19&gt;=1,MIN($D$19,N55),N55*$D$19),IF($E$19="",9E+99,$E$19)),0))))</f>
        <v/>
      </c>
      <c r="Q55" s="20">
        <f>IF(N55="","",IF(OR($D$20="",$H$20="X",N55&lt;N($C$20)),0,IF(B55="G마켓",ROUNDDOWN(MIN(IF($D$20&gt;=1,MIN($D$20,N55),N55*$D$20),IF($E$20="",9E+99,$E$20)),0),ROUNDUP(MIN(IF($D$20&gt;=1,MIN($D$20,N55),N55*$D$20),IF($E$20="",9E+99,$E$20)),0))))</f>
        <v/>
      </c>
      <c r="R55" s="20">
        <f>IF(N55="","",IF(OR($D$21="",$H$21="X",N55&lt;N($C$21)),0,IF(B55="G마켓",ROUNDDOWN(MIN(IF($D$21&gt;=1,MIN($D$21,N55),N55*$D$21),IF($E$21="",9E+99,$E$21)),0),ROUNDUP(MIN(IF($D$21&gt;=1,MIN($D$21,N55),N55*$D$21),IF($E$21="",9E+99,$E$21)),0))))</f>
        <v/>
      </c>
      <c r="S55" s="19">
        <f>IF(G55="","",N55-MAX(O55:R55))</f>
        <v/>
      </c>
      <c r="T55" s="20">
        <f>IF(S55="","",IF(OR($D$25="",S55&lt;N($C$25)),0,IF(B55="G마켓",ROUNDDOWN(MIN(IF($D$25&gt;=1,MIN($D$25,S55),S55*$D$25),IF($E$25="",9E+99,$E$25)),0),ROUNDUP(MIN(IF($D$25&gt;=1,MIN($D$25,S55),S55*$D$25),IF($E$25="",9E+99,$E$25)),0))))</f>
        <v/>
      </c>
      <c r="U55" s="20">
        <f>IF(S55="","",IF(OR($D$26="",S55&lt;N($C$26)),0,IF(B55="G마켓",ROUNDDOWN(MIN(IF($D$26&gt;=1,MIN($D$26,S55),S55*$D$26),IF($E$26="",9E+99,$E$26)),0),ROUNDUP(MIN(IF($D$26&gt;=1,MIN($D$26,S55),S55*$D$26),IF($E$26="",9E+99,$E$26)),0))))</f>
        <v/>
      </c>
      <c r="V55" s="20">
        <f>IF(S55="","",IF(OR($D$27="",S55&lt;N($C$27)),0,IF(B55="G마켓",ROUNDDOWN(MIN(IF($D$27&gt;=1,MIN($D$27,S55),S55*$D$27),IF($E$27="",9E+99,$E$27)),0),ROUNDUP(MIN(IF($D$27&gt;=1,MIN($D$27,S55),S55*$D$27),IF($E$27="",9E+99,$E$27)),0))))</f>
        <v/>
      </c>
      <c r="W55" s="19">
        <f>IF(G55="","",MAX(T55:V55))</f>
        <v/>
      </c>
      <c r="X55" s="21">
        <f>IF(G55="","",S55-W55)</f>
        <v/>
      </c>
      <c r="Y55" s="19">
        <f>IF(G55="","",IF(B55="G마켓",ROUNDDOWN(MAX(I55*N($G$10),J55*N($G$11),K55*N($G$12),L55*N($G$13),M55*N($G$14))+MAX(O55*N($G$18),P55*N($G$19),Q55*N($G$20),R55*N($G$21))+MAX(T55*N($G$25),U55*N($G$26),V55*N($G$27)),0),ROUNDUP(MAX(I55*N($G$10),J55*N($G$11),K55*N($G$12),L55*N($G$13),M55*N($G$14))+MAX(O55*N($G$18),P55*N($G$19),Q55*N($G$20),R55*N($G$21))+MAX(T55*N($G$25),U55*N($G$26),V55*N($G$27)),0)))</f>
        <v/>
      </c>
      <c r="Z55" s="21">
        <f>IF(G55="","",IF(B55="G마켓",ROUNDDOWN(G55-G55*$Q$6-Y55,0),ROUNDUP(G55-G55*$Q$6-Y55,0)))</f>
        <v/>
      </c>
    </row>
    <row r="56">
      <c r="B56" s="7" t="n"/>
      <c r="C56" s="7" t="n"/>
      <c r="D56" s="22" t="n"/>
      <c r="E56" s="23" t="n"/>
      <c r="F56" s="23" t="n"/>
      <c r="G56" s="19">
        <f>IF(E56="","",E56-N(F56))</f>
        <v/>
      </c>
      <c r="I56" s="20">
        <f>IF(G56="","",IF(OR($D$10="",$H$10="X",G56&lt;N($C$10)),0,IF(B56="G마켓",ROUNDDOWN(MIN(IF($D$10&gt;=1,MIN($D$10,G56),G56*$D$10),IF($E$10="",9E+99,$E$10)),0),ROUNDUP(MIN(IF($D$10&gt;=1,MIN($D$10,G56),G56*$D$10),IF($E$10="",9E+99,$E$10)),0))))</f>
        <v/>
      </c>
      <c r="J56" s="20">
        <f>IF(G56="","",IF(OR($D$11="",$H$11="X",G56&lt;N($C$11)),0,IF(B56="G마켓",ROUNDDOWN(MIN(IF($D$11&gt;=1,MIN($D$11,G56),G56*$D$11),IF($E$11="",9E+99,$E$11)),0),ROUNDUP(MIN(IF($D$11&gt;=1,MIN($D$11,G56),G56*$D$11),IF($E$11="",9E+99,$E$11)),0))))</f>
        <v/>
      </c>
      <c r="K56" s="20">
        <f>IF(G56="","",IF(OR($D$12="",$H$12="X",G56&lt;N($C$12)),0,IF(B56="G마켓",ROUNDDOWN(MIN(IF($D$12&gt;=1,MIN($D$12,G56),G56*$D$12),IF($E$12="",9E+99,$E$12)),0),ROUNDUP(MIN(IF($D$12&gt;=1,MIN($D$12,G56),G56*$D$12),IF($E$12="",9E+99,$E$12)),0))))</f>
        <v/>
      </c>
      <c r="L56" s="20">
        <f>IF(G56="","",IF(OR($D$13="",$H$13="X",G56&lt;N($C$13)),0,IF(B56="G마켓",ROUNDDOWN(MIN(IF($D$13&gt;=1,MIN($D$13,G56),G56*$D$13),IF($E$13="",9E+99,$E$13)),0),ROUNDUP(MIN(IF($D$13&gt;=1,MIN($D$13,G56),G56*$D$13),IF($E$13="",9E+99,$E$13)),0))))</f>
        <v/>
      </c>
      <c r="M56" s="20">
        <f>IF(G56="","",IF(OR($D$14="",$H$14="X",G56&lt;N($C$14)),0,IF(B56="G마켓",ROUNDDOWN(MIN(IF($D$14&gt;=1,MIN($D$14,G56),G56*$D$14),IF($E$14="",9E+99,$E$14)),0),ROUNDUP(MIN(IF($D$14&gt;=1,MIN($D$14,G56),G56*$D$14),IF($E$14="",9E+99,$E$14)),0))))</f>
        <v/>
      </c>
      <c r="N56" s="19">
        <f>IF(G56="","",G56-MAX(I56:M56))</f>
        <v/>
      </c>
      <c r="O56" s="20">
        <f>IF(N56="","",IF(OR($D$18="",$H$18="X",N56&lt;N($C$18)),0,IF(B56="G마켓",ROUNDDOWN(MIN(IF($D$18&gt;=1,MIN($D$18,N56),N56*$D$18),IF($E$18="",9E+99,$E$18)),0),ROUNDUP(MIN(IF($D$18&gt;=1,MIN($D$18,N56),N56*$D$18),IF($E$18="",9E+99,$E$18)),0))))</f>
        <v/>
      </c>
      <c r="P56" s="20">
        <f>IF(N56="","",IF(OR($D$19="",$H$19="X",N56&lt;N($C$19)),0,IF(B56="G마켓",ROUNDDOWN(MIN(IF($D$19&gt;=1,MIN($D$19,N56),N56*$D$19),IF($E$19="",9E+99,$E$19)),0),ROUNDUP(MIN(IF($D$19&gt;=1,MIN($D$19,N56),N56*$D$19),IF($E$19="",9E+99,$E$19)),0))))</f>
        <v/>
      </c>
      <c r="Q56" s="20">
        <f>IF(N56="","",IF(OR($D$20="",$H$20="X",N56&lt;N($C$20)),0,IF(B56="G마켓",ROUNDDOWN(MIN(IF($D$20&gt;=1,MIN($D$20,N56),N56*$D$20),IF($E$20="",9E+99,$E$20)),0),ROUNDUP(MIN(IF($D$20&gt;=1,MIN($D$20,N56),N56*$D$20),IF($E$20="",9E+99,$E$20)),0))))</f>
        <v/>
      </c>
      <c r="R56" s="20">
        <f>IF(N56="","",IF(OR($D$21="",$H$21="X",N56&lt;N($C$21)),0,IF(B56="G마켓",ROUNDDOWN(MIN(IF($D$21&gt;=1,MIN($D$21,N56),N56*$D$21),IF($E$21="",9E+99,$E$21)),0),ROUNDUP(MIN(IF($D$21&gt;=1,MIN($D$21,N56),N56*$D$21),IF($E$21="",9E+99,$E$21)),0))))</f>
        <v/>
      </c>
      <c r="S56" s="19">
        <f>IF(G56="","",N56-MAX(O56:R56))</f>
        <v/>
      </c>
      <c r="T56" s="20">
        <f>IF(S56="","",IF(OR($D$25="",S56&lt;N($C$25)),0,IF(B56="G마켓",ROUNDDOWN(MIN(IF($D$25&gt;=1,MIN($D$25,S56),S56*$D$25),IF($E$25="",9E+99,$E$25)),0),ROUNDUP(MIN(IF($D$25&gt;=1,MIN($D$25,S56),S56*$D$25),IF($E$25="",9E+99,$E$25)),0))))</f>
        <v/>
      </c>
      <c r="U56" s="20">
        <f>IF(S56="","",IF(OR($D$26="",S56&lt;N($C$26)),0,IF(B56="G마켓",ROUNDDOWN(MIN(IF($D$26&gt;=1,MIN($D$26,S56),S56*$D$26),IF($E$26="",9E+99,$E$26)),0),ROUNDUP(MIN(IF($D$26&gt;=1,MIN($D$26,S56),S56*$D$26),IF($E$26="",9E+99,$E$26)),0))))</f>
        <v/>
      </c>
      <c r="V56" s="20">
        <f>IF(S56="","",IF(OR($D$27="",S56&lt;N($C$27)),0,IF(B56="G마켓",ROUNDDOWN(MIN(IF($D$27&gt;=1,MIN($D$27,S56),S56*$D$27),IF($E$27="",9E+99,$E$27)),0),ROUNDUP(MIN(IF($D$27&gt;=1,MIN($D$27,S56),S56*$D$27),IF($E$27="",9E+99,$E$27)),0))))</f>
        <v/>
      </c>
      <c r="W56" s="19">
        <f>IF(G56="","",MAX(T56:V56))</f>
        <v/>
      </c>
      <c r="X56" s="21">
        <f>IF(G56="","",S56-W56)</f>
        <v/>
      </c>
      <c r="Y56" s="19">
        <f>IF(G56="","",IF(B56="G마켓",ROUNDDOWN(MAX(I56*N($G$10),J56*N($G$11),K56*N($G$12),L56*N($G$13),M56*N($G$14))+MAX(O56*N($G$18),P56*N($G$19),Q56*N($G$20),R56*N($G$21))+MAX(T56*N($G$25),U56*N($G$26),V56*N($G$27)),0),ROUNDUP(MAX(I56*N($G$10),J56*N($G$11),K56*N($G$12),L56*N($G$13),M56*N($G$14))+MAX(O56*N($G$18),P56*N($G$19),Q56*N($G$20),R56*N($G$21))+MAX(T56*N($G$25),U56*N($G$26),V56*N($G$27)),0)))</f>
        <v/>
      </c>
      <c r="Z56" s="21">
        <f>IF(G56="","",IF(B56="G마켓",ROUNDDOWN(G56-G56*$Q$6-Y56,0),ROUNDUP(G56-G56*$Q$6-Y56,0)))</f>
        <v/>
      </c>
    </row>
    <row r="57">
      <c r="B57" s="7" t="n"/>
      <c r="C57" s="7" t="n"/>
      <c r="D57" s="22" t="n"/>
      <c r="E57" s="23" t="n"/>
      <c r="F57" s="23" t="n"/>
      <c r="G57" s="19">
        <f>IF(E57="","",E57-N(F57))</f>
        <v/>
      </c>
      <c r="I57" s="20">
        <f>IF(G57="","",IF(OR($D$10="",$H$10="X",G57&lt;N($C$10)),0,IF(B57="G마켓",ROUNDDOWN(MIN(IF($D$10&gt;=1,MIN($D$10,G57),G57*$D$10),IF($E$10="",9E+99,$E$10)),0),ROUNDUP(MIN(IF($D$10&gt;=1,MIN($D$10,G57),G57*$D$10),IF($E$10="",9E+99,$E$10)),0))))</f>
        <v/>
      </c>
      <c r="J57" s="20">
        <f>IF(G57="","",IF(OR($D$11="",$H$11="X",G57&lt;N($C$11)),0,IF(B57="G마켓",ROUNDDOWN(MIN(IF($D$11&gt;=1,MIN($D$11,G57),G57*$D$11),IF($E$11="",9E+99,$E$11)),0),ROUNDUP(MIN(IF($D$11&gt;=1,MIN($D$11,G57),G57*$D$11),IF($E$11="",9E+99,$E$11)),0))))</f>
        <v/>
      </c>
      <c r="K57" s="20">
        <f>IF(G57="","",IF(OR($D$12="",$H$12="X",G57&lt;N($C$12)),0,IF(B57="G마켓",ROUNDDOWN(MIN(IF($D$12&gt;=1,MIN($D$12,G57),G57*$D$12),IF($E$12="",9E+99,$E$12)),0),ROUNDUP(MIN(IF($D$12&gt;=1,MIN($D$12,G57),G57*$D$12),IF($E$12="",9E+99,$E$12)),0))))</f>
        <v/>
      </c>
      <c r="L57" s="20">
        <f>IF(G57="","",IF(OR($D$13="",$H$13="X",G57&lt;N($C$13)),0,IF(B57="G마켓",ROUNDDOWN(MIN(IF($D$13&gt;=1,MIN($D$13,G57),G57*$D$13),IF($E$13="",9E+99,$E$13)),0),ROUNDUP(MIN(IF($D$13&gt;=1,MIN($D$13,G57),G57*$D$13),IF($E$13="",9E+99,$E$13)),0))))</f>
        <v/>
      </c>
      <c r="M57" s="20">
        <f>IF(G57="","",IF(OR($D$14="",$H$14="X",G57&lt;N($C$14)),0,IF(B57="G마켓",ROUNDDOWN(MIN(IF($D$14&gt;=1,MIN($D$14,G57),G57*$D$14),IF($E$14="",9E+99,$E$14)),0),ROUNDUP(MIN(IF($D$14&gt;=1,MIN($D$14,G57),G57*$D$14),IF($E$14="",9E+99,$E$14)),0))))</f>
        <v/>
      </c>
      <c r="N57" s="19">
        <f>IF(G57="","",G57-MAX(I57:M57))</f>
        <v/>
      </c>
      <c r="O57" s="20">
        <f>IF(N57="","",IF(OR($D$18="",$H$18="X",N57&lt;N($C$18)),0,IF(B57="G마켓",ROUNDDOWN(MIN(IF($D$18&gt;=1,MIN($D$18,N57),N57*$D$18),IF($E$18="",9E+99,$E$18)),0),ROUNDUP(MIN(IF($D$18&gt;=1,MIN($D$18,N57),N57*$D$18),IF($E$18="",9E+99,$E$18)),0))))</f>
        <v/>
      </c>
      <c r="P57" s="20">
        <f>IF(N57="","",IF(OR($D$19="",$H$19="X",N57&lt;N($C$19)),0,IF(B57="G마켓",ROUNDDOWN(MIN(IF($D$19&gt;=1,MIN($D$19,N57),N57*$D$19),IF($E$19="",9E+99,$E$19)),0),ROUNDUP(MIN(IF($D$19&gt;=1,MIN($D$19,N57),N57*$D$19),IF($E$19="",9E+99,$E$19)),0))))</f>
        <v/>
      </c>
      <c r="Q57" s="20">
        <f>IF(N57="","",IF(OR($D$20="",$H$20="X",N57&lt;N($C$20)),0,IF(B57="G마켓",ROUNDDOWN(MIN(IF($D$20&gt;=1,MIN($D$20,N57),N57*$D$20),IF($E$20="",9E+99,$E$20)),0),ROUNDUP(MIN(IF($D$20&gt;=1,MIN($D$20,N57),N57*$D$20),IF($E$20="",9E+99,$E$20)),0))))</f>
        <v/>
      </c>
      <c r="R57" s="20">
        <f>IF(N57="","",IF(OR($D$21="",$H$21="X",N57&lt;N($C$21)),0,IF(B57="G마켓",ROUNDDOWN(MIN(IF($D$21&gt;=1,MIN($D$21,N57),N57*$D$21),IF($E$21="",9E+99,$E$21)),0),ROUNDUP(MIN(IF($D$21&gt;=1,MIN($D$21,N57),N57*$D$21),IF($E$21="",9E+99,$E$21)),0))))</f>
        <v/>
      </c>
      <c r="S57" s="19">
        <f>IF(G57="","",N57-MAX(O57:R57))</f>
        <v/>
      </c>
      <c r="T57" s="20">
        <f>IF(S57="","",IF(OR($D$25="",S57&lt;N($C$25)),0,IF(B57="G마켓",ROUNDDOWN(MIN(IF($D$25&gt;=1,MIN($D$25,S57),S57*$D$25),IF($E$25="",9E+99,$E$25)),0),ROUNDUP(MIN(IF($D$25&gt;=1,MIN($D$25,S57),S57*$D$25),IF($E$25="",9E+99,$E$25)),0))))</f>
        <v/>
      </c>
      <c r="U57" s="20">
        <f>IF(S57="","",IF(OR($D$26="",S57&lt;N($C$26)),0,IF(B57="G마켓",ROUNDDOWN(MIN(IF($D$26&gt;=1,MIN($D$26,S57),S57*$D$26),IF($E$26="",9E+99,$E$26)),0),ROUNDUP(MIN(IF($D$26&gt;=1,MIN($D$26,S57),S57*$D$26),IF($E$26="",9E+99,$E$26)),0))))</f>
        <v/>
      </c>
      <c r="V57" s="20">
        <f>IF(S57="","",IF(OR($D$27="",S57&lt;N($C$27)),0,IF(B57="G마켓",ROUNDDOWN(MIN(IF($D$27&gt;=1,MIN($D$27,S57),S57*$D$27),IF($E$27="",9E+99,$E$27)),0),ROUNDUP(MIN(IF($D$27&gt;=1,MIN($D$27,S57),S57*$D$27),IF($E$27="",9E+99,$E$27)),0))))</f>
        <v/>
      </c>
      <c r="W57" s="19">
        <f>IF(G57="","",MAX(T57:V57))</f>
        <v/>
      </c>
      <c r="X57" s="21">
        <f>IF(G57="","",S57-W57)</f>
        <v/>
      </c>
      <c r="Y57" s="19">
        <f>IF(G57="","",IF(B57="G마켓",ROUNDDOWN(MAX(I57*N($G$10),J57*N($G$11),K57*N($G$12),L57*N($G$13),M57*N($G$14))+MAX(O57*N($G$18),P57*N($G$19),Q57*N($G$20),R57*N($G$21))+MAX(T57*N($G$25),U57*N($G$26),V57*N($G$27)),0),ROUNDUP(MAX(I57*N($G$10),J57*N($G$11),K57*N($G$12),L57*N($G$13),M57*N($G$14))+MAX(O57*N($G$18),P57*N($G$19),Q57*N($G$20),R57*N($G$21))+MAX(T57*N($G$25),U57*N($G$26),V57*N($G$27)),0)))</f>
        <v/>
      </c>
      <c r="Z57" s="21">
        <f>IF(G57="","",IF(B57="G마켓",ROUNDDOWN(G57-G57*$Q$6-Y57,0),ROUNDUP(G57-G57*$Q$6-Y57,0)))</f>
        <v/>
      </c>
    </row>
    <row r="58">
      <c r="B58" s="7" t="n"/>
      <c r="C58" s="7" t="n"/>
      <c r="D58" s="22" t="n"/>
      <c r="E58" s="23" t="n"/>
      <c r="F58" s="23" t="n"/>
      <c r="G58" s="19">
        <f>IF(E58="","",E58-N(F58))</f>
        <v/>
      </c>
      <c r="I58" s="20">
        <f>IF(G58="","",IF(OR($D$10="",$H$10="X",G58&lt;N($C$10)),0,IF(B58="G마켓",ROUNDDOWN(MIN(IF($D$10&gt;=1,MIN($D$10,G58),G58*$D$10),IF($E$10="",9E+99,$E$10)),0),ROUNDUP(MIN(IF($D$10&gt;=1,MIN($D$10,G58),G58*$D$10),IF($E$10="",9E+99,$E$10)),0))))</f>
        <v/>
      </c>
      <c r="J58" s="20">
        <f>IF(G58="","",IF(OR($D$11="",$H$11="X",G58&lt;N($C$11)),0,IF(B58="G마켓",ROUNDDOWN(MIN(IF($D$11&gt;=1,MIN($D$11,G58),G58*$D$11),IF($E$11="",9E+99,$E$11)),0),ROUNDUP(MIN(IF($D$11&gt;=1,MIN($D$11,G58),G58*$D$11),IF($E$11="",9E+99,$E$11)),0))))</f>
        <v/>
      </c>
      <c r="K58" s="20">
        <f>IF(G58="","",IF(OR($D$12="",$H$12="X",G58&lt;N($C$12)),0,IF(B58="G마켓",ROUNDDOWN(MIN(IF($D$12&gt;=1,MIN($D$12,G58),G58*$D$12),IF($E$12="",9E+99,$E$12)),0),ROUNDUP(MIN(IF($D$12&gt;=1,MIN($D$12,G58),G58*$D$12),IF($E$12="",9E+99,$E$12)),0))))</f>
        <v/>
      </c>
      <c r="L58" s="20">
        <f>IF(G58="","",IF(OR($D$13="",$H$13="X",G58&lt;N($C$13)),0,IF(B58="G마켓",ROUNDDOWN(MIN(IF($D$13&gt;=1,MIN($D$13,G58),G58*$D$13),IF($E$13="",9E+99,$E$13)),0),ROUNDUP(MIN(IF($D$13&gt;=1,MIN($D$13,G58),G58*$D$13),IF($E$13="",9E+99,$E$13)),0))))</f>
        <v/>
      </c>
      <c r="M58" s="20">
        <f>IF(G58="","",IF(OR($D$14="",$H$14="X",G58&lt;N($C$14)),0,IF(B58="G마켓",ROUNDDOWN(MIN(IF($D$14&gt;=1,MIN($D$14,G58),G58*$D$14),IF($E$14="",9E+99,$E$14)),0),ROUNDUP(MIN(IF($D$14&gt;=1,MIN($D$14,G58),G58*$D$14),IF($E$14="",9E+99,$E$14)),0))))</f>
        <v/>
      </c>
      <c r="N58" s="19">
        <f>IF(G58="","",G58-MAX(I58:M58))</f>
        <v/>
      </c>
      <c r="O58" s="20">
        <f>IF(N58="","",IF(OR($D$18="",$H$18="X",N58&lt;N($C$18)),0,IF(B58="G마켓",ROUNDDOWN(MIN(IF($D$18&gt;=1,MIN($D$18,N58),N58*$D$18),IF($E$18="",9E+99,$E$18)),0),ROUNDUP(MIN(IF($D$18&gt;=1,MIN($D$18,N58),N58*$D$18),IF($E$18="",9E+99,$E$18)),0))))</f>
        <v/>
      </c>
      <c r="P58" s="20">
        <f>IF(N58="","",IF(OR($D$19="",$H$19="X",N58&lt;N($C$19)),0,IF(B58="G마켓",ROUNDDOWN(MIN(IF($D$19&gt;=1,MIN($D$19,N58),N58*$D$19),IF($E$19="",9E+99,$E$19)),0),ROUNDUP(MIN(IF($D$19&gt;=1,MIN($D$19,N58),N58*$D$19),IF($E$19="",9E+99,$E$19)),0))))</f>
        <v/>
      </c>
      <c r="Q58" s="20">
        <f>IF(N58="","",IF(OR($D$20="",$H$20="X",N58&lt;N($C$20)),0,IF(B58="G마켓",ROUNDDOWN(MIN(IF($D$20&gt;=1,MIN($D$20,N58),N58*$D$20),IF($E$20="",9E+99,$E$20)),0),ROUNDUP(MIN(IF($D$20&gt;=1,MIN($D$20,N58),N58*$D$20),IF($E$20="",9E+99,$E$20)),0))))</f>
        <v/>
      </c>
      <c r="R58" s="20">
        <f>IF(N58="","",IF(OR($D$21="",$H$21="X",N58&lt;N($C$21)),0,IF(B58="G마켓",ROUNDDOWN(MIN(IF($D$21&gt;=1,MIN($D$21,N58),N58*$D$21),IF($E$21="",9E+99,$E$21)),0),ROUNDUP(MIN(IF($D$21&gt;=1,MIN($D$21,N58),N58*$D$21),IF($E$21="",9E+99,$E$21)),0))))</f>
        <v/>
      </c>
      <c r="S58" s="19">
        <f>IF(G58="","",N58-MAX(O58:R58))</f>
        <v/>
      </c>
      <c r="T58" s="20">
        <f>IF(S58="","",IF(OR($D$25="",S58&lt;N($C$25)),0,IF(B58="G마켓",ROUNDDOWN(MIN(IF($D$25&gt;=1,MIN($D$25,S58),S58*$D$25),IF($E$25="",9E+99,$E$25)),0),ROUNDUP(MIN(IF($D$25&gt;=1,MIN($D$25,S58),S58*$D$25),IF($E$25="",9E+99,$E$25)),0))))</f>
        <v/>
      </c>
      <c r="U58" s="20">
        <f>IF(S58="","",IF(OR($D$26="",S58&lt;N($C$26)),0,IF(B58="G마켓",ROUNDDOWN(MIN(IF($D$26&gt;=1,MIN($D$26,S58),S58*$D$26),IF($E$26="",9E+99,$E$26)),0),ROUNDUP(MIN(IF($D$26&gt;=1,MIN($D$26,S58),S58*$D$26),IF($E$26="",9E+99,$E$26)),0))))</f>
        <v/>
      </c>
      <c r="V58" s="20">
        <f>IF(S58="","",IF(OR($D$27="",S58&lt;N($C$27)),0,IF(B58="G마켓",ROUNDDOWN(MIN(IF($D$27&gt;=1,MIN($D$27,S58),S58*$D$27),IF($E$27="",9E+99,$E$27)),0),ROUNDUP(MIN(IF($D$27&gt;=1,MIN($D$27,S58),S58*$D$27),IF($E$27="",9E+99,$E$27)),0))))</f>
        <v/>
      </c>
      <c r="W58" s="19">
        <f>IF(G58="","",MAX(T58:V58))</f>
        <v/>
      </c>
      <c r="X58" s="21">
        <f>IF(G58="","",S58-W58)</f>
        <v/>
      </c>
      <c r="Y58" s="19">
        <f>IF(G58="","",IF(B58="G마켓",ROUNDDOWN(MAX(I58*N($G$10),J58*N($G$11),K58*N($G$12),L58*N($G$13),M58*N($G$14))+MAX(O58*N($G$18),P58*N($G$19),Q58*N($G$20),R58*N($G$21))+MAX(T58*N($G$25),U58*N($G$26),V58*N($G$27)),0),ROUNDUP(MAX(I58*N($G$10),J58*N($G$11),K58*N($G$12),L58*N($G$13),M58*N($G$14))+MAX(O58*N($G$18),P58*N($G$19),Q58*N($G$20),R58*N($G$21))+MAX(T58*N($G$25),U58*N($G$26),V58*N($G$27)),0)))</f>
        <v/>
      </c>
      <c r="Z58" s="21">
        <f>IF(G58="","",IF(B58="G마켓",ROUNDDOWN(G58-G58*$Q$6-Y58,0),ROUNDUP(G58-G58*$Q$6-Y58,0)))</f>
        <v/>
      </c>
    </row>
    <row r="59">
      <c r="B59" s="7" t="n"/>
      <c r="C59" s="7" t="n"/>
      <c r="D59" s="22" t="n"/>
      <c r="E59" s="23" t="n"/>
      <c r="F59" s="23" t="n"/>
      <c r="G59" s="19">
        <f>IF(E59="","",E59-N(F59))</f>
        <v/>
      </c>
      <c r="I59" s="20">
        <f>IF(G59="","",IF(OR($D$10="",$H$10="X",G59&lt;N($C$10)),0,IF(B59="G마켓",ROUNDDOWN(MIN(IF($D$10&gt;=1,MIN($D$10,G59),G59*$D$10),IF($E$10="",9E+99,$E$10)),0),ROUNDUP(MIN(IF($D$10&gt;=1,MIN($D$10,G59),G59*$D$10),IF($E$10="",9E+99,$E$10)),0))))</f>
        <v/>
      </c>
      <c r="J59" s="20">
        <f>IF(G59="","",IF(OR($D$11="",$H$11="X",G59&lt;N($C$11)),0,IF(B59="G마켓",ROUNDDOWN(MIN(IF($D$11&gt;=1,MIN($D$11,G59),G59*$D$11),IF($E$11="",9E+99,$E$11)),0),ROUNDUP(MIN(IF($D$11&gt;=1,MIN($D$11,G59),G59*$D$11),IF($E$11="",9E+99,$E$11)),0))))</f>
        <v/>
      </c>
      <c r="K59" s="20">
        <f>IF(G59="","",IF(OR($D$12="",$H$12="X",G59&lt;N($C$12)),0,IF(B59="G마켓",ROUNDDOWN(MIN(IF($D$12&gt;=1,MIN($D$12,G59),G59*$D$12),IF($E$12="",9E+99,$E$12)),0),ROUNDUP(MIN(IF($D$12&gt;=1,MIN($D$12,G59),G59*$D$12),IF($E$12="",9E+99,$E$12)),0))))</f>
        <v/>
      </c>
      <c r="L59" s="20">
        <f>IF(G59="","",IF(OR($D$13="",$H$13="X",G59&lt;N($C$13)),0,IF(B59="G마켓",ROUNDDOWN(MIN(IF($D$13&gt;=1,MIN($D$13,G59),G59*$D$13),IF($E$13="",9E+99,$E$13)),0),ROUNDUP(MIN(IF($D$13&gt;=1,MIN($D$13,G59),G59*$D$13),IF($E$13="",9E+99,$E$13)),0))))</f>
        <v/>
      </c>
      <c r="M59" s="20">
        <f>IF(G59="","",IF(OR($D$14="",$H$14="X",G59&lt;N($C$14)),0,IF(B59="G마켓",ROUNDDOWN(MIN(IF($D$14&gt;=1,MIN($D$14,G59),G59*$D$14),IF($E$14="",9E+99,$E$14)),0),ROUNDUP(MIN(IF($D$14&gt;=1,MIN($D$14,G59),G59*$D$14),IF($E$14="",9E+99,$E$14)),0))))</f>
        <v/>
      </c>
      <c r="N59" s="19">
        <f>IF(G59="","",G59-MAX(I59:M59))</f>
        <v/>
      </c>
      <c r="O59" s="20">
        <f>IF(N59="","",IF(OR($D$18="",$H$18="X",N59&lt;N($C$18)),0,IF(B59="G마켓",ROUNDDOWN(MIN(IF($D$18&gt;=1,MIN($D$18,N59),N59*$D$18),IF($E$18="",9E+99,$E$18)),0),ROUNDUP(MIN(IF($D$18&gt;=1,MIN($D$18,N59),N59*$D$18),IF($E$18="",9E+99,$E$18)),0))))</f>
        <v/>
      </c>
      <c r="P59" s="20">
        <f>IF(N59="","",IF(OR($D$19="",$H$19="X",N59&lt;N($C$19)),0,IF(B59="G마켓",ROUNDDOWN(MIN(IF($D$19&gt;=1,MIN($D$19,N59),N59*$D$19),IF($E$19="",9E+99,$E$19)),0),ROUNDUP(MIN(IF($D$19&gt;=1,MIN($D$19,N59),N59*$D$19),IF($E$19="",9E+99,$E$19)),0))))</f>
        <v/>
      </c>
      <c r="Q59" s="20">
        <f>IF(N59="","",IF(OR($D$20="",$H$20="X",N59&lt;N($C$20)),0,IF(B59="G마켓",ROUNDDOWN(MIN(IF($D$20&gt;=1,MIN($D$20,N59),N59*$D$20),IF($E$20="",9E+99,$E$20)),0),ROUNDUP(MIN(IF($D$20&gt;=1,MIN($D$20,N59),N59*$D$20),IF($E$20="",9E+99,$E$20)),0))))</f>
        <v/>
      </c>
      <c r="R59" s="20">
        <f>IF(N59="","",IF(OR($D$21="",$H$21="X",N59&lt;N($C$21)),0,IF(B59="G마켓",ROUNDDOWN(MIN(IF($D$21&gt;=1,MIN($D$21,N59),N59*$D$21),IF($E$21="",9E+99,$E$21)),0),ROUNDUP(MIN(IF($D$21&gt;=1,MIN($D$21,N59),N59*$D$21),IF($E$21="",9E+99,$E$21)),0))))</f>
        <v/>
      </c>
      <c r="S59" s="19">
        <f>IF(G59="","",N59-MAX(O59:R59))</f>
        <v/>
      </c>
      <c r="T59" s="20">
        <f>IF(S59="","",IF(OR($D$25="",S59&lt;N($C$25)),0,IF(B59="G마켓",ROUNDDOWN(MIN(IF($D$25&gt;=1,MIN($D$25,S59),S59*$D$25),IF($E$25="",9E+99,$E$25)),0),ROUNDUP(MIN(IF($D$25&gt;=1,MIN($D$25,S59),S59*$D$25),IF($E$25="",9E+99,$E$25)),0))))</f>
        <v/>
      </c>
      <c r="U59" s="20">
        <f>IF(S59="","",IF(OR($D$26="",S59&lt;N($C$26)),0,IF(B59="G마켓",ROUNDDOWN(MIN(IF($D$26&gt;=1,MIN($D$26,S59),S59*$D$26),IF($E$26="",9E+99,$E$26)),0),ROUNDUP(MIN(IF($D$26&gt;=1,MIN($D$26,S59),S59*$D$26),IF($E$26="",9E+99,$E$26)),0))))</f>
        <v/>
      </c>
      <c r="V59" s="20">
        <f>IF(S59="","",IF(OR($D$27="",S59&lt;N($C$27)),0,IF(B59="G마켓",ROUNDDOWN(MIN(IF($D$27&gt;=1,MIN($D$27,S59),S59*$D$27),IF($E$27="",9E+99,$E$27)),0),ROUNDUP(MIN(IF($D$27&gt;=1,MIN($D$27,S59),S59*$D$27),IF($E$27="",9E+99,$E$27)),0))))</f>
        <v/>
      </c>
      <c r="W59" s="19">
        <f>IF(G59="","",MAX(T59:V59))</f>
        <v/>
      </c>
      <c r="X59" s="21">
        <f>IF(G59="","",S59-W59)</f>
        <v/>
      </c>
      <c r="Y59" s="19">
        <f>IF(G59="","",IF(B59="G마켓",ROUNDDOWN(MAX(I59*N($G$10),J59*N($G$11),K59*N($G$12),L59*N($G$13),M59*N($G$14))+MAX(O59*N($G$18),P59*N($G$19),Q59*N($G$20),R59*N($G$21))+MAX(T59*N($G$25),U59*N($G$26),V59*N($G$27)),0),ROUNDUP(MAX(I59*N($G$10),J59*N($G$11),K59*N($G$12),L59*N($G$13),M59*N($G$14))+MAX(O59*N($G$18),P59*N($G$19),Q59*N($G$20),R59*N($G$21))+MAX(T59*N($G$25),U59*N($G$26),V59*N($G$27)),0)))</f>
        <v/>
      </c>
      <c r="Z59" s="21">
        <f>IF(G59="","",IF(B59="G마켓",ROUNDDOWN(G59-G59*$Q$6-Y59,0),ROUNDUP(G59-G59*$Q$6-Y59,0)))</f>
        <v/>
      </c>
    </row>
    <row r="60">
      <c r="B60" s="7" t="n"/>
      <c r="C60" s="7" t="n"/>
      <c r="D60" s="22" t="n"/>
      <c r="E60" s="23" t="n"/>
      <c r="F60" s="23" t="n"/>
      <c r="G60" s="19">
        <f>IF(E60="","",E60-N(F60))</f>
        <v/>
      </c>
      <c r="I60" s="20">
        <f>IF(G60="","",IF(OR($D$10="",$H$10="X",G60&lt;N($C$10)),0,IF(B60="G마켓",ROUNDDOWN(MIN(IF($D$10&gt;=1,MIN($D$10,G60),G60*$D$10),IF($E$10="",9E+99,$E$10)),0),ROUNDUP(MIN(IF($D$10&gt;=1,MIN($D$10,G60),G60*$D$10),IF($E$10="",9E+99,$E$10)),0))))</f>
        <v/>
      </c>
      <c r="J60" s="20">
        <f>IF(G60="","",IF(OR($D$11="",$H$11="X",G60&lt;N($C$11)),0,IF(B60="G마켓",ROUNDDOWN(MIN(IF($D$11&gt;=1,MIN($D$11,G60),G60*$D$11),IF($E$11="",9E+99,$E$11)),0),ROUNDUP(MIN(IF($D$11&gt;=1,MIN($D$11,G60),G60*$D$11),IF($E$11="",9E+99,$E$11)),0))))</f>
        <v/>
      </c>
      <c r="K60" s="20">
        <f>IF(G60="","",IF(OR($D$12="",$H$12="X",G60&lt;N($C$12)),0,IF(B60="G마켓",ROUNDDOWN(MIN(IF($D$12&gt;=1,MIN($D$12,G60),G60*$D$12),IF($E$12="",9E+99,$E$12)),0),ROUNDUP(MIN(IF($D$12&gt;=1,MIN($D$12,G60),G60*$D$12),IF($E$12="",9E+99,$E$12)),0))))</f>
        <v/>
      </c>
      <c r="L60" s="20">
        <f>IF(G60="","",IF(OR($D$13="",$H$13="X",G60&lt;N($C$13)),0,IF(B60="G마켓",ROUNDDOWN(MIN(IF($D$13&gt;=1,MIN($D$13,G60),G60*$D$13),IF($E$13="",9E+99,$E$13)),0),ROUNDUP(MIN(IF($D$13&gt;=1,MIN($D$13,G60),G60*$D$13),IF($E$13="",9E+99,$E$13)),0))))</f>
        <v/>
      </c>
      <c r="M60" s="20">
        <f>IF(G60="","",IF(OR($D$14="",$H$14="X",G60&lt;N($C$14)),0,IF(B60="G마켓",ROUNDDOWN(MIN(IF($D$14&gt;=1,MIN($D$14,G60),G60*$D$14),IF($E$14="",9E+99,$E$14)),0),ROUNDUP(MIN(IF($D$14&gt;=1,MIN($D$14,G60),G60*$D$14),IF($E$14="",9E+99,$E$14)),0))))</f>
        <v/>
      </c>
      <c r="N60" s="19">
        <f>IF(G60="","",G60-MAX(I60:M60))</f>
        <v/>
      </c>
      <c r="O60" s="20">
        <f>IF(N60="","",IF(OR($D$18="",$H$18="X",N60&lt;N($C$18)),0,IF(B60="G마켓",ROUNDDOWN(MIN(IF($D$18&gt;=1,MIN($D$18,N60),N60*$D$18),IF($E$18="",9E+99,$E$18)),0),ROUNDUP(MIN(IF($D$18&gt;=1,MIN($D$18,N60),N60*$D$18),IF($E$18="",9E+99,$E$18)),0))))</f>
        <v/>
      </c>
      <c r="P60" s="20">
        <f>IF(N60="","",IF(OR($D$19="",$H$19="X",N60&lt;N($C$19)),0,IF(B60="G마켓",ROUNDDOWN(MIN(IF($D$19&gt;=1,MIN($D$19,N60),N60*$D$19),IF($E$19="",9E+99,$E$19)),0),ROUNDUP(MIN(IF($D$19&gt;=1,MIN($D$19,N60),N60*$D$19),IF($E$19="",9E+99,$E$19)),0))))</f>
        <v/>
      </c>
      <c r="Q60" s="20">
        <f>IF(N60="","",IF(OR($D$20="",$H$20="X",N60&lt;N($C$20)),0,IF(B60="G마켓",ROUNDDOWN(MIN(IF($D$20&gt;=1,MIN($D$20,N60),N60*$D$20),IF($E$20="",9E+99,$E$20)),0),ROUNDUP(MIN(IF($D$20&gt;=1,MIN($D$20,N60),N60*$D$20),IF($E$20="",9E+99,$E$20)),0))))</f>
        <v/>
      </c>
      <c r="R60" s="20">
        <f>IF(N60="","",IF(OR($D$21="",$H$21="X",N60&lt;N($C$21)),0,IF(B60="G마켓",ROUNDDOWN(MIN(IF($D$21&gt;=1,MIN($D$21,N60),N60*$D$21),IF($E$21="",9E+99,$E$21)),0),ROUNDUP(MIN(IF($D$21&gt;=1,MIN($D$21,N60),N60*$D$21),IF($E$21="",9E+99,$E$21)),0))))</f>
        <v/>
      </c>
      <c r="S60" s="19">
        <f>IF(G60="","",N60-MAX(O60:R60))</f>
        <v/>
      </c>
      <c r="T60" s="20">
        <f>IF(S60="","",IF(OR($D$25="",S60&lt;N($C$25)),0,IF(B60="G마켓",ROUNDDOWN(MIN(IF($D$25&gt;=1,MIN($D$25,S60),S60*$D$25),IF($E$25="",9E+99,$E$25)),0),ROUNDUP(MIN(IF($D$25&gt;=1,MIN($D$25,S60),S60*$D$25),IF($E$25="",9E+99,$E$25)),0))))</f>
        <v/>
      </c>
      <c r="U60" s="20">
        <f>IF(S60="","",IF(OR($D$26="",S60&lt;N($C$26)),0,IF(B60="G마켓",ROUNDDOWN(MIN(IF($D$26&gt;=1,MIN($D$26,S60),S60*$D$26),IF($E$26="",9E+99,$E$26)),0),ROUNDUP(MIN(IF($D$26&gt;=1,MIN($D$26,S60),S60*$D$26),IF($E$26="",9E+99,$E$26)),0))))</f>
        <v/>
      </c>
      <c r="V60" s="20">
        <f>IF(S60="","",IF(OR($D$27="",S60&lt;N($C$27)),0,IF(B60="G마켓",ROUNDDOWN(MIN(IF($D$27&gt;=1,MIN($D$27,S60),S60*$D$27),IF($E$27="",9E+99,$E$27)),0),ROUNDUP(MIN(IF($D$27&gt;=1,MIN($D$27,S60),S60*$D$27),IF($E$27="",9E+99,$E$27)),0))))</f>
        <v/>
      </c>
      <c r="W60" s="19">
        <f>IF(G60="","",MAX(T60:V60))</f>
        <v/>
      </c>
      <c r="X60" s="21">
        <f>IF(G60="","",S60-W60)</f>
        <v/>
      </c>
      <c r="Y60" s="19">
        <f>IF(G60="","",IF(B60="G마켓",ROUNDDOWN(MAX(I60*N($G$10),J60*N($G$11),K60*N($G$12),L60*N($G$13),M60*N($G$14))+MAX(O60*N($G$18),P60*N($G$19),Q60*N($G$20),R60*N($G$21))+MAX(T60*N($G$25),U60*N($G$26),V60*N($G$27)),0),ROUNDUP(MAX(I60*N($G$10),J60*N($G$11),K60*N($G$12),L60*N($G$13),M60*N($G$14))+MAX(O60*N($G$18),P60*N($G$19),Q60*N($G$20),R60*N($G$21))+MAX(T60*N($G$25),U60*N($G$26),V60*N($G$27)),0)))</f>
        <v/>
      </c>
      <c r="Z60" s="21">
        <f>IF(G60="","",IF(B60="G마켓",ROUNDDOWN(G60-G60*$Q$6-Y60,0),ROUNDUP(G60-G60*$Q$6-Y60,0)))</f>
        <v/>
      </c>
    </row>
    <row r="61">
      <c r="B61" s="7" t="n"/>
      <c r="C61" s="7" t="n"/>
      <c r="D61" s="22" t="n"/>
      <c r="E61" s="23" t="n"/>
      <c r="F61" s="23" t="n"/>
      <c r="G61" s="19">
        <f>IF(E61="","",E61-N(F61))</f>
        <v/>
      </c>
      <c r="I61" s="20">
        <f>IF(G61="","",IF(OR($D$10="",$H$10="X",G61&lt;N($C$10)),0,IF(B61="G마켓",ROUNDDOWN(MIN(IF($D$10&gt;=1,MIN($D$10,G61),G61*$D$10),IF($E$10="",9E+99,$E$10)),0),ROUNDUP(MIN(IF($D$10&gt;=1,MIN($D$10,G61),G61*$D$10),IF($E$10="",9E+99,$E$10)),0))))</f>
        <v/>
      </c>
      <c r="J61" s="20">
        <f>IF(G61="","",IF(OR($D$11="",$H$11="X",G61&lt;N($C$11)),0,IF(B61="G마켓",ROUNDDOWN(MIN(IF($D$11&gt;=1,MIN($D$11,G61),G61*$D$11),IF($E$11="",9E+99,$E$11)),0),ROUNDUP(MIN(IF($D$11&gt;=1,MIN($D$11,G61),G61*$D$11),IF($E$11="",9E+99,$E$11)),0))))</f>
        <v/>
      </c>
      <c r="K61" s="20">
        <f>IF(G61="","",IF(OR($D$12="",$H$12="X",G61&lt;N($C$12)),0,IF(B61="G마켓",ROUNDDOWN(MIN(IF($D$12&gt;=1,MIN($D$12,G61),G61*$D$12),IF($E$12="",9E+99,$E$12)),0),ROUNDUP(MIN(IF($D$12&gt;=1,MIN($D$12,G61),G61*$D$12),IF($E$12="",9E+99,$E$12)),0))))</f>
        <v/>
      </c>
      <c r="L61" s="20">
        <f>IF(G61="","",IF(OR($D$13="",$H$13="X",G61&lt;N($C$13)),0,IF(B61="G마켓",ROUNDDOWN(MIN(IF($D$13&gt;=1,MIN($D$13,G61),G61*$D$13),IF($E$13="",9E+99,$E$13)),0),ROUNDUP(MIN(IF($D$13&gt;=1,MIN($D$13,G61),G61*$D$13),IF($E$13="",9E+99,$E$13)),0))))</f>
        <v/>
      </c>
      <c r="M61" s="20">
        <f>IF(G61="","",IF(OR($D$14="",$H$14="X",G61&lt;N($C$14)),0,IF(B61="G마켓",ROUNDDOWN(MIN(IF($D$14&gt;=1,MIN($D$14,G61),G61*$D$14),IF($E$14="",9E+99,$E$14)),0),ROUNDUP(MIN(IF($D$14&gt;=1,MIN($D$14,G61),G61*$D$14),IF($E$14="",9E+99,$E$14)),0))))</f>
        <v/>
      </c>
      <c r="N61" s="19">
        <f>IF(G61="","",G61-MAX(I61:M61))</f>
        <v/>
      </c>
      <c r="O61" s="20">
        <f>IF(N61="","",IF(OR($D$18="",$H$18="X",N61&lt;N($C$18)),0,IF(B61="G마켓",ROUNDDOWN(MIN(IF($D$18&gt;=1,MIN($D$18,N61),N61*$D$18),IF($E$18="",9E+99,$E$18)),0),ROUNDUP(MIN(IF($D$18&gt;=1,MIN($D$18,N61),N61*$D$18),IF($E$18="",9E+99,$E$18)),0))))</f>
        <v/>
      </c>
      <c r="P61" s="20">
        <f>IF(N61="","",IF(OR($D$19="",$H$19="X",N61&lt;N($C$19)),0,IF(B61="G마켓",ROUNDDOWN(MIN(IF($D$19&gt;=1,MIN($D$19,N61),N61*$D$19),IF($E$19="",9E+99,$E$19)),0),ROUNDUP(MIN(IF($D$19&gt;=1,MIN($D$19,N61),N61*$D$19),IF($E$19="",9E+99,$E$19)),0))))</f>
        <v/>
      </c>
      <c r="Q61" s="20">
        <f>IF(N61="","",IF(OR($D$20="",$H$20="X",N61&lt;N($C$20)),0,IF(B61="G마켓",ROUNDDOWN(MIN(IF($D$20&gt;=1,MIN($D$20,N61),N61*$D$20),IF($E$20="",9E+99,$E$20)),0),ROUNDUP(MIN(IF($D$20&gt;=1,MIN($D$20,N61),N61*$D$20),IF($E$20="",9E+99,$E$20)),0))))</f>
        <v/>
      </c>
      <c r="R61" s="20">
        <f>IF(N61="","",IF(OR($D$21="",$H$21="X",N61&lt;N($C$21)),0,IF(B61="G마켓",ROUNDDOWN(MIN(IF($D$21&gt;=1,MIN($D$21,N61),N61*$D$21),IF($E$21="",9E+99,$E$21)),0),ROUNDUP(MIN(IF($D$21&gt;=1,MIN($D$21,N61),N61*$D$21),IF($E$21="",9E+99,$E$21)),0))))</f>
        <v/>
      </c>
      <c r="S61" s="19">
        <f>IF(G61="","",N61-MAX(O61:R61))</f>
        <v/>
      </c>
      <c r="T61" s="20">
        <f>IF(S61="","",IF(OR($D$25="",S61&lt;N($C$25)),0,IF(B61="G마켓",ROUNDDOWN(MIN(IF($D$25&gt;=1,MIN($D$25,S61),S61*$D$25),IF($E$25="",9E+99,$E$25)),0),ROUNDUP(MIN(IF($D$25&gt;=1,MIN($D$25,S61),S61*$D$25),IF($E$25="",9E+99,$E$25)),0))))</f>
        <v/>
      </c>
      <c r="U61" s="20">
        <f>IF(S61="","",IF(OR($D$26="",S61&lt;N($C$26)),0,IF(B61="G마켓",ROUNDDOWN(MIN(IF($D$26&gt;=1,MIN($D$26,S61),S61*$D$26),IF($E$26="",9E+99,$E$26)),0),ROUNDUP(MIN(IF($D$26&gt;=1,MIN($D$26,S61),S61*$D$26),IF($E$26="",9E+99,$E$26)),0))))</f>
        <v/>
      </c>
      <c r="V61" s="20">
        <f>IF(S61="","",IF(OR($D$27="",S61&lt;N($C$27)),0,IF(B61="G마켓",ROUNDDOWN(MIN(IF($D$27&gt;=1,MIN($D$27,S61),S61*$D$27),IF($E$27="",9E+99,$E$27)),0),ROUNDUP(MIN(IF($D$27&gt;=1,MIN($D$27,S61),S61*$D$27),IF($E$27="",9E+99,$E$27)),0))))</f>
        <v/>
      </c>
      <c r="W61" s="19">
        <f>IF(G61="","",MAX(T61:V61))</f>
        <v/>
      </c>
      <c r="X61" s="21">
        <f>IF(G61="","",S61-W61)</f>
        <v/>
      </c>
      <c r="Y61" s="19">
        <f>IF(G61="","",IF(B61="G마켓",ROUNDDOWN(MAX(I61*N($G$10),J61*N($G$11),K61*N($G$12),L61*N($G$13),M61*N($G$14))+MAX(O61*N($G$18),P61*N($G$19),Q61*N($G$20),R61*N($G$21))+MAX(T61*N($G$25),U61*N($G$26),V61*N($G$27)),0),ROUNDUP(MAX(I61*N($G$10),J61*N($G$11),K61*N($G$12),L61*N($G$13),M61*N($G$14))+MAX(O61*N($G$18),P61*N($G$19),Q61*N($G$20),R61*N($G$21))+MAX(T61*N($G$25),U61*N($G$26),V61*N($G$27)),0)))</f>
        <v/>
      </c>
      <c r="Z61" s="21">
        <f>IF(G61="","",IF(B61="G마켓",ROUNDDOWN(G61-G61*$Q$6-Y61,0),ROUNDUP(G61-G61*$Q$6-Y61,0)))</f>
        <v/>
      </c>
    </row>
    <row r="62">
      <c r="B62" s="7" t="n"/>
      <c r="C62" s="7" t="n"/>
      <c r="D62" s="22" t="n"/>
      <c r="E62" s="23" t="n"/>
      <c r="F62" s="23" t="n"/>
      <c r="G62" s="19">
        <f>IF(E62="","",E62-N(F62))</f>
        <v/>
      </c>
      <c r="I62" s="20">
        <f>IF(G62="","",IF(OR($D$10="",$H$10="X",G62&lt;N($C$10)),0,IF(B62="G마켓",ROUNDDOWN(MIN(IF($D$10&gt;=1,MIN($D$10,G62),G62*$D$10),IF($E$10="",9E+99,$E$10)),0),ROUNDUP(MIN(IF($D$10&gt;=1,MIN($D$10,G62),G62*$D$10),IF($E$10="",9E+99,$E$10)),0))))</f>
        <v/>
      </c>
      <c r="J62" s="20">
        <f>IF(G62="","",IF(OR($D$11="",$H$11="X",G62&lt;N($C$11)),0,IF(B62="G마켓",ROUNDDOWN(MIN(IF($D$11&gt;=1,MIN($D$11,G62),G62*$D$11),IF($E$11="",9E+99,$E$11)),0),ROUNDUP(MIN(IF($D$11&gt;=1,MIN($D$11,G62),G62*$D$11),IF($E$11="",9E+99,$E$11)),0))))</f>
        <v/>
      </c>
      <c r="K62" s="20">
        <f>IF(G62="","",IF(OR($D$12="",$H$12="X",G62&lt;N($C$12)),0,IF(B62="G마켓",ROUNDDOWN(MIN(IF($D$12&gt;=1,MIN($D$12,G62),G62*$D$12),IF($E$12="",9E+99,$E$12)),0),ROUNDUP(MIN(IF($D$12&gt;=1,MIN($D$12,G62),G62*$D$12),IF($E$12="",9E+99,$E$12)),0))))</f>
        <v/>
      </c>
      <c r="L62" s="20">
        <f>IF(G62="","",IF(OR($D$13="",$H$13="X",G62&lt;N($C$13)),0,IF(B62="G마켓",ROUNDDOWN(MIN(IF($D$13&gt;=1,MIN($D$13,G62),G62*$D$13),IF($E$13="",9E+99,$E$13)),0),ROUNDUP(MIN(IF($D$13&gt;=1,MIN($D$13,G62),G62*$D$13),IF($E$13="",9E+99,$E$13)),0))))</f>
        <v/>
      </c>
      <c r="M62" s="20">
        <f>IF(G62="","",IF(OR($D$14="",$H$14="X",G62&lt;N($C$14)),0,IF(B62="G마켓",ROUNDDOWN(MIN(IF($D$14&gt;=1,MIN($D$14,G62),G62*$D$14),IF($E$14="",9E+99,$E$14)),0),ROUNDUP(MIN(IF($D$14&gt;=1,MIN($D$14,G62),G62*$D$14),IF($E$14="",9E+99,$E$14)),0))))</f>
        <v/>
      </c>
      <c r="N62" s="19">
        <f>IF(G62="","",G62-MAX(I62:M62))</f>
        <v/>
      </c>
      <c r="O62" s="20">
        <f>IF(N62="","",IF(OR($D$18="",$H$18="X",N62&lt;N($C$18)),0,IF(B62="G마켓",ROUNDDOWN(MIN(IF($D$18&gt;=1,MIN($D$18,N62),N62*$D$18),IF($E$18="",9E+99,$E$18)),0),ROUNDUP(MIN(IF($D$18&gt;=1,MIN($D$18,N62),N62*$D$18),IF($E$18="",9E+99,$E$18)),0))))</f>
        <v/>
      </c>
      <c r="P62" s="20">
        <f>IF(N62="","",IF(OR($D$19="",$H$19="X",N62&lt;N($C$19)),0,IF(B62="G마켓",ROUNDDOWN(MIN(IF($D$19&gt;=1,MIN($D$19,N62),N62*$D$19),IF($E$19="",9E+99,$E$19)),0),ROUNDUP(MIN(IF($D$19&gt;=1,MIN($D$19,N62),N62*$D$19),IF($E$19="",9E+99,$E$19)),0))))</f>
        <v/>
      </c>
      <c r="Q62" s="20">
        <f>IF(N62="","",IF(OR($D$20="",$H$20="X",N62&lt;N($C$20)),0,IF(B62="G마켓",ROUNDDOWN(MIN(IF($D$20&gt;=1,MIN($D$20,N62),N62*$D$20),IF($E$20="",9E+99,$E$20)),0),ROUNDUP(MIN(IF($D$20&gt;=1,MIN($D$20,N62),N62*$D$20),IF($E$20="",9E+99,$E$20)),0))))</f>
        <v/>
      </c>
      <c r="R62" s="20">
        <f>IF(N62="","",IF(OR($D$21="",$H$21="X",N62&lt;N($C$21)),0,IF(B62="G마켓",ROUNDDOWN(MIN(IF($D$21&gt;=1,MIN($D$21,N62),N62*$D$21),IF($E$21="",9E+99,$E$21)),0),ROUNDUP(MIN(IF($D$21&gt;=1,MIN($D$21,N62),N62*$D$21),IF($E$21="",9E+99,$E$21)),0))))</f>
        <v/>
      </c>
      <c r="S62" s="19">
        <f>IF(G62="","",N62-MAX(O62:R62))</f>
        <v/>
      </c>
      <c r="T62" s="20">
        <f>IF(S62="","",IF(OR($D$25="",S62&lt;N($C$25)),0,IF(B62="G마켓",ROUNDDOWN(MIN(IF($D$25&gt;=1,MIN($D$25,S62),S62*$D$25),IF($E$25="",9E+99,$E$25)),0),ROUNDUP(MIN(IF($D$25&gt;=1,MIN($D$25,S62),S62*$D$25),IF($E$25="",9E+99,$E$25)),0))))</f>
        <v/>
      </c>
      <c r="U62" s="20">
        <f>IF(S62="","",IF(OR($D$26="",S62&lt;N($C$26)),0,IF(B62="G마켓",ROUNDDOWN(MIN(IF($D$26&gt;=1,MIN($D$26,S62),S62*$D$26),IF($E$26="",9E+99,$E$26)),0),ROUNDUP(MIN(IF($D$26&gt;=1,MIN($D$26,S62),S62*$D$26),IF($E$26="",9E+99,$E$26)),0))))</f>
        <v/>
      </c>
      <c r="V62" s="20">
        <f>IF(S62="","",IF(OR($D$27="",S62&lt;N($C$27)),0,IF(B62="G마켓",ROUNDDOWN(MIN(IF($D$27&gt;=1,MIN($D$27,S62),S62*$D$27),IF($E$27="",9E+99,$E$27)),0),ROUNDUP(MIN(IF($D$27&gt;=1,MIN($D$27,S62),S62*$D$27),IF($E$27="",9E+99,$E$27)),0))))</f>
        <v/>
      </c>
      <c r="W62" s="19">
        <f>IF(G62="","",MAX(T62:V62))</f>
        <v/>
      </c>
      <c r="X62" s="21">
        <f>IF(G62="","",S62-W62)</f>
        <v/>
      </c>
      <c r="Y62" s="19">
        <f>IF(G62="","",IF(B62="G마켓",ROUNDDOWN(MAX(I62*N($G$10),J62*N($G$11),K62*N($G$12),L62*N($G$13),M62*N($G$14))+MAX(O62*N($G$18),P62*N($G$19),Q62*N($G$20),R62*N($G$21))+MAX(T62*N($G$25),U62*N($G$26),V62*N($G$27)),0),ROUNDUP(MAX(I62*N($G$10),J62*N($G$11),K62*N($G$12),L62*N($G$13),M62*N($G$14))+MAX(O62*N($G$18),P62*N($G$19),Q62*N($G$20),R62*N($G$21))+MAX(T62*N($G$25),U62*N($G$26),V62*N($G$27)),0)))</f>
        <v/>
      </c>
      <c r="Z62" s="21">
        <f>IF(G62="","",IF(B62="G마켓",ROUNDDOWN(G62-G62*$Q$6-Y62,0),ROUNDUP(G62-G62*$Q$6-Y62,0)))</f>
        <v/>
      </c>
    </row>
    <row r="63">
      <c r="B63" s="7" t="n"/>
      <c r="C63" s="7" t="n"/>
      <c r="D63" s="22" t="n"/>
      <c r="E63" s="23" t="n"/>
      <c r="F63" s="23" t="n"/>
      <c r="G63" s="19">
        <f>IF(E63="","",E63-N(F63))</f>
        <v/>
      </c>
      <c r="I63" s="20">
        <f>IF(G63="","",IF(OR($D$10="",$H$10="X",G63&lt;N($C$10)),0,IF(B63="G마켓",ROUNDDOWN(MIN(IF($D$10&gt;=1,MIN($D$10,G63),G63*$D$10),IF($E$10="",9E+99,$E$10)),0),ROUNDUP(MIN(IF($D$10&gt;=1,MIN($D$10,G63),G63*$D$10),IF($E$10="",9E+99,$E$10)),0))))</f>
        <v/>
      </c>
      <c r="J63" s="20">
        <f>IF(G63="","",IF(OR($D$11="",$H$11="X",G63&lt;N($C$11)),0,IF(B63="G마켓",ROUNDDOWN(MIN(IF($D$11&gt;=1,MIN($D$11,G63),G63*$D$11),IF($E$11="",9E+99,$E$11)),0),ROUNDUP(MIN(IF($D$11&gt;=1,MIN($D$11,G63),G63*$D$11),IF($E$11="",9E+99,$E$11)),0))))</f>
        <v/>
      </c>
      <c r="K63" s="20">
        <f>IF(G63="","",IF(OR($D$12="",$H$12="X",G63&lt;N($C$12)),0,IF(B63="G마켓",ROUNDDOWN(MIN(IF($D$12&gt;=1,MIN($D$12,G63),G63*$D$12),IF($E$12="",9E+99,$E$12)),0),ROUNDUP(MIN(IF($D$12&gt;=1,MIN($D$12,G63),G63*$D$12),IF($E$12="",9E+99,$E$12)),0))))</f>
        <v/>
      </c>
      <c r="L63" s="20">
        <f>IF(G63="","",IF(OR($D$13="",$H$13="X",G63&lt;N($C$13)),0,IF(B63="G마켓",ROUNDDOWN(MIN(IF($D$13&gt;=1,MIN($D$13,G63),G63*$D$13),IF($E$13="",9E+99,$E$13)),0),ROUNDUP(MIN(IF($D$13&gt;=1,MIN($D$13,G63),G63*$D$13),IF($E$13="",9E+99,$E$13)),0))))</f>
        <v/>
      </c>
      <c r="M63" s="20">
        <f>IF(G63="","",IF(OR($D$14="",$H$14="X",G63&lt;N($C$14)),0,IF(B63="G마켓",ROUNDDOWN(MIN(IF($D$14&gt;=1,MIN($D$14,G63),G63*$D$14),IF($E$14="",9E+99,$E$14)),0),ROUNDUP(MIN(IF($D$14&gt;=1,MIN($D$14,G63),G63*$D$14),IF($E$14="",9E+99,$E$14)),0))))</f>
        <v/>
      </c>
      <c r="N63" s="19">
        <f>IF(G63="","",G63-MAX(I63:M63))</f>
        <v/>
      </c>
      <c r="O63" s="20">
        <f>IF(N63="","",IF(OR($D$18="",$H$18="X",N63&lt;N($C$18)),0,IF(B63="G마켓",ROUNDDOWN(MIN(IF($D$18&gt;=1,MIN($D$18,N63),N63*$D$18),IF($E$18="",9E+99,$E$18)),0),ROUNDUP(MIN(IF($D$18&gt;=1,MIN($D$18,N63),N63*$D$18),IF($E$18="",9E+99,$E$18)),0))))</f>
        <v/>
      </c>
      <c r="P63" s="20">
        <f>IF(N63="","",IF(OR($D$19="",$H$19="X",N63&lt;N($C$19)),0,IF(B63="G마켓",ROUNDDOWN(MIN(IF($D$19&gt;=1,MIN($D$19,N63),N63*$D$19),IF($E$19="",9E+99,$E$19)),0),ROUNDUP(MIN(IF($D$19&gt;=1,MIN($D$19,N63),N63*$D$19),IF($E$19="",9E+99,$E$19)),0))))</f>
        <v/>
      </c>
      <c r="Q63" s="20">
        <f>IF(N63="","",IF(OR($D$20="",$H$20="X",N63&lt;N($C$20)),0,IF(B63="G마켓",ROUNDDOWN(MIN(IF($D$20&gt;=1,MIN($D$20,N63),N63*$D$20),IF($E$20="",9E+99,$E$20)),0),ROUNDUP(MIN(IF($D$20&gt;=1,MIN($D$20,N63),N63*$D$20),IF($E$20="",9E+99,$E$20)),0))))</f>
        <v/>
      </c>
      <c r="R63" s="20">
        <f>IF(N63="","",IF(OR($D$21="",$H$21="X",N63&lt;N($C$21)),0,IF(B63="G마켓",ROUNDDOWN(MIN(IF($D$21&gt;=1,MIN($D$21,N63),N63*$D$21),IF($E$21="",9E+99,$E$21)),0),ROUNDUP(MIN(IF($D$21&gt;=1,MIN($D$21,N63),N63*$D$21),IF($E$21="",9E+99,$E$21)),0))))</f>
        <v/>
      </c>
      <c r="S63" s="19">
        <f>IF(G63="","",N63-MAX(O63:R63))</f>
        <v/>
      </c>
      <c r="T63" s="20">
        <f>IF(S63="","",IF(OR($D$25="",S63&lt;N($C$25)),0,IF(B63="G마켓",ROUNDDOWN(MIN(IF($D$25&gt;=1,MIN($D$25,S63),S63*$D$25),IF($E$25="",9E+99,$E$25)),0),ROUNDUP(MIN(IF($D$25&gt;=1,MIN($D$25,S63),S63*$D$25),IF($E$25="",9E+99,$E$25)),0))))</f>
        <v/>
      </c>
      <c r="U63" s="20">
        <f>IF(S63="","",IF(OR($D$26="",S63&lt;N($C$26)),0,IF(B63="G마켓",ROUNDDOWN(MIN(IF($D$26&gt;=1,MIN($D$26,S63),S63*$D$26),IF($E$26="",9E+99,$E$26)),0),ROUNDUP(MIN(IF($D$26&gt;=1,MIN($D$26,S63),S63*$D$26),IF($E$26="",9E+99,$E$26)),0))))</f>
        <v/>
      </c>
      <c r="V63" s="20">
        <f>IF(S63="","",IF(OR($D$27="",S63&lt;N($C$27)),0,IF(B63="G마켓",ROUNDDOWN(MIN(IF($D$27&gt;=1,MIN($D$27,S63),S63*$D$27),IF($E$27="",9E+99,$E$27)),0),ROUNDUP(MIN(IF($D$27&gt;=1,MIN($D$27,S63),S63*$D$27),IF($E$27="",9E+99,$E$27)),0))))</f>
        <v/>
      </c>
      <c r="W63" s="19">
        <f>IF(G63="","",MAX(T63:V63))</f>
        <v/>
      </c>
      <c r="X63" s="21">
        <f>IF(G63="","",S63-W63)</f>
        <v/>
      </c>
      <c r="Y63" s="19">
        <f>IF(G63="","",IF(B63="G마켓",ROUNDDOWN(MAX(I63*N($G$10),J63*N($G$11),K63*N($G$12),L63*N($G$13),M63*N($G$14))+MAX(O63*N($G$18),P63*N($G$19),Q63*N($G$20),R63*N($G$21))+MAX(T63*N($G$25),U63*N($G$26),V63*N($G$27)),0),ROUNDUP(MAX(I63*N($G$10),J63*N($G$11),K63*N($G$12),L63*N($G$13),M63*N($G$14))+MAX(O63*N($G$18),P63*N($G$19),Q63*N($G$20),R63*N($G$21))+MAX(T63*N($G$25),U63*N($G$26),V63*N($G$27)),0)))</f>
        <v/>
      </c>
      <c r="Z63" s="21">
        <f>IF(G63="","",IF(B63="G마켓",ROUNDDOWN(G63-G63*$Q$6-Y63,0),ROUNDUP(G63-G63*$Q$6-Y63,0)))</f>
        <v/>
      </c>
    </row>
    <row r="64">
      <c r="B64" s="7" t="n"/>
      <c r="C64" s="7" t="n"/>
      <c r="D64" s="22" t="n"/>
      <c r="E64" s="23" t="n"/>
      <c r="F64" s="23" t="n"/>
      <c r="G64" s="19">
        <f>IF(E64="","",E64-N(F64))</f>
        <v/>
      </c>
      <c r="I64" s="20">
        <f>IF(G64="","",IF(OR($D$10="",$H$10="X",G64&lt;N($C$10)),0,IF(B64="G마켓",ROUNDDOWN(MIN(IF($D$10&gt;=1,MIN($D$10,G64),G64*$D$10),IF($E$10="",9E+99,$E$10)),0),ROUNDUP(MIN(IF($D$10&gt;=1,MIN($D$10,G64),G64*$D$10),IF($E$10="",9E+99,$E$10)),0))))</f>
        <v/>
      </c>
      <c r="J64" s="20">
        <f>IF(G64="","",IF(OR($D$11="",$H$11="X",G64&lt;N($C$11)),0,IF(B64="G마켓",ROUNDDOWN(MIN(IF($D$11&gt;=1,MIN($D$11,G64),G64*$D$11),IF($E$11="",9E+99,$E$11)),0),ROUNDUP(MIN(IF($D$11&gt;=1,MIN($D$11,G64),G64*$D$11),IF($E$11="",9E+99,$E$11)),0))))</f>
        <v/>
      </c>
      <c r="K64" s="20">
        <f>IF(G64="","",IF(OR($D$12="",$H$12="X",G64&lt;N($C$12)),0,IF(B64="G마켓",ROUNDDOWN(MIN(IF($D$12&gt;=1,MIN($D$12,G64),G64*$D$12),IF($E$12="",9E+99,$E$12)),0),ROUNDUP(MIN(IF($D$12&gt;=1,MIN($D$12,G64),G64*$D$12),IF($E$12="",9E+99,$E$12)),0))))</f>
        <v/>
      </c>
      <c r="L64" s="20">
        <f>IF(G64="","",IF(OR($D$13="",$H$13="X",G64&lt;N($C$13)),0,IF(B64="G마켓",ROUNDDOWN(MIN(IF($D$13&gt;=1,MIN($D$13,G64),G64*$D$13),IF($E$13="",9E+99,$E$13)),0),ROUNDUP(MIN(IF($D$13&gt;=1,MIN($D$13,G64),G64*$D$13),IF($E$13="",9E+99,$E$13)),0))))</f>
        <v/>
      </c>
      <c r="M64" s="20">
        <f>IF(G64="","",IF(OR($D$14="",$H$14="X",G64&lt;N($C$14)),0,IF(B64="G마켓",ROUNDDOWN(MIN(IF($D$14&gt;=1,MIN($D$14,G64),G64*$D$14),IF($E$14="",9E+99,$E$14)),0),ROUNDUP(MIN(IF($D$14&gt;=1,MIN($D$14,G64),G64*$D$14),IF($E$14="",9E+99,$E$14)),0))))</f>
        <v/>
      </c>
      <c r="N64" s="19">
        <f>IF(G64="","",G64-MAX(I64:M64))</f>
        <v/>
      </c>
      <c r="O64" s="20">
        <f>IF(N64="","",IF(OR($D$18="",$H$18="X",N64&lt;N($C$18)),0,IF(B64="G마켓",ROUNDDOWN(MIN(IF($D$18&gt;=1,MIN($D$18,N64),N64*$D$18),IF($E$18="",9E+99,$E$18)),0),ROUNDUP(MIN(IF($D$18&gt;=1,MIN($D$18,N64),N64*$D$18),IF($E$18="",9E+99,$E$18)),0))))</f>
        <v/>
      </c>
      <c r="P64" s="20">
        <f>IF(N64="","",IF(OR($D$19="",$H$19="X",N64&lt;N($C$19)),0,IF(B64="G마켓",ROUNDDOWN(MIN(IF($D$19&gt;=1,MIN($D$19,N64),N64*$D$19),IF($E$19="",9E+99,$E$19)),0),ROUNDUP(MIN(IF($D$19&gt;=1,MIN($D$19,N64),N64*$D$19),IF($E$19="",9E+99,$E$19)),0))))</f>
        <v/>
      </c>
      <c r="Q64" s="20">
        <f>IF(N64="","",IF(OR($D$20="",$H$20="X",N64&lt;N($C$20)),0,IF(B64="G마켓",ROUNDDOWN(MIN(IF($D$20&gt;=1,MIN($D$20,N64),N64*$D$20),IF($E$20="",9E+99,$E$20)),0),ROUNDUP(MIN(IF($D$20&gt;=1,MIN($D$20,N64),N64*$D$20),IF($E$20="",9E+99,$E$20)),0))))</f>
        <v/>
      </c>
      <c r="R64" s="20">
        <f>IF(N64="","",IF(OR($D$21="",$H$21="X",N64&lt;N($C$21)),0,IF(B64="G마켓",ROUNDDOWN(MIN(IF($D$21&gt;=1,MIN($D$21,N64),N64*$D$21),IF($E$21="",9E+99,$E$21)),0),ROUNDUP(MIN(IF($D$21&gt;=1,MIN($D$21,N64),N64*$D$21),IF($E$21="",9E+99,$E$21)),0))))</f>
        <v/>
      </c>
      <c r="S64" s="19">
        <f>IF(G64="","",N64-MAX(O64:R64))</f>
        <v/>
      </c>
      <c r="T64" s="20">
        <f>IF(S64="","",IF(OR($D$25="",S64&lt;N($C$25)),0,IF(B64="G마켓",ROUNDDOWN(MIN(IF($D$25&gt;=1,MIN($D$25,S64),S64*$D$25),IF($E$25="",9E+99,$E$25)),0),ROUNDUP(MIN(IF($D$25&gt;=1,MIN($D$25,S64),S64*$D$25),IF($E$25="",9E+99,$E$25)),0))))</f>
        <v/>
      </c>
      <c r="U64" s="20">
        <f>IF(S64="","",IF(OR($D$26="",S64&lt;N($C$26)),0,IF(B64="G마켓",ROUNDDOWN(MIN(IF($D$26&gt;=1,MIN($D$26,S64),S64*$D$26),IF($E$26="",9E+99,$E$26)),0),ROUNDUP(MIN(IF($D$26&gt;=1,MIN($D$26,S64),S64*$D$26),IF($E$26="",9E+99,$E$26)),0))))</f>
        <v/>
      </c>
      <c r="V64" s="20">
        <f>IF(S64="","",IF(OR($D$27="",S64&lt;N($C$27)),0,IF(B64="G마켓",ROUNDDOWN(MIN(IF($D$27&gt;=1,MIN($D$27,S64),S64*$D$27),IF($E$27="",9E+99,$E$27)),0),ROUNDUP(MIN(IF($D$27&gt;=1,MIN($D$27,S64),S64*$D$27),IF($E$27="",9E+99,$E$27)),0))))</f>
        <v/>
      </c>
      <c r="W64" s="19">
        <f>IF(G64="","",MAX(T64:V64))</f>
        <v/>
      </c>
      <c r="X64" s="21">
        <f>IF(G64="","",S64-W64)</f>
        <v/>
      </c>
      <c r="Y64" s="19">
        <f>IF(G64="","",IF(B64="G마켓",ROUNDDOWN(MAX(I64*N($G$10),J64*N($G$11),K64*N($G$12),L64*N($G$13),M64*N($G$14))+MAX(O64*N($G$18),P64*N($G$19),Q64*N($G$20),R64*N($G$21))+MAX(T64*N($G$25),U64*N($G$26),V64*N($G$27)),0),ROUNDUP(MAX(I64*N($G$10),J64*N($G$11),K64*N($G$12),L64*N($G$13),M64*N($G$14))+MAX(O64*N($G$18),P64*N($G$19),Q64*N($G$20),R64*N($G$21))+MAX(T64*N($G$25),U64*N($G$26),V64*N($G$27)),0)))</f>
        <v/>
      </c>
      <c r="Z64" s="21">
        <f>IF(G64="","",IF(B64="G마켓",ROUNDDOWN(G64-G64*$Q$6-Y64,0),ROUNDUP(G64-G64*$Q$6-Y64,0)))</f>
        <v/>
      </c>
    </row>
    <row r="65">
      <c r="B65" s="7" t="n"/>
      <c r="C65" s="7" t="n"/>
      <c r="D65" s="22" t="n"/>
      <c r="E65" s="23" t="n"/>
      <c r="F65" s="23" t="n"/>
      <c r="G65" s="19">
        <f>IF(E65="","",E65-N(F65))</f>
        <v/>
      </c>
      <c r="I65" s="20">
        <f>IF(G65="","",IF(OR($D$10="",$H$10="X",G65&lt;N($C$10)),0,IF(B65="G마켓",ROUNDDOWN(MIN(IF($D$10&gt;=1,MIN($D$10,G65),G65*$D$10),IF($E$10="",9E+99,$E$10)),0),ROUNDUP(MIN(IF($D$10&gt;=1,MIN($D$10,G65),G65*$D$10),IF($E$10="",9E+99,$E$10)),0))))</f>
        <v/>
      </c>
      <c r="J65" s="20">
        <f>IF(G65="","",IF(OR($D$11="",$H$11="X",G65&lt;N($C$11)),0,IF(B65="G마켓",ROUNDDOWN(MIN(IF($D$11&gt;=1,MIN($D$11,G65),G65*$D$11),IF($E$11="",9E+99,$E$11)),0),ROUNDUP(MIN(IF($D$11&gt;=1,MIN($D$11,G65),G65*$D$11),IF($E$11="",9E+99,$E$11)),0))))</f>
        <v/>
      </c>
      <c r="K65" s="20">
        <f>IF(G65="","",IF(OR($D$12="",$H$12="X",G65&lt;N($C$12)),0,IF(B65="G마켓",ROUNDDOWN(MIN(IF($D$12&gt;=1,MIN($D$12,G65),G65*$D$12),IF($E$12="",9E+99,$E$12)),0),ROUNDUP(MIN(IF($D$12&gt;=1,MIN($D$12,G65),G65*$D$12),IF($E$12="",9E+99,$E$12)),0))))</f>
        <v/>
      </c>
      <c r="L65" s="20">
        <f>IF(G65="","",IF(OR($D$13="",$H$13="X",G65&lt;N($C$13)),0,IF(B65="G마켓",ROUNDDOWN(MIN(IF($D$13&gt;=1,MIN($D$13,G65),G65*$D$13),IF($E$13="",9E+99,$E$13)),0),ROUNDUP(MIN(IF($D$13&gt;=1,MIN($D$13,G65),G65*$D$13),IF($E$13="",9E+99,$E$13)),0))))</f>
        <v/>
      </c>
      <c r="M65" s="20">
        <f>IF(G65="","",IF(OR($D$14="",$H$14="X",G65&lt;N($C$14)),0,IF(B65="G마켓",ROUNDDOWN(MIN(IF($D$14&gt;=1,MIN($D$14,G65),G65*$D$14),IF($E$14="",9E+99,$E$14)),0),ROUNDUP(MIN(IF($D$14&gt;=1,MIN($D$14,G65),G65*$D$14),IF($E$14="",9E+99,$E$14)),0))))</f>
        <v/>
      </c>
      <c r="N65" s="19">
        <f>IF(G65="","",G65-MAX(I65:M65))</f>
        <v/>
      </c>
      <c r="O65" s="20">
        <f>IF(N65="","",IF(OR($D$18="",$H$18="X",N65&lt;N($C$18)),0,IF(B65="G마켓",ROUNDDOWN(MIN(IF($D$18&gt;=1,MIN($D$18,N65),N65*$D$18),IF($E$18="",9E+99,$E$18)),0),ROUNDUP(MIN(IF($D$18&gt;=1,MIN($D$18,N65),N65*$D$18),IF($E$18="",9E+99,$E$18)),0))))</f>
        <v/>
      </c>
      <c r="P65" s="20">
        <f>IF(N65="","",IF(OR($D$19="",$H$19="X",N65&lt;N($C$19)),0,IF(B65="G마켓",ROUNDDOWN(MIN(IF($D$19&gt;=1,MIN($D$19,N65),N65*$D$19),IF($E$19="",9E+99,$E$19)),0),ROUNDUP(MIN(IF($D$19&gt;=1,MIN($D$19,N65),N65*$D$19),IF($E$19="",9E+99,$E$19)),0))))</f>
        <v/>
      </c>
      <c r="Q65" s="20">
        <f>IF(N65="","",IF(OR($D$20="",$H$20="X",N65&lt;N($C$20)),0,IF(B65="G마켓",ROUNDDOWN(MIN(IF($D$20&gt;=1,MIN($D$20,N65),N65*$D$20),IF($E$20="",9E+99,$E$20)),0),ROUNDUP(MIN(IF($D$20&gt;=1,MIN($D$20,N65),N65*$D$20),IF($E$20="",9E+99,$E$20)),0))))</f>
        <v/>
      </c>
      <c r="R65" s="20">
        <f>IF(N65="","",IF(OR($D$21="",$H$21="X",N65&lt;N($C$21)),0,IF(B65="G마켓",ROUNDDOWN(MIN(IF($D$21&gt;=1,MIN($D$21,N65),N65*$D$21),IF($E$21="",9E+99,$E$21)),0),ROUNDUP(MIN(IF($D$21&gt;=1,MIN($D$21,N65),N65*$D$21),IF($E$21="",9E+99,$E$21)),0))))</f>
        <v/>
      </c>
      <c r="S65" s="19">
        <f>IF(G65="","",N65-MAX(O65:R65))</f>
        <v/>
      </c>
      <c r="T65" s="20">
        <f>IF(S65="","",IF(OR($D$25="",S65&lt;N($C$25)),0,IF(B65="G마켓",ROUNDDOWN(MIN(IF($D$25&gt;=1,MIN($D$25,S65),S65*$D$25),IF($E$25="",9E+99,$E$25)),0),ROUNDUP(MIN(IF($D$25&gt;=1,MIN($D$25,S65),S65*$D$25),IF($E$25="",9E+99,$E$25)),0))))</f>
        <v/>
      </c>
      <c r="U65" s="20">
        <f>IF(S65="","",IF(OR($D$26="",S65&lt;N($C$26)),0,IF(B65="G마켓",ROUNDDOWN(MIN(IF($D$26&gt;=1,MIN($D$26,S65),S65*$D$26),IF($E$26="",9E+99,$E$26)),0),ROUNDUP(MIN(IF($D$26&gt;=1,MIN($D$26,S65),S65*$D$26),IF($E$26="",9E+99,$E$26)),0))))</f>
        <v/>
      </c>
      <c r="V65" s="20">
        <f>IF(S65="","",IF(OR($D$27="",S65&lt;N($C$27)),0,IF(B65="G마켓",ROUNDDOWN(MIN(IF($D$27&gt;=1,MIN($D$27,S65),S65*$D$27),IF($E$27="",9E+99,$E$27)),0),ROUNDUP(MIN(IF($D$27&gt;=1,MIN($D$27,S65),S65*$D$27),IF($E$27="",9E+99,$E$27)),0))))</f>
        <v/>
      </c>
      <c r="W65" s="19">
        <f>IF(G65="","",MAX(T65:V65))</f>
        <v/>
      </c>
      <c r="X65" s="21">
        <f>IF(G65="","",S65-W65)</f>
        <v/>
      </c>
      <c r="Y65" s="19">
        <f>IF(G65="","",IF(B65="G마켓",ROUNDDOWN(MAX(I65*N($G$10),J65*N($G$11),K65*N($G$12),L65*N($G$13),M65*N($G$14))+MAX(O65*N($G$18),P65*N($G$19),Q65*N($G$20),R65*N($G$21))+MAX(T65*N($G$25),U65*N($G$26),V65*N($G$27)),0),ROUNDUP(MAX(I65*N($G$10),J65*N($G$11),K65*N($G$12),L65*N($G$13),M65*N($G$14))+MAX(O65*N($G$18),P65*N($G$19),Q65*N($G$20),R65*N($G$21))+MAX(T65*N($G$25),U65*N($G$26),V65*N($G$27)),0)))</f>
        <v/>
      </c>
      <c r="Z65" s="21">
        <f>IF(G65="","",IF(B65="G마켓",ROUNDDOWN(G65-G65*$Q$6-Y65,0),ROUNDUP(G65-G65*$Q$6-Y65,0)))</f>
        <v/>
      </c>
    </row>
    <row r="66">
      <c r="B66" s="7" t="n"/>
      <c r="C66" s="7" t="n"/>
      <c r="D66" s="22" t="n"/>
      <c r="E66" s="23" t="n"/>
      <c r="F66" s="23" t="n"/>
      <c r="G66" s="19">
        <f>IF(E66="","",E66-N(F66))</f>
        <v/>
      </c>
      <c r="I66" s="20">
        <f>IF(G66="","",IF(OR($D$10="",$H$10="X",G66&lt;N($C$10)),0,IF(B66="G마켓",ROUNDDOWN(MIN(IF($D$10&gt;=1,MIN($D$10,G66),G66*$D$10),IF($E$10="",9E+99,$E$10)),0),ROUNDUP(MIN(IF($D$10&gt;=1,MIN($D$10,G66),G66*$D$10),IF($E$10="",9E+99,$E$10)),0))))</f>
        <v/>
      </c>
      <c r="J66" s="20">
        <f>IF(G66="","",IF(OR($D$11="",$H$11="X",G66&lt;N($C$11)),0,IF(B66="G마켓",ROUNDDOWN(MIN(IF($D$11&gt;=1,MIN($D$11,G66),G66*$D$11),IF($E$11="",9E+99,$E$11)),0),ROUNDUP(MIN(IF($D$11&gt;=1,MIN($D$11,G66),G66*$D$11),IF($E$11="",9E+99,$E$11)),0))))</f>
        <v/>
      </c>
      <c r="K66" s="20">
        <f>IF(G66="","",IF(OR($D$12="",$H$12="X",G66&lt;N($C$12)),0,IF(B66="G마켓",ROUNDDOWN(MIN(IF($D$12&gt;=1,MIN($D$12,G66),G66*$D$12),IF($E$12="",9E+99,$E$12)),0),ROUNDUP(MIN(IF($D$12&gt;=1,MIN($D$12,G66),G66*$D$12),IF($E$12="",9E+99,$E$12)),0))))</f>
        <v/>
      </c>
      <c r="L66" s="20">
        <f>IF(G66="","",IF(OR($D$13="",$H$13="X",G66&lt;N($C$13)),0,IF(B66="G마켓",ROUNDDOWN(MIN(IF($D$13&gt;=1,MIN($D$13,G66),G66*$D$13),IF($E$13="",9E+99,$E$13)),0),ROUNDUP(MIN(IF($D$13&gt;=1,MIN($D$13,G66),G66*$D$13),IF($E$13="",9E+99,$E$13)),0))))</f>
        <v/>
      </c>
      <c r="M66" s="20">
        <f>IF(G66="","",IF(OR($D$14="",$H$14="X",G66&lt;N($C$14)),0,IF(B66="G마켓",ROUNDDOWN(MIN(IF($D$14&gt;=1,MIN($D$14,G66),G66*$D$14),IF($E$14="",9E+99,$E$14)),0),ROUNDUP(MIN(IF($D$14&gt;=1,MIN($D$14,G66),G66*$D$14),IF($E$14="",9E+99,$E$14)),0))))</f>
        <v/>
      </c>
      <c r="N66" s="19">
        <f>IF(G66="","",G66-MAX(I66:M66))</f>
        <v/>
      </c>
      <c r="O66" s="20">
        <f>IF(N66="","",IF(OR($D$18="",$H$18="X",N66&lt;N($C$18)),0,IF(B66="G마켓",ROUNDDOWN(MIN(IF($D$18&gt;=1,MIN($D$18,N66),N66*$D$18),IF($E$18="",9E+99,$E$18)),0),ROUNDUP(MIN(IF($D$18&gt;=1,MIN($D$18,N66),N66*$D$18),IF($E$18="",9E+99,$E$18)),0))))</f>
        <v/>
      </c>
      <c r="P66" s="20">
        <f>IF(N66="","",IF(OR($D$19="",$H$19="X",N66&lt;N($C$19)),0,IF(B66="G마켓",ROUNDDOWN(MIN(IF($D$19&gt;=1,MIN($D$19,N66),N66*$D$19),IF($E$19="",9E+99,$E$19)),0),ROUNDUP(MIN(IF($D$19&gt;=1,MIN($D$19,N66),N66*$D$19),IF($E$19="",9E+99,$E$19)),0))))</f>
        <v/>
      </c>
      <c r="Q66" s="20">
        <f>IF(N66="","",IF(OR($D$20="",$H$20="X",N66&lt;N($C$20)),0,IF(B66="G마켓",ROUNDDOWN(MIN(IF($D$20&gt;=1,MIN($D$20,N66),N66*$D$20),IF($E$20="",9E+99,$E$20)),0),ROUNDUP(MIN(IF($D$20&gt;=1,MIN($D$20,N66),N66*$D$20),IF($E$20="",9E+99,$E$20)),0))))</f>
        <v/>
      </c>
      <c r="R66" s="20">
        <f>IF(N66="","",IF(OR($D$21="",$H$21="X",N66&lt;N($C$21)),0,IF(B66="G마켓",ROUNDDOWN(MIN(IF($D$21&gt;=1,MIN($D$21,N66),N66*$D$21),IF($E$21="",9E+99,$E$21)),0),ROUNDUP(MIN(IF($D$21&gt;=1,MIN($D$21,N66),N66*$D$21),IF($E$21="",9E+99,$E$21)),0))))</f>
        <v/>
      </c>
      <c r="S66" s="19">
        <f>IF(G66="","",N66-MAX(O66:R66))</f>
        <v/>
      </c>
      <c r="T66" s="20">
        <f>IF(S66="","",IF(OR($D$25="",S66&lt;N($C$25)),0,IF(B66="G마켓",ROUNDDOWN(MIN(IF($D$25&gt;=1,MIN($D$25,S66),S66*$D$25),IF($E$25="",9E+99,$E$25)),0),ROUNDUP(MIN(IF($D$25&gt;=1,MIN($D$25,S66),S66*$D$25),IF($E$25="",9E+99,$E$25)),0))))</f>
        <v/>
      </c>
      <c r="U66" s="20">
        <f>IF(S66="","",IF(OR($D$26="",S66&lt;N($C$26)),0,IF(B66="G마켓",ROUNDDOWN(MIN(IF($D$26&gt;=1,MIN($D$26,S66),S66*$D$26),IF($E$26="",9E+99,$E$26)),0),ROUNDUP(MIN(IF($D$26&gt;=1,MIN($D$26,S66),S66*$D$26),IF($E$26="",9E+99,$E$26)),0))))</f>
        <v/>
      </c>
      <c r="V66" s="20">
        <f>IF(S66="","",IF(OR($D$27="",S66&lt;N($C$27)),0,IF(B66="G마켓",ROUNDDOWN(MIN(IF($D$27&gt;=1,MIN($D$27,S66),S66*$D$27),IF($E$27="",9E+99,$E$27)),0),ROUNDUP(MIN(IF($D$27&gt;=1,MIN($D$27,S66),S66*$D$27),IF($E$27="",9E+99,$E$27)),0))))</f>
        <v/>
      </c>
      <c r="W66" s="19">
        <f>IF(G66="","",MAX(T66:V66))</f>
        <v/>
      </c>
      <c r="X66" s="21">
        <f>IF(G66="","",S66-W66)</f>
        <v/>
      </c>
      <c r="Y66" s="19">
        <f>IF(G66="","",IF(B66="G마켓",ROUNDDOWN(MAX(I66*N($G$10),J66*N($G$11),K66*N($G$12),L66*N($G$13),M66*N($G$14))+MAX(O66*N($G$18),P66*N($G$19),Q66*N($G$20),R66*N($G$21))+MAX(T66*N($G$25),U66*N($G$26),V66*N($G$27)),0),ROUNDUP(MAX(I66*N($G$10),J66*N($G$11),K66*N($G$12),L66*N($G$13),M66*N($G$14))+MAX(O66*N($G$18),P66*N($G$19),Q66*N($G$20),R66*N($G$21))+MAX(T66*N($G$25),U66*N($G$26),V66*N($G$27)),0)))</f>
        <v/>
      </c>
      <c r="Z66" s="21">
        <f>IF(G66="","",IF(B66="G마켓",ROUNDDOWN(G66-G66*$Q$6-Y66,0),ROUNDUP(G66-G66*$Q$6-Y66,0)))</f>
        <v/>
      </c>
    </row>
    <row r="67">
      <c r="B67" s="7" t="n"/>
      <c r="C67" s="7" t="n"/>
      <c r="D67" s="22" t="n"/>
      <c r="E67" s="23" t="n"/>
      <c r="F67" s="23" t="n"/>
      <c r="G67" s="19">
        <f>IF(E67="","",E67-N(F67))</f>
        <v/>
      </c>
      <c r="I67" s="20">
        <f>IF(G67="","",IF(OR($D$10="",$H$10="X",G67&lt;N($C$10)),0,IF(B67="G마켓",ROUNDDOWN(MIN(IF($D$10&gt;=1,MIN($D$10,G67),G67*$D$10),IF($E$10="",9E+99,$E$10)),0),ROUNDUP(MIN(IF($D$10&gt;=1,MIN($D$10,G67),G67*$D$10),IF($E$10="",9E+99,$E$10)),0))))</f>
        <v/>
      </c>
      <c r="J67" s="20">
        <f>IF(G67="","",IF(OR($D$11="",$H$11="X",G67&lt;N($C$11)),0,IF(B67="G마켓",ROUNDDOWN(MIN(IF($D$11&gt;=1,MIN($D$11,G67),G67*$D$11),IF($E$11="",9E+99,$E$11)),0),ROUNDUP(MIN(IF($D$11&gt;=1,MIN($D$11,G67),G67*$D$11),IF($E$11="",9E+99,$E$11)),0))))</f>
        <v/>
      </c>
      <c r="K67" s="20">
        <f>IF(G67="","",IF(OR($D$12="",$H$12="X",G67&lt;N($C$12)),0,IF(B67="G마켓",ROUNDDOWN(MIN(IF($D$12&gt;=1,MIN($D$12,G67),G67*$D$12),IF($E$12="",9E+99,$E$12)),0),ROUNDUP(MIN(IF($D$12&gt;=1,MIN($D$12,G67),G67*$D$12),IF($E$12="",9E+99,$E$12)),0))))</f>
        <v/>
      </c>
      <c r="L67" s="20">
        <f>IF(G67="","",IF(OR($D$13="",$H$13="X",G67&lt;N($C$13)),0,IF(B67="G마켓",ROUNDDOWN(MIN(IF($D$13&gt;=1,MIN($D$13,G67),G67*$D$13),IF($E$13="",9E+99,$E$13)),0),ROUNDUP(MIN(IF($D$13&gt;=1,MIN($D$13,G67),G67*$D$13),IF($E$13="",9E+99,$E$13)),0))))</f>
        <v/>
      </c>
      <c r="M67" s="20">
        <f>IF(G67="","",IF(OR($D$14="",$H$14="X",G67&lt;N($C$14)),0,IF(B67="G마켓",ROUNDDOWN(MIN(IF($D$14&gt;=1,MIN($D$14,G67),G67*$D$14),IF($E$14="",9E+99,$E$14)),0),ROUNDUP(MIN(IF($D$14&gt;=1,MIN($D$14,G67),G67*$D$14),IF($E$14="",9E+99,$E$14)),0))))</f>
        <v/>
      </c>
      <c r="N67" s="19">
        <f>IF(G67="","",G67-MAX(I67:M67))</f>
        <v/>
      </c>
      <c r="O67" s="20">
        <f>IF(N67="","",IF(OR($D$18="",$H$18="X",N67&lt;N($C$18)),0,IF(B67="G마켓",ROUNDDOWN(MIN(IF($D$18&gt;=1,MIN($D$18,N67),N67*$D$18),IF($E$18="",9E+99,$E$18)),0),ROUNDUP(MIN(IF($D$18&gt;=1,MIN($D$18,N67),N67*$D$18),IF($E$18="",9E+99,$E$18)),0))))</f>
        <v/>
      </c>
      <c r="P67" s="20">
        <f>IF(N67="","",IF(OR($D$19="",$H$19="X",N67&lt;N($C$19)),0,IF(B67="G마켓",ROUNDDOWN(MIN(IF($D$19&gt;=1,MIN($D$19,N67),N67*$D$19),IF($E$19="",9E+99,$E$19)),0),ROUNDUP(MIN(IF($D$19&gt;=1,MIN($D$19,N67),N67*$D$19),IF($E$19="",9E+99,$E$19)),0))))</f>
        <v/>
      </c>
      <c r="Q67" s="20">
        <f>IF(N67="","",IF(OR($D$20="",$H$20="X",N67&lt;N($C$20)),0,IF(B67="G마켓",ROUNDDOWN(MIN(IF($D$20&gt;=1,MIN($D$20,N67),N67*$D$20),IF($E$20="",9E+99,$E$20)),0),ROUNDUP(MIN(IF($D$20&gt;=1,MIN($D$20,N67),N67*$D$20),IF($E$20="",9E+99,$E$20)),0))))</f>
        <v/>
      </c>
      <c r="R67" s="20">
        <f>IF(N67="","",IF(OR($D$21="",$H$21="X",N67&lt;N($C$21)),0,IF(B67="G마켓",ROUNDDOWN(MIN(IF($D$21&gt;=1,MIN($D$21,N67),N67*$D$21),IF($E$21="",9E+99,$E$21)),0),ROUNDUP(MIN(IF($D$21&gt;=1,MIN($D$21,N67),N67*$D$21),IF($E$21="",9E+99,$E$21)),0))))</f>
        <v/>
      </c>
      <c r="S67" s="19">
        <f>IF(G67="","",N67-MAX(O67:R67))</f>
        <v/>
      </c>
      <c r="T67" s="20">
        <f>IF(S67="","",IF(OR($D$25="",S67&lt;N($C$25)),0,IF(B67="G마켓",ROUNDDOWN(MIN(IF($D$25&gt;=1,MIN($D$25,S67),S67*$D$25),IF($E$25="",9E+99,$E$25)),0),ROUNDUP(MIN(IF($D$25&gt;=1,MIN($D$25,S67),S67*$D$25),IF($E$25="",9E+99,$E$25)),0))))</f>
        <v/>
      </c>
      <c r="U67" s="20">
        <f>IF(S67="","",IF(OR($D$26="",S67&lt;N($C$26)),0,IF(B67="G마켓",ROUNDDOWN(MIN(IF($D$26&gt;=1,MIN($D$26,S67),S67*$D$26),IF($E$26="",9E+99,$E$26)),0),ROUNDUP(MIN(IF($D$26&gt;=1,MIN($D$26,S67),S67*$D$26),IF($E$26="",9E+99,$E$26)),0))))</f>
        <v/>
      </c>
      <c r="V67" s="20">
        <f>IF(S67="","",IF(OR($D$27="",S67&lt;N($C$27)),0,IF(B67="G마켓",ROUNDDOWN(MIN(IF($D$27&gt;=1,MIN($D$27,S67),S67*$D$27),IF($E$27="",9E+99,$E$27)),0),ROUNDUP(MIN(IF($D$27&gt;=1,MIN($D$27,S67),S67*$D$27),IF($E$27="",9E+99,$E$27)),0))))</f>
        <v/>
      </c>
      <c r="W67" s="19">
        <f>IF(G67="","",MAX(T67:V67))</f>
        <v/>
      </c>
      <c r="X67" s="21">
        <f>IF(G67="","",S67-W67)</f>
        <v/>
      </c>
      <c r="Y67" s="19">
        <f>IF(G67="","",IF(B67="G마켓",ROUNDDOWN(MAX(I67*N($G$10),J67*N($G$11),K67*N($G$12),L67*N($G$13),M67*N($G$14))+MAX(O67*N($G$18),P67*N($G$19),Q67*N($G$20),R67*N($G$21))+MAX(T67*N($G$25),U67*N($G$26),V67*N($G$27)),0),ROUNDUP(MAX(I67*N($G$10),J67*N($G$11),K67*N($G$12),L67*N($G$13),M67*N($G$14))+MAX(O67*N($G$18),P67*N($G$19),Q67*N($G$20),R67*N($G$21))+MAX(T67*N($G$25),U67*N($G$26),V67*N($G$27)),0)))</f>
        <v/>
      </c>
      <c r="Z67" s="21">
        <f>IF(G67="","",IF(B67="G마켓",ROUNDDOWN(G67-G67*$Q$6-Y67,0),ROUNDUP(G67-G67*$Q$6-Y67,0)))</f>
        <v/>
      </c>
    </row>
    <row r="68">
      <c r="B68" s="7" t="n"/>
      <c r="C68" s="7" t="n"/>
      <c r="D68" s="22" t="n"/>
      <c r="E68" s="23" t="n"/>
      <c r="F68" s="23" t="n"/>
      <c r="G68" s="19">
        <f>IF(E68="","",E68-N(F68))</f>
        <v/>
      </c>
      <c r="I68" s="20">
        <f>IF(G68="","",IF(OR($D$10="",$H$10="X",G68&lt;N($C$10)),0,IF(B68="G마켓",ROUNDDOWN(MIN(IF($D$10&gt;=1,MIN($D$10,G68),G68*$D$10),IF($E$10="",9E+99,$E$10)),0),ROUNDUP(MIN(IF($D$10&gt;=1,MIN($D$10,G68),G68*$D$10),IF($E$10="",9E+99,$E$10)),0))))</f>
        <v/>
      </c>
      <c r="J68" s="20">
        <f>IF(G68="","",IF(OR($D$11="",$H$11="X",G68&lt;N($C$11)),0,IF(B68="G마켓",ROUNDDOWN(MIN(IF($D$11&gt;=1,MIN($D$11,G68),G68*$D$11),IF($E$11="",9E+99,$E$11)),0),ROUNDUP(MIN(IF($D$11&gt;=1,MIN($D$11,G68),G68*$D$11),IF($E$11="",9E+99,$E$11)),0))))</f>
        <v/>
      </c>
      <c r="K68" s="20">
        <f>IF(G68="","",IF(OR($D$12="",$H$12="X",G68&lt;N($C$12)),0,IF(B68="G마켓",ROUNDDOWN(MIN(IF($D$12&gt;=1,MIN($D$12,G68),G68*$D$12),IF($E$12="",9E+99,$E$12)),0),ROUNDUP(MIN(IF($D$12&gt;=1,MIN($D$12,G68),G68*$D$12),IF($E$12="",9E+99,$E$12)),0))))</f>
        <v/>
      </c>
      <c r="L68" s="20">
        <f>IF(G68="","",IF(OR($D$13="",$H$13="X",G68&lt;N($C$13)),0,IF(B68="G마켓",ROUNDDOWN(MIN(IF($D$13&gt;=1,MIN($D$13,G68),G68*$D$13),IF($E$13="",9E+99,$E$13)),0),ROUNDUP(MIN(IF($D$13&gt;=1,MIN($D$13,G68),G68*$D$13),IF($E$13="",9E+99,$E$13)),0))))</f>
        <v/>
      </c>
      <c r="M68" s="20">
        <f>IF(G68="","",IF(OR($D$14="",$H$14="X",G68&lt;N($C$14)),0,IF(B68="G마켓",ROUNDDOWN(MIN(IF($D$14&gt;=1,MIN($D$14,G68),G68*$D$14),IF($E$14="",9E+99,$E$14)),0),ROUNDUP(MIN(IF($D$14&gt;=1,MIN($D$14,G68),G68*$D$14),IF($E$14="",9E+99,$E$14)),0))))</f>
        <v/>
      </c>
      <c r="N68" s="19">
        <f>IF(G68="","",G68-MAX(I68:M68))</f>
        <v/>
      </c>
      <c r="O68" s="20">
        <f>IF(N68="","",IF(OR($D$18="",$H$18="X",N68&lt;N($C$18)),0,IF(B68="G마켓",ROUNDDOWN(MIN(IF($D$18&gt;=1,MIN($D$18,N68),N68*$D$18),IF($E$18="",9E+99,$E$18)),0),ROUNDUP(MIN(IF($D$18&gt;=1,MIN($D$18,N68),N68*$D$18),IF($E$18="",9E+99,$E$18)),0))))</f>
        <v/>
      </c>
      <c r="P68" s="20">
        <f>IF(N68="","",IF(OR($D$19="",$H$19="X",N68&lt;N($C$19)),0,IF(B68="G마켓",ROUNDDOWN(MIN(IF($D$19&gt;=1,MIN($D$19,N68),N68*$D$19),IF($E$19="",9E+99,$E$19)),0),ROUNDUP(MIN(IF($D$19&gt;=1,MIN($D$19,N68),N68*$D$19),IF($E$19="",9E+99,$E$19)),0))))</f>
        <v/>
      </c>
      <c r="Q68" s="20">
        <f>IF(N68="","",IF(OR($D$20="",$H$20="X",N68&lt;N($C$20)),0,IF(B68="G마켓",ROUNDDOWN(MIN(IF($D$20&gt;=1,MIN($D$20,N68),N68*$D$20),IF($E$20="",9E+99,$E$20)),0),ROUNDUP(MIN(IF($D$20&gt;=1,MIN($D$20,N68),N68*$D$20),IF($E$20="",9E+99,$E$20)),0))))</f>
        <v/>
      </c>
      <c r="R68" s="20">
        <f>IF(N68="","",IF(OR($D$21="",$H$21="X",N68&lt;N($C$21)),0,IF(B68="G마켓",ROUNDDOWN(MIN(IF($D$21&gt;=1,MIN($D$21,N68),N68*$D$21),IF($E$21="",9E+99,$E$21)),0),ROUNDUP(MIN(IF($D$21&gt;=1,MIN($D$21,N68),N68*$D$21),IF($E$21="",9E+99,$E$21)),0))))</f>
        <v/>
      </c>
      <c r="S68" s="19">
        <f>IF(G68="","",N68-MAX(O68:R68))</f>
        <v/>
      </c>
      <c r="T68" s="20">
        <f>IF(S68="","",IF(OR($D$25="",S68&lt;N($C$25)),0,IF(B68="G마켓",ROUNDDOWN(MIN(IF($D$25&gt;=1,MIN($D$25,S68),S68*$D$25),IF($E$25="",9E+99,$E$25)),0),ROUNDUP(MIN(IF($D$25&gt;=1,MIN($D$25,S68),S68*$D$25),IF($E$25="",9E+99,$E$25)),0))))</f>
        <v/>
      </c>
      <c r="U68" s="20">
        <f>IF(S68="","",IF(OR($D$26="",S68&lt;N($C$26)),0,IF(B68="G마켓",ROUNDDOWN(MIN(IF($D$26&gt;=1,MIN($D$26,S68),S68*$D$26),IF($E$26="",9E+99,$E$26)),0),ROUNDUP(MIN(IF($D$26&gt;=1,MIN($D$26,S68),S68*$D$26),IF($E$26="",9E+99,$E$26)),0))))</f>
        <v/>
      </c>
      <c r="V68" s="20">
        <f>IF(S68="","",IF(OR($D$27="",S68&lt;N($C$27)),0,IF(B68="G마켓",ROUNDDOWN(MIN(IF($D$27&gt;=1,MIN($D$27,S68),S68*$D$27),IF($E$27="",9E+99,$E$27)),0),ROUNDUP(MIN(IF($D$27&gt;=1,MIN($D$27,S68),S68*$D$27),IF($E$27="",9E+99,$E$27)),0))))</f>
        <v/>
      </c>
      <c r="W68" s="19">
        <f>IF(G68="","",MAX(T68:V68))</f>
        <v/>
      </c>
      <c r="X68" s="21">
        <f>IF(G68="","",S68-W68)</f>
        <v/>
      </c>
      <c r="Y68" s="19">
        <f>IF(G68="","",IF(B68="G마켓",ROUNDDOWN(MAX(I68*N($G$10),J68*N($G$11),K68*N($G$12),L68*N($G$13),M68*N($G$14))+MAX(O68*N($G$18),P68*N($G$19),Q68*N($G$20),R68*N($G$21))+MAX(T68*N($G$25),U68*N($G$26),V68*N($G$27)),0),ROUNDUP(MAX(I68*N($G$10),J68*N($G$11),K68*N($G$12),L68*N($G$13),M68*N($G$14))+MAX(O68*N($G$18),P68*N($G$19),Q68*N($G$20),R68*N($G$21))+MAX(T68*N($G$25),U68*N($G$26),V68*N($G$27)),0)))</f>
        <v/>
      </c>
      <c r="Z68" s="21">
        <f>IF(G68="","",IF(B68="G마켓",ROUNDDOWN(G68-G68*$Q$6-Y68,0),ROUNDUP(G68-G68*$Q$6-Y68,0)))</f>
        <v/>
      </c>
    </row>
    <row r="69">
      <c r="B69" s="7" t="n"/>
      <c r="C69" s="7" t="n"/>
      <c r="D69" s="22" t="n"/>
      <c r="E69" s="23" t="n"/>
      <c r="F69" s="23" t="n"/>
      <c r="G69" s="19">
        <f>IF(E69="","",E69-N(F69))</f>
        <v/>
      </c>
      <c r="I69" s="20">
        <f>IF(G69="","",IF(OR($D$10="",$H$10="X",G69&lt;N($C$10)),0,IF(B69="G마켓",ROUNDDOWN(MIN(IF($D$10&gt;=1,MIN($D$10,G69),G69*$D$10),IF($E$10="",9E+99,$E$10)),0),ROUNDUP(MIN(IF($D$10&gt;=1,MIN($D$10,G69),G69*$D$10),IF($E$10="",9E+99,$E$10)),0))))</f>
        <v/>
      </c>
      <c r="J69" s="20">
        <f>IF(G69="","",IF(OR($D$11="",$H$11="X",G69&lt;N($C$11)),0,IF(B69="G마켓",ROUNDDOWN(MIN(IF($D$11&gt;=1,MIN($D$11,G69),G69*$D$11),IF($E$11="",9E+99,$E$11)),0),ROUNDUP(MIN(IF($D$11&gt;=1,MIN($D$11,G69),G69*$D$11),IF($E$11="",9E+99,$E$11)),0))))</f>
        <v/>
      </c>
      <c r="K69" s="20">
        <f>IF(G69="","",IF(OR($D$12="",$H$12="X",G69&lt;N($C$12)),0,IF(B69="G마켓",ROUNDDOWN(MIN(IF($D$12&gt;=1,MIN($D$12,G69),G69*$D$12),IF($E$12="",9E+99,$E$12)),0),ROUNDUP(MIN(IF($D$12&gt;=1,MIN($D$12,G69),G69*$D$12),IF($E$12="",9E+99,$E$12)),0))))</f>
        <v/>
      </c>
      <c r="L69" s="20">
        <f>IF(G69="","",IF(OR($D$13="",$H$13="X",G69&lt;N($C$13)),0,IF(B69="G마켓",ROUNDDOWN(MIN(IF($D$13&gt;=1,MIN($D$13,G69),G69*$D$13),IF($E$13="",9E+99,$E$13)),0),ROUNDUP(MIN(IF($D$13&gt;=1,MIN($D$13,G69),G69*$D$13),IF($E$13="",9E+99,$E$13)),0))))</f>
        <v/>
      </c>
      <c r="M69" s="20">
        <f>IF(G69="","",IF(OR($D$14="",$H$14="X",G69&lt;N($C$14)),0,IF(B69="G마켓",ROUNDDOWN(MIN(IF($D$14&gt;=1,MIN($D$14,G69),G69*$D$14),IF($E$14="",9E+99,$E$14)),0),ROUNDUP(MIN(IF($D$14&gt;=1,MIN($D$14,G69),G69*$D$14),IF($E$14="",9E+99,$E$14)),0))))</f>
        <v/>
      </c>
      <c r="N69" s="19">
        <f>IF(G69="","",G69-MAX(I69:M69))</f>
        <v/>
      </c>
      <c r="O69" s="20">
        <f>IF(N69="","",IF(OR($D$18="",$H$18="X",N69&lt;N($C$18)),0,IF(B69="G마켓",ROUNDDOWN(MIN(IF($D$18&gt;=1,MIN($D$18,N69),N69*$D$18),IF($E$18="",9E+99,$E$18)),0),ROUNDUP(MIN(IF($D$18&gt;=1,MIN($D$18,N69),N69*$D$18),IF($E$18="",9E+99,$E$18)),0))))</f>
        <v/>
      </c>
      <c r="P69" s="20">
        <f>IF(N69="","",IF(OR($D$19="",$H$19="X",N69&lt;N($C$19)),0,IF(B69="G마켓",ROUNDDOWN(MIN(IF($D$19&gt;=1,MIN($D$19,N69),N69*$D$19),IF($E$19="",9E+99,$E$19)),0),ROUNDUP(MIN(IF($D$19&gt;=1,MIN($D$19,N69),N69*$D$19),IF($E$19="",9E+99,$E$19)),0))))</f>
        <v/>
      </c>
      <c r="Q69" s="20">
        <f>IF(N69="","",IF(OR($D$20="",$H$20="X",N69&lt;N($C$20)),0,IF(B69="G마켓",ROUNDDOWN(MIN(IF($D$20&gt;=1,MIN($D$20,N69),N69*$D$20),IF($E$20="",9E+99,$E$20)),0),ROUNDUP(MIN(IF($D$20&gt;=1,MIN($D$20,N69),N69*$D$20),IF($E$20="",9E+99,$E$20)),0))))</f>
        <v/>
      </c>
      <c r="R69" s="20">
        <f>IF(N69="","",IF(OR($D$21="",$H$21="X",N69&lt;N($C$21)),0,IF(B69="G마켓",ROUNDDOWN(MIN(IF($D$21&gt;=1,MIN($D$21,N69),N69*$D$21),IF($E$21="",9E+99,$E$21)),0),ROUNDUP(MIN(IF($D$21&gt;=1,MIN($D$21,N69),N69*$D$21),IF($E$21="",9E+99,$E$21)),0))))</f>
        <v/>
      </c>
      <c r="S69" s="19">
        <f>IF(G69="","",N69-MAX(O69:R69))</f>
        <v/>
      </c>
      <c r="T69" s="20">
        <f>IF(S69="","",IF(OR($D$25="",S69&lt;N($C$25)),0,IF(B69="G마켓",ROUNDDOWN(MIN(IF($D$25&gt;=1,MIN($D$25,S69),S69*$D$25),IF($E$25="",9E+99,$E$25)),0),ROUNDUP(MIN(IF($D$25&gt;=1,MIN($D$25,S69),S69*$D$25),IF($E$25="",9E+99,$E$25)),0))))</f>
        <v/>
      </c>
      <c r="U69" s="20">
        <f>IF(S69="","",IF(OR($D$26="",S69&lt;N($C$26)),0,IF(B69="G마켓",ROUNDDOWN(MIN(IF($D$26&gt;=1,MIN($D$26,S69),S69*$D$26),IF($E$26="",9E+99,$E$26)),0),ROUNDUP(MIN(IF($D$26&gt;=1,MIN($D$26,S69),S69*$D$26),IF($E$26="",9E+99,$E$26)),0))))</f>
        <v/>
      </c>
      <c r="V69" s="20">
        <f>IF(S69="","",IF(OR($D$27="",S69&lt;N($C$27)),0,IF(B69="G마켓",ROUNDDOWN(MIN(IF($D$27&gt;=1,MIN($D$27,S69),S69*$D$27),IF($E$27="",9E+99,$E$27)),0),ROUNDUP(MIN(IF($D$27&gt;=1,MIN($D$27,S69),S69*$D$27),IF($E$27="",9E+99,$E$27)),0))))</f>
        <v/>
      </c>
      <c r="W69" s="19">
        <f>IF(G69="","",MAX(T69:V69))</f>
        <v/>
      </c>
      <c r="X69" s="21">
        <f>IF(G69="","",S69-W69)</f>
        <v/>
      </c>
      <c r="Y69" s="19">
        <f>IF(G69="","",IF(B69="G마켓",ROUNDDOWN(MAX(I69*N($G$10),J69*N($G$11),K69*N($G$12),L69*N($G$13),M69*N($G$14))+MAX(O69*N($G$18),P69*N($G$19),Q69*N($G$20),R69*N($G$21))+MAX(T69*N($G$25),U69*N($G$26),V69*N($G$27)),0),ROUNDUP(MAX(I69*N($G$10),J69*N($G$11),K69*N($G$12),L69*N($G$13),M69*N($G$14))+MAX(O69*N($G$18),P69*N($G$19),Q69*N($G$20),R69*N($G$21))+MAX(T69*N($G$25),U69*N($G$26),V69*N($G$27)),0)))</f>
        <v/>
      </c>
      <c r="Z69" s="21">
        <f>IF(G69="","",IF(B69="G마켓",ROUNDDOWN(G69-G69*$Q$6-Y69,0),ROUNDUP(G69-G69*$Q$6-Y69,0)))</f>
        <v/>
      </c>
    </row>
    <row r="70">
      <c r="B70" s="7" t="n"/>
      <c r="C70" s="7" t="n"/>
      <c r="D70" s="22" t="n"/>
      <c r="E70" s="23" t="n"/>
      <c r="F70" s="23" t="n"/>
      <c r="G70" s="19">
        <f>IF(E70="","",E70-N(F70))</f>
        <v/>
      </c>
      <c r="I70" s="20">
        <f>IF(G70="","",IF(OR($D$10="",$H$10="X",G70&lt;N($C$10)),0,IF(B70="G마켓",ROUNDDOWN(MIN(IF($D$10&gt;=1,MIN($D$10,G70),G70*$D$10),IF($E$10="",9E+99,$E$10)),0),ROUNDUP(MIN(IF($D$10&gt;=1,MIN($D$10,G70),G70*$D$10),IF($E$10="",9E+99,$E$10)),0))))</f>
        <v/>
      </c>
      <c r="J70" s="20">
        <f>IF(G70="","",IF(OR($D$11="",$H$11="X",G70&lt;N($C$11)),0,IF(B70="G마켓",ROUNDDOWN(MIN(IF($D$11&gt;=1,MIN($D$11,G70),G70*$D$11),IF($E$11="",9E+99,$E$11)),0),ROUNDUP(MIN(IF($D$11&gt;=1,MIN($D$11,G70),G70*$D$11),IF($E$11="",9E+99,$E$11)),0))))</f>
        <v/>
      </c>
      <c r="K70" s="20">
        <f>IF(G70="","",IF(OR($D$12="",$H$12="X",G70&lt;N($C$12)),0,IF(B70="G마켓",ROUNDDOWN(MIN(IF($D$12&gt;=1,MIN($D$12,G70),G70*$D$12),IF($E$12="",9E+99,$E$12)),0),ROUNDUP(MIN(IF($D$12&gt;=1,MIN($D$12,G70),G70*$D$12),IF($E$12="",9E+99,$E$12)),0))))</f>
        <v/>
      </c>
      <c r="L70" s="20">
        <f>IF(G70="","",IF(OR($D$13="",$H$13="X",G70&lt;N($C$13)),0,IF(B70="G마켓",ROUNDDOWN(MIN(IF($D$13&gt;=1,MIN($D$13,G70),G70*$D$13),IF($E$13="",9E+99,$E$13)),0),ROUNDUP(MIN(IF($D$13&gt;=1,MIN($D$13,G70),G70*$D$13),IF($E$13="",9E+99,$E$13)),0))))</f>
        <v/>
      </c>
      <c r="M70" s="20">
        <f>IF(G70="","",IF(OR($D$14="",$H$14="X",G70&lt;N($C$14)),0,IF(B70="G마켓",ROUNDDOWN(MIN(IF($D$14&gt;=1,MIN($D$14,G70),G70*$D$14),IF($E$14="",9E+99,$E$14)),0),ROUNDUP(MIN(IF($D$14&gt;=1,MIN($D$14,G70),G70*$D$14),IF($E$14="",9E+99,$E$14)),0))))</f>
        <v/>
      </c>
      <c r="N70" s="19">
        <f>IF(G70="","",G70-MAX(I70:M70))</f>
        <v/>
      </c>
      <c r="O70" s="20">
        <f>IF(N70="","",IF(OR($D$18="",$H$18="X",N70&lt;N($C$18)),0,IF(B70="G마켓",ROUNDDOWN(MIN(IF($D$18&gt;=1,MIN($D$18,N70),N70*$D$18),IF($E$18="",9E+99,$E$18)),0),ROUNDUP(MIN(IF($D$18&gt;=1,MIN($D$18,N70),N70*$D$18),IF($E$18="",9E+99,$E$18)),0))))</f>
        <v/>
      </c>
      <c r="P70" s="20">
        <f>IF(N70="","",IF(OR($D$19="",$H$19="X",N70&lt;N($C$19)),0,IF(B70="G마켓",ROUNDDOWN(MIN(IF($D$19&gt;=1,MIN($D$19,N70),N70*$D$19),IF($E$19="",9E+99,$E$19)),0),ROUNDUP(MIN(IF($D$19&gt;=1,MIN($D$19,N70),N70*$D$19),IF($E$19="",9E+99,$E$19)),0))))</f>
        <v/>
      </c>
      <c r="Q70" s="20">
        <f>IF(N70="","",IF(OR($D$20="",$H$20="X",N70&lt;N($C$20)),0,IF(B70="G마켓",ROUNDDOWN(MIN(IF($D$20&gt;=1,MIN($D$20,N70),N70*$D$20),IF($E$20="",9E+99,$E$20)),0),ROUNDUP(MIN(IF($D$20&gt;=1,MIN($D$20,N70),N70*$D$20),IF($E$20="",9E+99,$E$20)),0))))</f>
        <v/>
      </c>
      <c r="R70" s="20">
        <f>IF(N70="","",IF(OR($D$21="",$H$21="X",N70&lt;N($C$21)),0,IF(B70="G마켓",ROUNDDOWN(MIN(IF($D$21&gt;=1,MIN($D$21,N70),N70*$D$21),IF($E$21="",9E+99,$E$21)),0),ROUNDUP(MIN(IF($D$21&gt;=1,MIN($D$21,N70),N70*$D$21),IF($E$21="",9E+99,$E$21)),0))))</f>
        <v/>
      </c>
      <c r="S70" s="19">
        <f>IF(G70="","",N70-MAX(O70:R70))</f>
        <v/>
      </c>
      <c r="T70" s="20">
        <f>IF(S70="","",IF(OR($D$25="",S70&lt;N($C$25)),0,IF(B70="G마켓",ROUNDDOWN(MIN(IF($D$25&gt;=1,MIN($D$25,S70),S70*$D$25),IF($E$25="",9E+99,$E$25)),0),ROUNDUP(MIN(IF($D$25&gt;=1,MIN($D$25,S70),S70*$D$25),IF($E$25="",9E+99,$E$25)),0))))</f>
        <v/>
      </c>
      <c r="U70" s="20">
        <f>IF(S70="","",IF(OR($D$26="",S70&lt;N($C$26)),0,IF(B70="G마켓",ROUNDDOWN(MIN(IF($D$26&gt;=1,MIN($D$26,S70),S70*$D$26),IF($E$26="",9E+99,$E$26)),0),ROUNDUP(MIN(IF($D$26&gt;=1,MIN($D$26,S70),S70*$D$26),IF($E$26="",9E+99,$E$26)),0))))</f>
        <v/>
      </c>
      <c r="V70" s="20">
        <f>IF(S70="","",IF(OR($D$27="",S70&lt;N($C$27)),0,IF(B70="G마켓",ROUNDDOWN(MIN(IF($D$27&gt;=1,MIN($D$27,S70),S70*$D$27),IF($E$27="",9E+99,$E$27)),0),ROUNDUP(MIN(IF($D$27&gt;=1,MIN($D$27,S70),S70*$D$27),IF($E$27="",9E+99,$E$27)),0))))</f>
        <v/>
      </c>
      <c r="W70" s="19">
        <f>IF(G70="","",MAX(T70:V70))</f>
        <v/>
      </c>
      <c r="X70" s="21">
        <f>IF(G70="","",S70-W70)</f>
        <v/>
      </c>
      <c r="Y70" s="19">
        <f>IF(G70="","",IF(B70="G마켓",ROUNDDOWN(MAX(I70*N($G$10),J70*N($G$11),K70*N($G$12),L70*N($G$13),M70*N($G$14))+MAX(O70*N($G$18),P70*N($G$19),Q70*N($G$20),R70*N($G$21))+MAX(T70*N($G$25),U70*N($G$26),V70*N($G$27)),0),ROUNDUP(MAX(I70*N($G$10),J70*N($G$11),K70*N($G$12),L70*N($G$13),M70*N($G$14))+MAX(O70*N($G$18),P70*N($G$19),Q70*N($G$20),R70*N($G$21))+MAX(T70*N($G$25),U70*N($G$26),V70*N($G$27)),0)))</f>
        <v/>
      </c>
      <c r="Z70" s="21">
        <f>IF(G70="","",IF(B70="G마켓",ROUNDDOWN(G70-G70*$Q$6-Y70,0),ROUNDUP(G70-G70*$Q$6-Y70,0)))</f>
        <v/>
      </c>
    </row>
    <row r="71">
      <c r="B71" s="7" t="n"/>
      <c r="C71" s="7" t="n"/>
      <c r="D71" s="22" t="n"/>
      <c r="E71" s="23" t="n"/>
      <c r="F71" s="23" t="n"/>
      <c r="G71" s="19">
        <f>IF(E71="","",E71-N(F71))</f>
        <v/>
      </c>
      <c r="I71" s="20">
        <f>IF(G71="","",IF(OR($D$10="",$H$10="X",G71&lt;N($C$10)),0,IF(B71="G마켓",ROUNDDOWN(MIN(IF($D$10&gt;=1,MIN($D$10,G71),G71*$D$10),IF($E$10="",9E+99,$E$10)),0),ROUNDUP(MIN(IF($D$10&gt;=1,MIN($D$10,G71),G71*$D$10),IF($E$10="",9E+99,$E$10)),0))))</f>
        <v/>
      </c>
      <c r="J71" s="20">
        <f>IF(G71="","",IF(OR($D$11="",$H$11="X",G71&lt;N($C$11)),0,IF(B71="G마켓",ROUNDDOWN(MIN(IF($D$11&gt;=1,MIN($D$11,G71),G71*$D$11),IF($E$11="",9E+99,$E$11)),0),ROUNDUP(MIN(IF($D$11&gt;=1,MIN($D$11,G71),G71*$D$11),IF($E$11="",9E+99,$E$11)),0))))</f>
        <v/>
      </c>
      <c r="K71" s="20">
        <f>IF(G71="","",IF(OR($D$12="",$H$12="X",G71&lt;N($C$12)),0,IF(B71="G마켓",ROUNDDOWN(MIN(IF($D$12&gt;=1,MIN($D$12,G71),G71*$D$12),IF($E$12="",9E+99,$E$12)),0),ROUNDUP(MIN(IF($D$12&gt;=1,MIN($D$12,G71),G71*$D$12),IF($E$12="",9E+99,$E$12)),0))))</f>
        <v/>
      </c>
      <c r="L71" s="20">
        <f>IF(G71="","",IF(OR($D$13="",$H$13="X",G71&lt;N($C$13)),0,IF(B71="G마켓",ROUNDDOWN(MIN(IF($D$13&gt;=1,MIN($D$13,G71),G71*$D$13),IF($E$13="",9E+99,$E$13)),0),ROUNDUP(MIN(IF($D$13&gt;=1,MIN($D$13,G71),G71*$D$13),IF($E$13="",9E+99,$E$13)),0))))</f>
        <v/>
      </c>
      <c r="M71" s="20">
        <f>IF(G71="","",IF(OR($D$14="",$H$14="X",G71&lt;N($C$14)),0,IF(B71="G마켓",ROUNDDOWN(MIN(IF($D$14&gt;=1,MIN($D$14,G71),G71*$D$14),IF($E$14="",9E+99,$E$14)),0),ROUNDUP(MIN(IF($D$14&gt;=1,MIN($D$14,G71),G71*$D$14),IF($E$14="",9E+99,$E$14)),0))))</f>
        <v/>
      </c>
      <c r="N71" s="19">
        <f>IF(G71="","",G71-MAX(I71:M71))</f>
        <v/>
      </c>
      <c r="O71" s="20">
        <f>IF(N71="","",IF(OR($D$18="",$H$18="X",N71&lt;N($C$18)),0,IF(B71="G마켓",ROUNDDOWN(MIN(IF($D$18&gt;=1,MIN($D$18,N71),N71*$D$18),IF($E$18="",9E+99,$E$18)),0),ROUNDUP(MIN(IF($D$18&gt;=1,MIN($D$18,N71),N71*$D$18),IF($E$18="",9E+99,$E$18)),0))))</f>
        <v/>
      </c>
      <c r="P71" s="20">
        <f>IF(N71="","",IF(OR($D$19="",$H$19="X",N71&lt;N($C$19)),0,IF(B71="G마켓",ROUNDDOWN(MIN(IF($D$19&gt;=1,MIN($D$19,N71),N71*$D$19),IF($E$19="",9E+99,$E$19)),0),ROUNDUP(MIN(IF($D$19&gt;=1,MIN($D$19,N71),N71*$D$19),IF($E$19="",9E+99,$E$19)),0))))</f>
        <v/>
      </c>
      <c r="Q71" s="20">
        <f>IF(N71="","",IF(OR($D$20="",$H$20="X",N71&lt;N($C$20)),0,IF(B71="G마켓",ROUNDDOWN(MIN(IF($D$20&gt;=1,MIN($D$20,N71),N71*$D$20),IF($E$20="",9E+99,$E$20)),0),ROUNDUP(MIN(IF($D$20&gt;=1,MIN($D$20,N71),N71*$D$20),IF($E$20="",9E+99,$E$20)),0))))</f>
        <v/>
      </c>
      <c r="R71" s="20">
        <f>IF(N71="","",IF(OR($D$21="",$H$21="X",N71&lt;N($C$21)),0,IF(B71="G마켓",ROUNDDOWN(MIN(IF($D$21&gt;=1,MIN($D$21,N71),N71*$D$21),IF($E$21="",9E+99,$E$21)),0),ROUNDUP(MIN(IF($D$21&gt;=1,MIN($D$21,N71),N71*$D$21),IF($E$21="",9E+99,$E$21)),0))))</f>
        <v/>
      </c>
      <c r="S71" s="19">
        <f>IF(G71="","",N71-MAX(O71:R71))</f>
        <v/>
      </c>
      <c r="T71" s="20">
        <f>IF(S71="","",IF(OR($D$25="",S71&lt;N($C$25)),0,IF(B71="G마켓",ROUNDDOWN(MIN(IF($D$25&gt;=1,MIN($D$25,S71),S71*$D$25),IF($E$25="",9E+99,$E$25)),0),ROUNDUP(MIN(IF($D$25&gt;=1,MIN($D$25,S71),S71*$D$25),IF($E$25="",9E+99,$E$25)),0))))</f>
        <v/>
      </c>
      <c r="U71" s="20">
        <f>IF(S71="","",IF(OR($D$26="",S71&lt;N($C$26)),0,IF(B71="G마켓",ROUNDDOWN(MIN(IF($D$26&gt;=1,MIN($D$26,S71),S71*$D$26),IF($E$26="",9E+99,$E$26)),0),ROUNDUP(MIN(IF($D$26&gt;=1,MIN($D$26,S71),S71*$D$26),IF($E$26="",9E+99,$E$26)),0))))</f>
        <v/>
      </c>
      <c r="V71" s="20">
        <f>IF(S71="","",IF(OR($D$27="",S71&lt;N($C$27)),0,IF(B71="G마켓",ROUNDDOWN(MIN(IF($D$27&gt;=1,MIN($D$27,S71),S71*$D$27),IF($E$27="",9E+99,$E$27)),0),ROUNDUP(MIN(IF($D$27&gt;=1,MIN($D$27,S71),S71*$D$27),IF($E$27="",9E+99,$E$27)),0))))</f>
        <v/>
      </c>
      <c r="W71" s="19">
        <f>IF(G71="","",MAX(T71:V71))</f>
        <v/>
      </c>
      <c r="X71" s="21">
        <f>IF(G71="","",S71-W71)</f>
        <v/>
      </c>
      <c r="Y71" s="19">
        <f>IF(G71="","",IF(B71="G마켓",ROUNDDOWN(MAX(I71*N($G$10),J71*N($G$11),K71*N($G$12),L71*N($G$13),M71*N($G$14))+MAX(O71*N($G$18),P71*N($G$19),Q71*N($G$20),R71*N($G$21))+MAX(T71*N($G$25),U71*N($G$26),V71*N($G$27)),0),ROUNDUP(MAX(I71*N($G$10),J71*N($G$11),K71*N($G$12),L71*N($G$13),M71*N($G$14))+MAX(O71*N($G$18),P71*N($G$19),Q71*N($G$20),R71*N($G$21))+MAX(T71*N($G$25),U71*N($G$26),V71*N($G$27)),0)))</f>
        <v/>
      </c>
      <c r="Z71" s="21">
        <f>IF(G71="","",IF(B71="G마켓",ROUNDDOWN(G71-G71*$Q$6-Y71,0),ROUNDUP(G71-G71*$Q$6-Y71,0)))</f>
        <v/>
      </c>
    </row>
    <row r="72">
      <c r="B72" s="7" t="n"/>
      <c r="C72" s="7" t="n"/>
      <c r="D72" s="22" t="n"/>
      <c r="E72" s="23" t="n"/>
      <c r="F72" s="23" t="n"/>
      <c r="G72" s="19">
        <f>IF(E72="","",E72-N(F72))</f>
        <v/>
      </c>
      <c r="I72" s="20">
        <f>IF(G72="","",IF(OR($D$10="",$H$10="X",G72&lt;N($C$10)),0,IF(B72="G마켓",ROUNDDOWN(MIN(IF($D$10&gt;=1,MIN($D$10,G72),G72*$D$10),IF($E$10="",9E+99,$E$10)),0),ROUNDUP(MIN(IF($D$10&gt;=1,MIN($D$10,G72),G72*$D$10),IF($E$10="",9E+99,$E$10)),0))))</f>
        <v/>
      </c>
      <c r="J72" s="20">
        <f>IF(G72="","",IF(OR($D$11="",$H$11="X",G72&lt;N($C$11)),0,IF(B72="G마켓",ROUNDDOWN(MIN(IF($D$11&gt;=1,MIN($D$11,G72),G72*$D$11),IF($E$11="",9E+99,$E$11)),0),ROUNDUP(MIN(IF($D$11&gt;=1,MIN($D$11,G72),G72*$D$11),IF($E$11="",9E+99,$E$11)),0))))</f>
        <v/>
      </c>
      <c r="K72" s="20">
        <f>IF(G72="","",IF(OR($D$12="",$H$12="X",G72&lt;N($C$12)),0,IF(B72="G마켓",ROUNDDOWN(MIN(IF($D$12&gt;=1,MIN($D$12,G72),G72*$D$12),IF($E$12="",9E+99,$E$12)),0),ROUNDUP(MIN(IF($D$12&gt;=1,MIN($D$12,G72),G72*$D$12),IF($E$12="",9E+99,$E$12)),0))))</f>
        <v/>
      </c>
      <c r="L72" s="20">
        <f>IF(G72="","",IF(OR($D$13="",$H$13="X",G72&lt;N($C$13)),0,IF(B72="G마켓",ROUNDDOWN(MIN(IF($D$13&gt;=1,MIN($D$13,G72),G72*$D$13),IF($E$13="",9E+99,$E$13)),0),ROUNDUP(MIN(IF($D$13&gt;=1,MIN($D$13,G72),G72*$D$13),IF($E$13="",9E+99,$E$13)),0))))</f>
        <v/>
      </c>
      <c r="M72" s="20">
        <f>IF(G72="","",IF(OR($D$14="",$H$14="X",G72&lt;N($C$14)),0,IF(B72="G마켓",ROUNDDOWN(MIN(IF($D$14&gt;=1,MIN($D$14,G72),G72*$D$14),IF($E$14="",9E+99,$E$14)),0),ROUNDUP(MIN(IF($D$14&gt;=1,MIN($D$14,G72),G72*$D$14),IF($E$14="",9E+99,$E$14)),0))))</f>
        <v/>
      </c>
      <c r="N72" s="19">
        <f>IF(G72="","",G72-MAX(I72:M72))</f>
        <v/>
      </c>
      <c r="O72" s="20">
        <f>IF(N72="","",IF(OR($D$18="",$H$18="X",N72&lt;N($C$18)),0,IF(B72="G마켓",ROUNDDOWN(MIN(IF($D$18&gt;=1,MIN($D$18,N72),N72*$D$18),IF($E$18="",9E+99,$E$18)),0),ROUNDUP(MIN(IF($D$18&gt;=1,MIN($D$18,N72),N72*$D$18),IF($E$18="",9E+99,$E$18)),0))))</f>
        <v/>
      </c>
      <c r="P72" s="20">
        <f>IF(N72="","",IF(OR($D$19="",$H$19="X",N72&lt;N($C$19)),0,IF(B72="G마켓",ROUNDDOWN(MIN(IF($D$19&gt;=1,MIN($D$19,N72),N72*$D$19),IF($E$19="",9E+99,$E$19)),0),ROUNDUP(MIN(IF($D$19&gt;=1,MIN($D$19,N72),N72*$D$19),IF($E$19="",9E+99,$E$19)),0))))</f>
        <v/>
      </c>
      <c r="Q72" s="20">
        <f>IF(N72="","",IF(OR($D$20="",$H$20="X",N72&lt;N($C$20)),0,IF(B72="G마켓",ROUNDDOWN(MIN(IF($D$20&gt;=1,MIN($D$20,N72),N72*$D$20),IF($E$20="",9E+99,$E$20)),0),ROUNDUP(MIN(IF($D$20&gt;=1,MIN($D$20,N72),N72*$D$20),IF($E$20="",9E+99,$E$20)),0))))</f>
        <v/>
      </c>
      <c r="R72" s="20">
        <f>IF(N72="","",IF(OR($D$21="",$H$21="X",N72&lt;N($C$21)),0,IF(B72="G마켓",ROUNDDOWN(MIN(IF($D$21&gt;=1,MIN($D$21,N72),N72*$D$21),IF($E$21="",9E+99,$E$21)),0),ROUNDUP(MIN(IF($D$21&gt;=1,MIN($D$21,N72),N72*$D$21),IF($E$21="",9E+99,$E$21)),0))))</f>
        <v/>
      </c>
      <c r="S72" s="19">
        <f>IF(G72="","",N72-MAX(O72:R72))</f>
        <v/>
      </c>
      <c r="T72" s="20">
        <f>IF(S72="","",IF(OR($D$25="",S72&lt;N($C$25)),0,IF(B72="G마켓",ROUNDDOWN(MIN(IF($D$25&gt;=1,MIN($D$25,S72),S72*$D$25),IF($E$25="",9E+99,$E$25)),0),ROUNDUP(MIN(IF($D$25&gt;=1,MIN($D$25,S72),S72*$D$25),IF($E$25="",9E+99,$E$25)),0))))</f>
        <v/>
      </c>
      <c r="U72" s="20">
        <f>IF(S72="","",IF(OR($D$26="",S72&lt;N($C$26)),0,IF(B72="G마켓",ROUNDDOWN(MIN(IF($D$26&gt;=1,MIN($D$26,S72),S72*$D$26),IF($E$26="",9E+99,$E$26)),0),ROUNDUP(MIN(IF($D$26&gt;=1,MIN($D$26,S72),S72*$D$26),IF($E$26="",9E+99,$E$26)),0))))</f>
        <v/>
      </c>
      <c r="V72" s="20">
        <f>IF(S72="","",IF(OR($D$27="",S72&lt;N($C$27)),0,IF(B72="G마켓",ROUNDDOWN(MIN(IF($D$27&gt;=1,MIN($D$27,S72),S72*$D$27),IF($E$27="",9E+99,$E$27)),0),ROUNDUP(MIN(IF($D$27&gt;=1,MIN($D$27,S72),S72*$D$27),IF($E$27="",9E+99,$E$27)),0))))</f>
        <v/>
      </c>
      <c r="W72" s="19">
        <f>IF(G72="","",MAX(T72:V72))</f>
        <v/>
      </c>
      <c r="X72" s="21">
        <f>IF(G72="","",S72-W72)</f>
        <v/>
      </c>
      <c r="Y72" s="19">
        <f>IF(G72="","",IF(B72="G마켓",ROUNDDOWN(MAX(I72*N($G$10),J72*N($G$11),K72*N($G$12),L72*N($G$13),M72*N($G$14))+MAX(O72*N($G$18),P72*N($G$19),Q72*N($G$20),R72*N($G$21))+MAX(T72*N($G$25),U72*N($G$26),V72*N($G$27)),0),ROUNDUP(MAX(I72*N($G$10),J72*N($G$11),K72*N($G$12),L72*N($G$13),M72*N($G$14))+MAX(O72*N($G$18),P72*N($G$19),Q72*N($G$20),R72*N($G$21))+MAX(T72*N($G$25),U72*N($G$26),V72*N($G$27)),0)))</f>
        <v/>
      </c>
      <c r="Z72" s="21">
        <f>IF(G72="","",IF(B72="G마켓",ROUNDDOWN(G72-G72*$Q$6-Y72,0),ROUNDUP(G72-G72*$Q$6-Y72,0)))</f>
        <v/>
      </c>
    </row>
    <row r="73">
      <c r="B73" s="7" t="n"/>
      <c r="C73" s="7" t="n"/>
      <c r="D73" s="22" t="n"/>
      <c r="E73" s="23" t="n"/>
      <c r="F73" s="23" t="n"/>
      <c r="G73" s="19">
        <f>IF(E73="","",E73-N(F73))</f>
        <v/>
      </c>
      <c r="I73" s="20">
        <f>IF(G73="","",IF(OR($D$10="",$H$10="X",G73&lt;N($C$10)),0,IF(B73="G마켓",ROUNDDOWN(MIN(IF($D$10&gt;=1,MIN($D$10,G73),G73*$D$10),IF($E$10="",9E+99,$E$10)),0),ROUNDUP(MIN(IF($D$10&gt;=1,MIN($D$10,G73),G73*$D$10),IF($E$10="",9E+99,$E$10)),0))))</f>
        <v/>
      </c>
      <c r="J73" s="20">
        <f>IF(G73="","",IF(OR($D$11="",$H$11="X",G73&lt;N($C$11)),0,IF(B73="G마켓",ROUNDDOWN(MIN(IF($D$11&gt;=1,MIN($D$11,G73),G73*$D$11),IF($E$11="",9E+99,$E$11)),0),ROUNDUP(MIN(IF($D$11&gt;=1,MIN($D$11,G73),G73*$D$11),IF($E$11="",9E+99,$E$11)),0))))</f>
        <v/>
      </c>
      <c r="K73" s="20">
        <f>IF(G73="","",IF(OR($D$12="",$H$12="X",G73&lt;N($C$12)),0,IF(B73="G마켓",ROUNDDOWN(MIN(IF($D$12&gt;=1,MIN($D$12,G73),G73*$D$12),IF($E$12="",9E+99,$E$12)),0),ROUNDUP(MIN(IF($D$12&gt;=1,MIN($D$12,G73),G73*$D$12),IF($E$12="",9E+99,$E$12)),0))))</f>
        <v/>
      </c>
      <c r="L73" s="20">
        <f>IF(G73="","",IF(OR($D$13="",$H$13="X",G73&lt;N($C$13)),0,IF(B73="G마켓",ROUNDDOWN(MIN(IF($D$13&gt;=1,MIN($D$13,G73),G73*$D$13),IF($E$13="",9E+99,$E$13)),0),ROUNDUP(MIN(IF($D$13&gt;=1,MIN($D$13,G73),G73*$D$13),IF($E$13="",9E+99,$E$13)),0))))</f>
        <v/>
      </c>
      <c r="M73" s="20">
        <f>IF(G73="","",IF(OR($D$14="",$H$14="X",G73&lt;N($C$14)),0,IF(B73="G마켓",ROUNDDOWN(MIN(IF($D$14&gt;=1,MIN($D$14,G73),G73*$D$14),IF($E$14="",9E+99,$E$14)),0),ROUNDUP(MIN(IF($D$14&gt;=1,MIN($D$14,G73),G73*$D$14),IF($E$14="",9E+99,$E$14)),0))))</f>
        <v/>
      </c>
      <c r="N73" s="19">
        <f>IF(G73="","",G73-MAX(I73:M73))</f>
        <v/>
      </c>
      <c r="O73" s="20">
        <f>IF(N73="","",IF(OR($D$18="",$H$18="X",N73&lt;N($C$18)),0,IF(B73="G마켓",ROUNDDOWN(MIN(IF($D$18&gt;=1,MIN($D$18,N73),N73*$D$18),IF($E$18="",9E+99,$E$18)),0),ROUNDUP(MIN(IF($D$18&gt;=1,MIN($D$18,N73),N73*$D$18),IF($E$18="",9E+99,$E$18)),0))))</f>
        <v/>
      </c>
      <c r="P73" s="20">
        <f>IF(N73="","",IF(OR($D$19="",$H$19="X",N73&lt;N($C$19)),0,IF(B73="G마켓",ROUNDDOWN(MIN(IF($D$19&gt;=1,MIN($D$19,N73),N73*$D$19),IF($E$19="",9E+99,$E$19)),0),ROUNDUP(MIN(IF($D$19&gt;=1,MIN($D$19,N73),N73*$D$19),IF($E$19="",9E+99,$E$19)),0))))</f>
        <v/>
      </c>
      <c r="Q73" s="20">
        <f>IF(N73="","",IF(OR($D$20="",$H$20="X",N73&lt;N($C$20)),0,IF(B73="G마켓",ROUNDDOWN(MIN(IF($D$20&gt;=1,MIN($D$20,N73),N73*$D$20),IF($E$20="",9E+99,$E$20)),0),ROUNDUP(MIN(IF($D$20&gt;=1,MIN($D$20,N73),N73*$D$20),IF($E$20="",9E+99,$E$20)),0))))</f>
        <v/>
      </c>
      <c r="R73" s="20">
        <f>IF(N73="","",IF(OR($D$21="",$H$21="X",N73&lt;N($C$21)),0,IF(B73="G마켓",ROUNDDOWN(MIN(IF($D$21&gt;=1,MIN($D$21,N73),N73*$D$21),IF($E$21="",9E+99,$E$21)),0),ROUNDUP(MIN(IF($D$21&gt;=1,MIN($D$21,N73),N73*$D$21),IF($E$21="",9E+99,$E$21)),0))))</f>
        <v/>
      </c>
      <c r="S73" s="19">
        <f>IF(G73="","",N73-MAX(O73:R73))</f>
        <v/>
      </c>
      <c r="T73" s="20">
        <f>IF(S73="","",IF(OR($D$25="",S73&lt;N($C$25)),0,IF(B73="G마켓",ROUNDDOWN(MIN(IF($D$25&gt;=1,MIN($D$25,S73),S73*$D$25),IF($E$25="",9E+99,$E$25)),0),ROUNDUP(MIN(IF($D$25&gt;=1,MIN($D$25,S73),S73*$D$25),IF($E$25="",9E+99,$E$25)),0))))</f>
        <v/>
      </c>
      <c r="U73" s="20">
        <f>IF(S73="","",IF(OR($D$26="",S73&lt;N($C$26)),0,IF(B73="G마켓",ROUNDDOWN(MIN(IF($D$26&gt;=1,MIN($D$26,S73),S73*$D$26),IF($E$26="",9E+99,$E$26)),0),ROUNDUP(MIN(IF($D$26&gt;=1,MIN($D$26,S73),S73*$D$26),IF($E$26="",9E+99,$E$26)),0))))</f>
        <v/>
      </c>
      <c r="V73" s="20">
        <f>IF(S73="","",IF(OR($D$27="",S73&lt;N($C$27)),0,IF(B73="G마켓",ROUNDDOWN(MIN(IF($D$27&gt;=1,MIN($D$27,S73),S73*$D$27),IF($E$27="",9E+99,$E$27)),0),ROUNDUP(MIN(IF($D$27&gt;=1,MIN($D$27,S73),S73*$D$27),IF($E$27="",9E+99,$E$27)),0))))</f>
        <v/>
      </c>
      <c r="W73" s="19">
        <f>IF(G73="","",MAX(T73:V73))</f>
        <v/>
      </c>
      <c r="X73" s="21">
        <f>IF(G73="","",S73-W73)</f>
        <v/>
      </c>
      <c r="Y73" s="19">
        <f>IF(G73="","",IF(B73="G마켓",ROUNDDOWN(MAX(I73*N($G$10),J73*N($G$11),K73*N($G$12),L73*N($G$13),M73*N($G$14))+MAX(O73*N($G$18),P73*N($G$19),Q73*N($G$20),R73*N($G$21))+MAX(T73*N($G$25),U73*N($G$26),V73*N($G$27)),0),ROUNDUP(MAX(I73*N($G$10),J73*N($G$11),K73*N($G$12),L73*N($G$13),M73*N($G$14))+MAX(O73*N($G$18),P73*N($G$19),Q73*N($G$20),R73*N($G$21))+MAX(T73*N($G$25),U73*N($G$26),V73*N($G$27)),0)))</f>
        <v/>
      </c>
      <c r="Z73" s="21">
        <f>IF(G73="","",IF(B73="G마켓",ROUNDDOWN(G73-G73*$Q$6-Y73,0),ROUNDUP(G73-G73*$Q$6-Y73,0)))</f>
        <v/>
      </c>
    </row>
    <row r="74">
      <c r="B74" s="7" t="n"/>
      <c r="C74" s="7" t="n"/>
      <c r="D74" s="22" t="n"/>
      <c r="E74" s="23" t="n"/>
      <c r="F74" s="23" t="n"/>
      <c r="G74" s="19">
        <f>IF(E74="","",E74-N(F74))</f>
        <v/>
      </c>
      <c r="I74" s="20">
        <f>IF(G74="","",IF(OR($D$10="",$H$10="X",G74&lt;N($C$10)),0,IF(B74="G마켓",ROUNDDOWN(MIN(IF($D$10&gt;=1,MIN($D$10,G74),G74*$D$10),IF($E$10="",9E+99,$E$10)),0),ROUNDUP(MIN(IF($D$10&gt;=1,MIN($D$10,G74),G74*$D$10),IF($E$10="",9E+99,$E$10)),0))))</f>
        <v/>
      </c>
      <c r="J74" s="20">
        <f>IF(G74="","",IF(OR($D$11="",$H$11="X",G74&lt;N($C$11)),0,IF(B74="G마켓",ROUNDDOWN(MIN(IF($D$11&gt;=1,MIN($D$11,G74),G74*$D$11),IF($E$11="",9E+99,$E$11)),0),ROUNDUP(MIN(IF($D$11&gt;=1,MIN($D$11,G74),G74*$D$11),IF($E$11="",9E+99,$E$11)),0))))</f>
        <v/>
      </c>
      <c r="K74" s="20">
        <f>IF(G74="","",IF(OR($D$12="",$H$12="X",G74&lt;N($C$12)),0,IF(B74="G마켓",ROUNDDOWN(MIN(IF($D$12&gt;=1,MIN($D$12,G74),G74*$D$12),IF($E$12="",9E+99,$E$12)),0),ROUNDUP(MIN(IF($D$12&gt;=1,MIN($D$12,G74),G74*$D$12),IF($E$12="",9E+99,$E$12)),0))))</f>
        <v/>
      </c>
      <c r="L74" s="20">
        <f>IF(G74="","",IF(OR($D$13="",$H$13="X",G74&lt;N($C$13)),0,IF(B74="G마켓",ROUNDDOWN(MIN(IF($D$13&gt;=1,MIN($D$13,G74),G74*$D$13),IF($E$13="",9E+99,$E$13)),0),ROUNDUP(MIN(IF($D$13&gt;=1,MIN($D$13,G74),G74*$D$13),IF($E$13="",9E+99,$E$13)),0))))</f>
        <v/>
      </c>
      <c r="M74" s="20">
        <f>IF(G74="","",IF(OR($D$14="",$H$14="X",G74&lt;N($C$14)),0,IF(B74="G마켓",ROUNDDOWN(MIN(IF($D$14&gt;=1,MIN($D$14,G74),G74*$D$14),IF($E$14="",9E+99,$E$14)),0),ROUNDUP(MIN(IF($D$14&gt;=1,MIN($D$14,G74),G74*$D$14),IF($E$14="",9E+99,$E$14)),0))))</f>
        <v/>
      </c>
      <c r="N74" s="19">
        <f>IF(G74="","",G74-MAX(I74:M74))</f>
        <v/>
      </c>
      <c r="O74" s="20">
        <f>IF(N74="","",IF(OR($D$18="",$H$18="X",N74&lt;N($C$18)),0,IF(B74="G마켓",ROUNDDOWN(MIN(IF($D$18&gt;=1,MIN($D$18,N74),N74*$D$18),IF($E$18="",9E+99,$E$18)),0),ROUNDUP(MIN(IF($D$18&gt;=1,MIN($D$18,N74),N74*$D$18),IF($E$18="",9E+99,$E$18)),0))))</f>
        <v/>
      </c>
      <c r="P74" s="20">
        <f>IF(N74="","",IF(OR($D$19="",$H$19="X",N74&lt;N($C$19)),0,IF(B74="G마켓",ROUNDDOWN(MIN(IF($D$19&gt;=1,MIN($D$19,N74),N74*$D$19),IF($E$19="",9E+99,$E$19)),0),ROUNDUP(MIN(IF($D$19&gt;=1,MIN($D$19,N74),N74*$D$19),IF($E$19="",9E+99,$E$19)),0))))</f>
        <v/>
      </c>
      <c r="Q74" s="20">
        <f>IF(N74="","",IF(OR($D$20="",$H$20="X",N74&lt;N($C$20)),0,IF(B74="G마켓",ROUNDDOWN(MIN(IF($D$20&gt;=1,MIN($D$20,N74),N74*$D$20),IF($E$20="",9E+99,$E$20)),0),ROUNDUP(MIN(IF($D$20&gt;=1,MIN($D$20,N74),N74*$D$20),IF($E$20="",9E+99,$E$20)),0))))</f>
        <v/>
      </c>
      <c r="R74" s="20">
        <f>IF(N74="","",IF(OR($D$21="",$H$21="X",N74&lt;N($C$21)),0,IF(B74="G마켓",ROUNDDOWN(MIN(IF($D$21&gt;=1,MIN($D$21,N74),N74*$D$21),IF($E$21="",9E+99,$E$21)),0),ROUNDUP(MIN(IF($D$21&gt;=1,MIN($D$21,N74),N74*$D$21),IF($E$21="",9E+99,$E$21)),0))))</f>
        <v/>
      </c>
      <c r="S74" s="19">
        <f>IF(G74="","",N74-MAX(O74:R74))</f>
        <v/>
      </c>
      <c r="T74" s="20">
        <f>IF(S74="","",IF(OR($D$25="",S74&lt;N($C$25)),0,IF(B74="G마켓",ROUNDDOWN(MIN(IF($D$25&gt;=1,MIN($D$25,S74),S74*$D$25),IF($E$25="",9E+99,$E$25)),0),ROUNDUP(MIN(IF($D$25&gt;=1,MIN($D$25,S74),S74*$D$25),IF($E$25="",9E+99,$E$25)),0))))</f>
        <v/>
      </c>
      <c r="U74" s="20">
        <f>IF(S74="","",IF(OR($D$26="",S74&lt;N($C$26)),0,IF(B74="G마켓",ROUNDDOWN(MIN(IF($D$26&gt;=1,MIN($D$26,S74),S74*$D$26),IF($E$26="",9E+99,$E$26)),0),ROUNDUP(MIN(IF($D$26&gt;=1,MIN($D$26,S74),S74*$D$26),IF($E$26="",9E+99,$E$26)),0))))</f>
        <v/>
      </c>
      <c r="V74" s="20">
        <f>IF(S74="","",IF(OR($D$27="",S74&lt;N($C$27)),0,IF(B74="G마켓",ROUNDDOWN(MIN(IF($D$27&gt;=1,MIN($D$27,S74),S74*$D$27),IF($E$27="",9E+99,$E$27)),0),ROUNDUP(MIN(IF($D$27&gt;=1,MIN($D$27,S74),S74*$D$27),IF($E$27="",9E+99,$E$27)),0))))</f>
        <v/>
      </c>
      <c r="W74" s="19">
        <f>IF(G74="","",MAX(T74:V74))</f>
        <v/>
      </c>
      <c r="X74" s="21">
        <f>IF(G74="","",S74-W74)</f>
        <v/>
      </c>
      <c r="Y74" s="19">
        <f>IF(G74="","",IF(B74="G마켓",ROUNDDOWN(MAX(I74*N($G$10),J74*N($G$11),K74*N($G$12),L74*N($G$13),M74*N($G$14))+MAX(O74*N($G$18),P74*N($G$19),Q74*N($G$20),R74*N($G$21))+MAX(T74*N($G$25),U74*N($G$26),V74*N($G$27)),0),ROUNDUP(MAX(I74*N($G$10),J74*N($G$11),K74*N($G$12),L74*N($G$13),M74*N($G$14))+MAX(O74*N($G$18),P74*N($G$19),Q74*N($G$20),R74*N($G$21))+MAX(T74*N($G$25),U74*N($G$26),V74*N($G$27)),0)))</f>
        <v/>
      </c>
      <c r="Z74" s="21">
        <f>IF(G74="","",IF(B74="G마켓",ROUNDDOWN(G74-G74*$Q$6-Y74,0),ROUNDUP(G74-G74*$Q$6-Y74,0)))</f>
        <v/>
      </c>
    </row>
    <row r="75">
      <c r="B75" s="7" t="n"/>
      <c r="C75" s="7" t="n"/>
      <c r="D75" s="22" t="n"/>
      <c r="E75" s="23" t="n"/>
      <c r="F75" s="23" t="n"/>
      <c r="G75" s="19">
        <f>IF(E75="","",E75-N(F75))</f>
        <v/>
      </c>
      <c r="I75" s="20">
        <f>IF(G75="","",IF(OR($D$10="",$H$10="X",G75&lt;N($C$10)),0,IF(B75="G마켓",ROUNDDOWN(MIN(IF($D$10&gt;=1,MIN($D$10,G75),G75*$D$10),IF($E$10="",9E+99,$E$10)),0),ROUNDUP(MIN(IF($D$10&gt;=1,MIN($D$10,G75),G75*$D$10),IF($E$10="",9E+99,$E$10)),0))))</f>
        <v/>
      </c>
      <c r="J75" s="20">
        <f>IF(G75="","",IF(OR($D$11="",$H$11="X",G75&lt;N($C$11)),0,IF(B75="G마켓",ROUNDDOWN(MIN(IF($D$11&gt;=1,MIN($D$11,G75),G75*$D$11),IF($E$11="",9E+99,$E$11)),0),ROUNDUP(MIN(IF($D$11&gt;=1,MIN($D$11,G75),G75*$D$11),IF($E$11="",9E+99,$E$11)),0))))</f>
        <v/>
      </c>
      <c r="K75" s="20">
        <f>IF(G75="","",IF(OR($D$12="",$H$12="X",G75&lt;N($C$12)),0,IF(B75="G마켓",ROUNDDOWN(MIN(IF($D$12&gt;=1,MIN($D$12,G75),G75*$D$12),IF($E$12="",9E+99,$E$12)),0),ROUNDUP(MIN(IF($D$12&gt;=1,MIN($D$12,G75),G75*$D$12),IF($E$12="",9E+99,$E$12)),0))))</f>
        <v/>
      </c>
      <c r="L75" s="20">
        <f>IF(G75="","",IF(OR($D$13="",$H$13="X",G75&lt;N($C$13)),0,IF(B75="G마켓",ROUNDDOWN(MIN(IF($D$13&gt;=1,MIN($D$13,G75),G75*$D$13),IF($E$13="",9E+99,$E$13)),0),ROUNDUP(MIN(IF($D$13&gt;=1,MIN($D$13,G75),G75*$D$13),IF($E$13="",9E+99,$E$13)),0))))</f>
        <v/>
      </c>
      <c r="M75" s="20">
        <f>IF(G75="","",IF(OR($D$14="",$H$14="X",G75&lt;N($C$14)),0,IF(B75="G마켓",ROUNDDOWN(MIN(IF($D$14&gt;=1,MIN($D$14,G75),G75*$D$14),IF($E$14="",9E+99,$E$14)),0),ROUNDUP(MIN(IF($D$14&gt;=1,MIN($D$14,G75),G75*$D$14),IF($E$14="",9E+99,$E$14)),0))))</f>
        <v/>
      </c>
      <c r="N75" s="19">
        <f>IF(G75="","",G75-MAX(I75:M75))</f>
        <v/>
      </c>
      <c r="O75" s="20">
        <f>IF(N75="","",IF(OR($D$18="",$H$18="X",N75&lt;N($C$18)),0,IF(B75="G마켓",ROUNDDOWN(MIN(IF($D$18&gt;=1,MIN($D$18,N75),N75*$D$18),IF($E$18="",9E+99,$E$18)),0),ROUNDUP(MIN(IF($D$18&gt;=1,MIN($D$18,N75),N75*$D$18),IF($E$18="",9E+99,$E$18)),0))))</f>
        <v/>
      </c>
      <c r="P75" s="20">
        <f>IF(N75="","",IF(OR($D$19="",$H$19="X",N75&lt;N($C$19)),0,IF(B75="G마켓",ROUNDDOWN(MIN(IF($D$19&gt;=1,MIN($D$19,N75),N75*$D$19),IF($E$19="",9E+99,$E$19)),0),ROUNDUP(MIN(IF($D$19&gt;=1,MIN($D$19,N75),N75*$D$19),IF($E$19="",9E+99,$E$19)),0))))</f>
        <v/>
      </c>
      <c r="Q75" s="20">
        <f>IF(N75="","",IF(OR($D$20="",$H$20="X",N75&lt;N($C$20)),0,IF(B75="G마켓",ROUNDDOWN(MIN(IF($D$20&gt;=1,MIN($D$20,N75),N75*$D$20),IF($E$20="",9E+99,$E$20)),0),ROUNDUP(MIN(IF($D$20&gt;=1,MIN($D$20,N75),N75*$D$20),IF($E$20="",9E+99,$E$20)),0))))</f>
        <v/>
      </c>
      <c r="R75" s="20">
        <f>IF(N75="","",IF(OR($D$21="",$H$21="X",N75&lt;N($C$21)),0,IF(B75="G마켓",ROUNDDOWN(MIN(IF($D$21&gt;=1,MIN($D$21,N75),N75*$D$21),IF($E$21="",9E+99,$E$21)),0),ROUNDUP(MIN(IF($D$21&gt;=1,MIN($D$21,N75),N75*$D$21),IF($E$21="",9E+99,$E$21)),0))))</f>
        <v/>
      </c>
      <c r="S75" s="19">
        <f>IF(G75="","",N75-MAX(O75:R75))</f>
        <v/>
      </c>
      <c r="T75" s="20">
        <f>IF(S75="","",IF(OR($D$25="",S75&lt;N($C$25)),0,IF(B75="G마켓",ROUNDDOWN(MIN(IF($D$25&gt;=1,MIN($D$25,S75),S75*$D$25),IF($E$25="",9E+99,$E$25)),0),ROUNDUP(MIN(IF($D$25&gt;=1,MIN($D$25,S75),S75*$D$25),IF($E$25="",9E+99,$E$25)),0))))</f>
        <v/>
      </c>
      <c r="U75" s="20">
        <f>IF(S75="","",IF(OR($D$26="",S75&lt;N($C$26)),0,IF(B75="G마켓",ROUNDDOWN(MIN(IF($D$26&gt;=1,MIN($D$26,S75),S75*$D$26),IF($E$26="",9E+99,$E$26)),0),ROUNDUP(MIN(IF($D$26&gt;=1,MIN($D$26,S75),S75*$D$26),IF($E$26="",9E+99,$E$26)),0))))</f>
        <v/>
      </c>
      <c r="V75" s="20">
        <f>IF(S75="","",IF(OR($D$27="",S75&lt;N($C$27)),0,IF(B75="G마켓",ROUNDDOWN(MIN(IF($D$27&gt;=1,MIN($D$27,S75),S75*$D$27),IF($E$27="",9E+99,$E$27)),0),ROUNDUP(MIN(IF($D$27&gt;=1,MIN($D$27,S75),S75*$D$27),IF($E$27="",9E+99,$E$27)),0))))</f>
        <v/>
      </c>
      <c r="W75" s="19">
        <f>IF(G75="","",MAX(T75:V75))</f>
        <v/>
      </c>
      <c r="X75" s="21">
        <f>IF(G75="","",S75-W75)</f>
        <v/>
      </c>
      <c r="Y75" s="19">
        <f>IF(G75="","",IF(B75="G마켓",ROUNDDOWN(MAX(I75*N($G$10),J75*N($G$11),K75*N($G$12),L75*N($G$13),M75*N($G$14))+MAX(O75*N($G$18),P75*N($G$19),Q75*N($G$20),R75*N($G$21))+MAX(T75*N($G$25),U75*N($G$26),V75*N($G$27)),0),ROUNDUP(MAX(I75*N($G$10),J75*N($G$11),K75*N($G$12),L75*N($G$13),M75*N($G$14))+MAX(O75*N($G$18),P75*N($G$19),Q75*N($G$20),R75*N($G$21))+MAX(T75*N($G$25),U75*N($G$26),V75*N($G$27)),0)))</f>
        <v/>
      </c>
      <c r="Z75" s="21">
        <f>IF(G75="","",IF(B75="G마켓",ROUNDDOWN(G75-G75*$Q$6-Y75,0),ROUNDUP(G75-G75*$Q$6-Y75,0)))</f>
        <v/>
      </c>
    </row>
    <row r="76">
      <c r="B76" s="7" t="n"/>
      <c r="C76" s="7" t="n"/>
      <c r="D76" s="22" t="n"/>
      <c r="E76" s="23" t="n"/>
      <c r="F76" s="23" t="n"/>
      <c r="G76" s="19">
        <f>IF(E76="","",E76-N(F76))</f>
        <v/>
      </c>
      <c r="I76" s="20">
        <f>IF(G76="","",IF(OR($D$10="",$H$10="X",G76&lt;N($C$10)),0,IF(B76="G마켓",ROUNDDOWN(MIN(IF($D$10&gt;=1,MIN($D$10,G76),G76*$D$10),IF($E$10="",9E+99,$E$10)),0),ROUNDUP(MIN(IF($D$10&gt;=1,MIN($D$10,G76),G76*$D$10),IF($E$10="",9E+99,$E$10)),0))))</f>
        <v/>
      </c>
      <c r="J76" s="20">
        <f>IF(G76="","",IF(OR($D$11="",$H$11="X",G76&lt;N($C$11)),0,IF(B76="G마켓",ROUNDDOWN(MIN(IF($D$11&gt;=1,MIN($D$11,G76),G76*$D$11),IF($E$11="",9E+99,$E$11)),0),ROUNDUP(MIN(IF($D$11&gt;=1,MIN($D$11,G76),G76*$D$11),IF($E$11="",9E+99,$E$11)),0))))</f>
        <v/>
      </c>
      <c r="K76" s="20">
        <f>IF(G76="","",IF(OR($D$12="",$H$12="X",G76&lt;N($C$12)),0,IF(B76="G마켓",ROUNDDOWN(MIN(IF($D$12&gt;=1,MIN($D$12,G76),G76*$D$12),IF($E$12="",9E+99,$E$12)),0),ROUNDUP(MIN(IF($D$12&gt;=1,MIN($D$12,G76),G76*$D$12),IF($E$12="",9E+99,$E$12)),0))))</f>
        <v/>
      </c>
      <c r="L76" s="20">
        <f>IF(G76="","",IF(OR($D$13="",$H$13="X",G76&lt;N($C$13)),0,IF(B76="G마켓",ROUNDDOWN(MIN(IF($D$13&gt;=1,MIN($D$13,G76),G76*$D$13),IF($E$13="",9E+99,$E$13)),0),ROUNDUP(MIN(IF($D$13&gt;=1,MIN($D$13,G76),G76*$D$13),IF($E$13="",9E+99,$E$13)),0))))</f>
        <v/>
      </c>
      <c r="M76" s="20">
        <f>IF(G76="","",IF(OR($D$14="",$H$14="X",G76&lt;N($C$14)),0,IF(B76="G마켓",ROUNDDOWN(MIN(IF($D$14&gt;=1,MIN($D$14,G76),G76*$D$14),IF($E$14="",9E+99,$E$14)),0),ROUNDUP(MIN(IF($D$14&gt;=1,MIN($D$14,G76),G76*$D$14),IF($E$14="",9E+99,$E$14)),0))))</f>
        <v/>
      </c>
      <c r="N76" s="19">
        <f>IF(G76="","",G76-MAX(I76:M76))</f>
        <v/>
      </c>
      <c r="O76" s="20">
        <f>IF(N76="","",IF(OR($D$18="",$H$18="X",N76&lt;N($C$18)),0,IF(B76="G마켓",ROUNDDOWN(MIN(IF($D$18&gt;=1,MIN($D$18,N76),N76*$D$18),IF($E$18="",9E+99,$E$18)),0),ROUNDUP(MIN(IF($D$18&gt;=1,MIN($D$18,N76),N76*$D$18),IF($E$18="",9E+99,$E$18)),0))))</f>
        <v/>
      </c>
      <c r="P76" s="20">
        <f>IF(N76="","",IF(OR($D$19="",$H$19="X",N76&lt;N($C$19)),0,IF(B76="G마켓",ROUNDDOWN(MIN(IF($D$19&gt;=1,MIN($D$19,N76),N76*$D$19),IF($E$19="",9E+99,$E$19)),0),ROUNDUP(MIN(IF($D$19&gt;=1,MIN($D$19,N76),N76*$D$19),IF($E$19="",9E+99,$E$19)),0))))</f>
        <v/>
      </c>
      <c r="Q76" s="20">
        <f>IF(N76="","",IF(OR($D$20="",$H$20="X",N76&lt;N($C$20)),0,IF(B76="G마켓",ROUNDDOWN(MIN(IF($D$20&gt;=1,MIN($D$20,N76),N76*$D$20),IF($E$20="",9E+99,$E$20)),0),ROUNDUP(MIN(IF($D$20&gt;=1,MIN($D$20,N76),N76*$D$20),IF($E$20="",9E+99,$E$20)),0))))</f>
        <v/>
      </c>
      <c r="R76" s="20">
        <f>IF(N76="","",IF(OR($D$21="",$H$21="X",N76&lt;N($C$21)),0,IF(B76="G마켓",ROUNDDOWN(MIN(IF($D$21&gt;=1,MIN($D$21,N76),N76*$D$21),IF($E$21="",9E+99,$E$21)),0),ROUNDUP(MIN(IF($D$21&gt;=1,MIN($D$21,N76),N76*$D$21),IF($E$21="",9E+99,$E$21)),0))))</f>
        <v/>
      </c>
      <c r="S76" s="19">
        <f>IF(G76="","",N76-MAX(O76:R76))</f>
        <v/>
      </c>
      <c r="T76" s="20">
        <f>IF(S76="","",IF(OR($D$25="",S76&lt;N($C$25)),0,IF(B76="G마켓",ROUNDDOWN(MIN(IF($D$25&gt;=1,MIN($D$25,S76),S76*$D$25),IF($E$25="",9E+99,$E$25)),0),ROUNDUP(MIN(IF($D$25&gt;=1,MIN($D$25,S76),S76*$D$25),IF($E$25="",9E+99,$E$25)),0))))</f>
        <v/>
      </c>
      <c r="U76" s="20">
        <f>IF(S76="","",IF(OR($D$26="",S76&lt;N($C$26)),0,IF(B76="G마켓",ROUNDDOWN(MIN(IF($D$26&gt;=1,MIN($D$26,S76),S76*$D$26),IF($E$26="",9E+99,$E$26)),0),ROUNDUP(MIN(IF($D$26&gt;=1,MIN($D$26,S76),S76*$D$26),IF($E$26="",9E+99,$E$26)),0))))</f>
        <v/>
      </c>
      <c r="V76" s="20">
        <f>IF(S76="","",IF(OR($D$27="",S76&lt;N($C$27)),0,IF(B76="G마켓",ROUNDDOWN(MIN(IF($D$27&gt;=1,MIN($D$27,S76),S76*$D$27),IF($E$27="",9E+99,$E$27)),0),ROUNDUP(MIN(IF($D$27&gt;=1,MIN($D$27,S76),S76*$D$27),IF($E$27="",9E+99,$E$27)),0))))</f>
        <v/>
      </c>
      <c r="W76" s="19">
        <f>IF(G76="","",MAX(T76:V76))</f>
        <v/>
      </c>
      <c r="X76" s="21">
        <f>IF(G76="","",S76-W76)</f>
        <v/>
      </c>
      <c r="Y76" s="19">
        <f>IF(G76="","",IF(B76="G마켓",ROUNDDOWN(MAX(I76*N($G$10),J76*N($G$11),K76*N($G$12),L76*N($G$13),M76*N($G$14))+MAX(O76*N($G$18),P76*N($G$19),Q76*N($G$20),R76*N($G$21))+MAX(T76*N($G$25),U76*N($G$26),V76*N($G$27)),0),ROUNDUP(MAX(I76*N($G$10),J76*N($G$11),K76*N($G$12),L76*N($G$13),M76*N($G$14))+MAX(O76*N($G$18),P76*N($G$19),Q76*N($G$20),R76*N($G$21))+MAX(T76*N($G$25),U76*N($G$26),V76*N($G$27)),0)))</f>
        <v/>
      </c>
      <c r="Z76" s="21">
        <f>IF(G76="","",IF(B76="G마켓",ROUNDDOWN(G76-G76*$Q$6-Y76,0),ROUNDUP(G76-G76*$Q$6-Y76,0)))</f>
        <v/>
      </c>
    </row>
    <row r="77">
      <c r="B77" s="7" t="n"/>
      <c r="C77" s="7" t="n"/>
      <c r="D77" s="22" t="n"/>
      <c r="E77" s="23" t="n"/>
      <c r="F77" s="23" t="n"/>
      <c r="G77" s="19">
        <f>IF(E77="","",E77-N(F77))</f>
        <v/>
      </c>
      <c r="I77" s="20">
        <f>IF(G77="","",IF(OR($D$10="",$H$10="X",G77&lt;N($C$10)),0,IF(B77="G마켓",ROUNDDOWN(MIN(IF($D$10&gt;=1,MIN($D$10,G77),G77*$D$10),IF($E$10="",9E+99,$E$10)),0),ROUNDUP(MIN(IF($D$10&gt;=1,MIN($D$10,G77),G77*$D$10),IF($E$10="",9E+99,$E$10)),0))))</f>
        <v/>
      </c>
      <c r="J77" s="20">
        <f>IF(G77="","",IF(OR($D$11="",$H$11="X",G77&lt;N($C$11)),0,IF(B77="G마켓",ROUNDDOWN(MIN(IF($D$11&gt;=1,MIN($D$11,G77),G77*$D$11),IF($E$11="",9E+99,$E$11)),0),ROUNDUP(MIN(IF($D$11&gt;=1,MIN($D$11,G77),G77*$D$11),IF($E$11="",9E+99,$E$11)),0))))</f>
        <v/>
      </c>
      <c r="K77" s="20">
        <f>IF(G77="","",IF(OR($D$12="",$H$12="X",G77&lt;N($C$12)),0,IF(B77="G마켓",ROUNDDOWN(MIN(IF($D$12&gt;=1,MIN($D$12,G77),G77*$D$12),IF($E$12="",9E+99,$E$12)),0),ROUNDUP(MIN(IF($D$12&gt;=1,MIN($D$12,G77),G77*$D$12),IF($E$12="",9E+99,$E$12)),0))))</f>
        <v/>
      </c>
      <c r="L77" s="20">
        <f>IF(G77="","",IF(OR($D$13="",$H$13="X",G77&lt;N($C$13)),0,IF(B77="G마켓",ROUNDDOWN(MIN(IF($D$13&gt;=1,MIN($D$13,G77),G77*$D$13),IF($E$13="",9E+99,$E$13)),0),ROUNDUP(MIN(IF($D$13&gt;=1,MIN($D$13,G77),G77*$D$13),IF($E$13="",9E+99,$E$13)),0))))</f>
        <v/>
      </c>
      <c r="M77" s="20">
        <f>IF(G77="","",IF(OR($D$14="",$H$14="X",G77&lt;N($C$14)),0,IF(B77="G마켓",ROUNDDOWN(MIN(IF($D$14&gt;=1,MIN($D$14,G77),G77*$D$14),IF($E$14="",9E+99,$E$14)),0),ROUNDUP(MIN(IF($D$14&gt;=1,MIN($D$14,G77),G77*$D$14),IF($E$14="",9E+99,$E$14)),0))))</f>
        <v/>
      </c>
      <c r="N77" s="19">
        <f>IF(G77="","",G77-MAX(I77:M77))</f>
        <v/>
      </c>
      <c r="O77" s="20">
        <f>IF(N77="","",IF(OR($D$18="",$H$18="X",N77&lt;N($C$18)),0,IF(B77="G마켓",ROUNDDOWN(MIN(IF($D$18&gt;=1,MIN($D$18,N77),N77*$D$18),IF($E$18="",9E+99,$E$18)),0),ROUNDUP(MIN(IF($D$18&gt;=1,MIN($D$18,N77),N77*$D$18),IF($E$18="",9E+99,$E$18)),0))))</f>
        <v/>
      </c>
      <c r="P77" s="20">
        <f>IF(N77="","",IF(OR($D$19="",$H$19="X",N77&lt;N($C$19)),0,IF(B77="G마켓",ROUNDDOWN(MIN(IF($D$19&gt;=1,MIN($D$19,N77),N77*$D$19),IF($E$19="",9E+99,$E$19)),0),ROUNDUP(MIN(IF($D$19&gt;=1,MIN($D$19,N77),N77*$D$19),IF($E$19="",9E+99,$E$19)),0))))</f>
        <v/>
      </c>
      <c r="Q77" s="20">
        <f>IF(N77="","",IF(OR($D$20="",$H$20="X",N77&lt;N($C$20)),0,IF(B77="G마켓",ROUNDDOWN(MIN(IF($D$20&gt;=1,MIN($D$20,N77),N77*$D$20),IF($E$20="",9E+99,$E$20)),0),ROUNDUP(MIN(IF($D$20&gt;=1,MIN($D$20,N77),N77*$D$20),IF($E$20="",9E+99,$E$20)),0))))</f>
        <v/>
      </c>
      <c r="R77" s="20">
        <f>IF(N77="","",IF(OR($D$21="",$H$21="X",N77&lt;N($C$21)),0,IF(B77="G마켓",ROUNDDOWN(MIN(IF($D$21&gt;=1,MIN($D$21,N77),N77*$D$21),IF($E$21="",9E+99,$E$21)),0),ROUNDUP(MIN(IF($D$21&gt;=1,MIN($D$21,N77),N77*$D$21),IF($E$21="",9E+99,$E$21)),0))))</f>
        <v/>
      </c>
      <c r="S77" s="19">
        <f>IF(G77="","",N77-MAX(O77:R77))</f>
        <v/>
      </c>
      <c r="T77" s="20">
        <f>IF(S77="","",IF(OR($D$25="",S77&lt;N($C$25)),0,IF(B77="G마켓",ROUNDDOWN(MIN(IF($D$25&gt;=1,MIN($D$25,S77),S77*$D$25),IF($E$25="",9E+99,$E$25)),0),ROUNDUP(MIN(IF($D$25&gt;=1,MIN($D$25,S77),S77*$D$25),IF($E$25="",9E+99,$E$25)),0))))</f>
        <v/>
      </c>
      <c r="U77" s="20">
        <f>IF(S77="","",IF(OR($D$26="",S77&lt;N($C$26)),0,IF(B77="G마켓",ROUNDDOWN(MIN(IF($D$26&gt;=1,MIN($D$26,S77),S77*$D$26),IF($E$26="",9E+99,$E$26)),0),ROUNDUP(MIN(IF($D$26&gt;=1,MIN($D$26,S77),S77*$D$26),IF($E$26="",9E+99,$E$26)),0))))</f>
        <v/>
      </c>
      <c r="V77" s="20">
        <f>IF(S77="","",IF(OR($D$27="",S77&lt;N($C$27)),0,IF(B77="G마켓",ROUNDDOWN(MIN(IF($D$27&gt;=1,MIN($D$27,S77),S77*$D$27),IF($E$27="",9E+99,$E$27)),0),ROUNDUP(MIN(IF($D$27&gt;=1,MIN($D$27,S77),S77*$D$27),IF($E$27="",9E+99,$E$27)),0))))</f>
        <v/>
      </c>
      <c r="W77" s="19">
        <f>IF(G77="","",MAX(T77:V77))</f>
        <v/>
      </c>
      <c r="X77" s="21">
        <f>IF(G77="","",S77-W77)</f>
        <v/>
      </c>
      <c r="Y77" s="19">
        <f>IF(G77="","",IF(B77="G마켓",ROUNDDOWN(MAX(I77*N($G$10),J77*N($G$11),K77*N($G$12),L77*N($G$13),M77*N($G$14))+MAX(O77*N($G$18),P77*N($G$19),Q77*N($G$20),R77*N($G$21))+MAX(T77*N($G$25),U77*N($G$26),V77*N($G$27)),0),ROUNDUP(MAX(I77*N($G$10),J77*N($G$11),K77*N($G$12),L77*N($G$13),M77*N($G$14))+MAX(O77*N($G$18),P77*N($G$19),Q77*N($G$20),R77*N($G$21))+MAX(T77*N($G$25),U77*N($G$26),V77*N($G$27)),0)))</f>
        <v/>
      </c>
      <c r="Z77" s="21">
        <f>IF(G77="","",IF(B77="G마켓",ROUNDDOWN(G77-G77*$Q$6-Y77,0),ROUNDUP(G77-G77*$Q$6-Y77,0)))</f>
        <v/>
      </c>
    </row>
    <row r="78">
      <c r="B78" s="7" t="n"/>
      <c r="C78" s="7" t="n"/>
      <c r="D78" s="22" t="n"/>
      <c r="E78" s="23" t="n"/>
      <c r="F78" s="23" t="n"/>
      <c r="G78" s="19">
        <f>IF(E78="","",E78-N(F78))</f>
        <v/>
      </c>
      <c r="I78" s="20">
        <f>IF(G78="","",IF(OR($D$10="",$H$10="X",G78&lt;N($C$10)),0,IF(B78="G마켓",ROUNDDOWN(MIN(IF($D$10&gt;=1,MIN($D$10,G78),G78*$D$10),IF($E$10="",9E+99,$E$10)),0),ROUNDUP(MIN(IF($D$10&gt;=1,MIN($D$10,G78),G78*$D$10),IF($E$10="",9E+99,$E$10)),0))))</f>
        <v/>
      </c>
      <c r="J78" s="20">
        <f>IF(G78="","",IF(OR($D$11="",$H$11="X",G78&lt;N($C$11)),0,IF(B78="G마켓",ROUNDDOWN(MIN(IF($D$11&gt;=1,MIN($D$11,G78),G78*$D$11),IF($E$11="",9E+99,$E$11)),0),ROUNDUP(MIN(IF($D$11&gt;=1,MIN($D$11,G78),G78*$D$11),IF($E$11="",9E+99,$E$11)),0))))</f>
        <v/>
      </c>
      <c r="K78" s="20">
        <f>IF(G78="","",IF(OR($D$12="",$H$12="X",G78&lt;N($C$12)),0,IF(B78="G마켓",ROUNDDOWN(MIN(IF($D$12&gt;=1,MIN($D$12,G78),G78*$D$12),IF($E$12="",9E+99,$E$12)),0),ROUNDUP(MIN(IF($D$12&gt;=1,MIN($D$12,G78),G78*$D$12),IF($E$12="",9E+99,$E$12)),0))))</f>
        <v/>
      </c>
      <c r="L78" s="20">
        <f>IF(G78="","",IF(OR($D$13="",$H$13="X",G78&lt;N($C$13)),0,IF(B78="G마켓",ROUNDDOWN(MIN(IF($D$13&gt;=1,MIN($D$13,G78),G78*$D$13),IF($E$13="",9E+99,$E$13)),0),ROUNDUP(MIN(IF($D$13&gt;=1,MIN($D$13,G78),G78*$D$13),IF($E$13="",9E+99,$E$13)),0))))</f>
        <v/>
      </c>
      <c r="M78" s="20">
        <f>IF(G78="","",IF(OR($D$14="",$H$14="X",G78&lt;N($C$14)),0,IF(B78="G마켓",ROUNDDOWN(MIN(IF($D$14&gt;=1,MIN($D$14,G78),G78*$D$14),IF($E$14="",9E+99,$E$14)),0),ROUNDUP(MIN(IF($D$14&gt;=1,MIN($D$14,G78),G78*$D$14),IF($E$14="",9E+99,$E$14)),0))))</f>
        <v/>
      </c>
      <c r="N78" s="19">
        <f>IF(G78="","",G78-MAX(I78:M78))</f>
        <v/>
      </c>
      <c r="O78" s="20">
        <f>IF(N78="","",IF(OR($D$18="",$H$18="X",N78&lt;N($C$18)),0,IF(B78="G마켓",ROUNDDOWN(MIN(IF($D$18&gt;=1,MIN($D$18,N78),N78*$D$18),IF($E$18="",9E+99,$E$18)),0),ROUNDUP(MIN(IF($D$18&gt;=1,MIN($D$18,N78),N78*$D$18),IF($E$18="",9E+99,$E$18)),0))))</f>
        <v/>
      </c>
      <c r="P78" s="20">
        <f>IF(N78="","",IF(OR($D$19="",$H$19="X",N78&lt;N($C$19)),0,IF(B78="G마켓",ROUNDDOWN(MIN(IF($D$19&gt;=1,MIN($D$19,N78),N78*$D$19),IF($E$19="",9E+99,$E$19)),0),ROUNDUP(MIN(IF($D$19&gt;=1,MIN($D$19,N78),N78*$D$19),IF($E$19="",9E+99,$E$19)),0))))</f>
        <v/>
      </c>
      <c r="Q78" s="20">
        <f>IF(N78="","",IF(OR($D$20="",$H$20="X",N78&lt;N($C$20)),0,IF(B78="G마켓",ROUNDDOWN(MIN(IF($D$20&gt;=1,MIN($D$20,N78),N78*$D$20),IF($E$20="",9E+99,$E$20)),0),ROUNDUP(MIN(IF($D$20&gt;=1,MIN($D$20,N78),N78*$D$20),IF($E$20="",9E+99,$E$20)),0))))</f>
        <v/>
      </c>
      <c r="R78" s="20">
        <f>IF(N78="","",IF(OR($D$21="",$H$21="X",N78&lt;N($C$21)),0,IF(B78="G마켓",ROUNDDOWN(MIN(IF($D$21&gt;=1,MIN($D$21,N78),N78*$D$21),IF($E$21="",9E+99,$E$21)),0),ROUNDUP(MIN(IF($D$21&gt;=1,MIN($D$21,N78),N78*$D$21),IF($E$21="",9E+99,$E$21)),0))))</f>
        <v/>
      </c>
      <c r="S78" s="19">
        <f>IF(G78="","",N78-MAX(O78:R78))</f>
        <v/>
      </c>
      <c r="T78" s="20">
        <f>IF(S78="","",IF(OR($D$25="",S78&lt;N($C$25)),0,IF(B78="G마켓",ROUNDDOWN(MIN(IF($D$25&gt;=1,MIN($D$25,S78),S78*$D$25),IF($E$25="",9E+99,$E$25)),0),ROUNDUP(MIN(IF($D$25&gt;=1,MIN($D$25,S78),S78*$D$25),IF($E$25="",9E+99,$E$25)),0))))</f>
        <v/>
      </c>
      <c r="U78" s="20">
        <f>IF(S78="","",IF(OR($D$26="",S78&lt;N($C$26)),0,IF(B78="G마켓",ROUNDDOWN(MIN(IF($D$26&gt;=1,MIN($D$26,S78),S78*$D$26),IF($E$26="",9E+99,$E$26)),0),ROUNDUP(MIN(IF($D$26&gt;=1,MIN($D$26,S78),S78*$D$26),IF($E$26="",9E+99,$E$26)),0))))</f>
        <v/>
      </c>
      <c r="V78" s="20">
        <f>IF(S78="","",IF(OR($D$27="",S78&lt;N($C$27)),0,IF(B78="G마켓",ROUNDDOWN(MIN(IF($D$27&gt;=1,MIN($D$27,S78),S78*$D$27),IF($E$27="",9E+99,$E$27)),0),ROUNDUP(MIN(IF($D$27&gt;=1,MIN($D$27,S78),S78*$D$27),IF($E$27="",9E+99,$E$27)),0))))</f>
        <v/>
      </c>
      <c r="W78" s="19">
        <f>IF(G78="","",MAX(T78:V78))</f>
        <v/>
      </c>
      <c r="X78" s="21">
        <f>IF(G78="","",S78-W78)</f>
        <v/>
      </c>
      <c r="Y78" s="19">
        <f>IF(G78="","",IF(B78="G마켓",ROUNDDOWN(MAX(I78*N($G$10),J78*N($G$11),K78*N($G$12),L78*N($G$13),M78*N($G$14))+MAX(O78*N($G$18),P78*N($G$19),Q78*N($G$20),R78*N($G$21))+MAX(T78*N($G$25),U78*N($G$26),V78*N($G$27)),0),ROUNDUP(MAX(I78*N($G$10),J78*N($G$11),K78*N($G$12),L78*N($G$13),M78*N($G$14))+MAX(O78*N($G$18),P78*N($G$19),Q78*N($G$20),R78*N($G$21))+MAX(T78*N($G$25),U78*N($G$26),V78*N($G$27)),0)))</f>
        <v/>
      </c>
      <c r="Z78" s="21">
        <f>IF(G78="","",IF(B78="G마켓",ROUNDDOWN(G78-G78*$Q$6-Y78,0),ROUNDUP(G78-G78*$Q$6-Y78,0)))</f>
        <v/>
      </c>
    </row>
    <row r="79">
      <c r="B79" s="7" t="n"/>
      <c r="C79" s="7" t="n"/>
      <c r="D79" s="22" t="n"/>
      <c r="E79" s="23" t="n"/>
      <c r="F79" s="23" t="n"/>
      <c r="G79" s="19">
        <f>IF(E79="","",E79-N(F79))</f>
        <v/>
      </c>
      <c r="I79" s="20">
        <f>IF(G79="","",IF(OR($D$10="",$H$10="X",G79&lt;N($C$10)),0,IF(B79="G마켓",ROUNDDOWN(MIN(IF($D$10&gt;=1,MIN($D$10,G79),G79*$D$10),IF($E$10="",9E+99,$E$10)),0),ROUNDUP(MIN(IF($D$10&gt;=1,MIN($D$10,G79),G79*$D$10),IF($E$10="",9E+99,$E$10)),0))))</f>
        <v/>
      </c>
      <c r="J79" s="20">
        <f>IF(G79="","",IF(OR($D$11="",$H$11="X",G79&lt;N($C$11)),0,IF(B79="G마켓",ROUNDDOWN(MIN(IF($D$11&gt;=1,MIN($D$11,G79),G79*$D$11),IF($E$11="",9E+99,$E$11)),0),ROUNDUP(MIN(IF($D$11&gt;=1,MIN($D$11,G79),G79*$D$11),IF($E$11="",9E+99,$E$11)),0))))</f>
        <v/>
      </c>
      <c r="K79" s="20">
        <f>IF(G79="","",IF(OR($D$12="",$H$12="X",G79&lt;N($C$12)),0,IF(B79="G마켓",ROUNDDOWN(MIN(IF($D$12&gt;=1,MIN($D$12,G79),G79*$D$12),IF($E$12="",9E+99,$E$12)),0),ROUNDUP(MIN(IF($D$12&gt;=1,MIN($D$12,G79),G79*$D$12),IF($E$12="",9E+99,$E$12)),0))))</f>
        <v/>
      </c>
      <c r="L79" s="20">
        <f>IF(G79="","",IF(OR($D$13="",$H$13="X",G79&lt;N($C$13)),0,IF(B79="G마켓",ROUNDDOWN(MIN(IF($D$13&gt;=1,MIN($D$13,G79),G79*$D$13),IF($E$13="",9E+99,$E$13)),0),ROUNDUP(MIN(IF($D$13&gt;=1,MIN($D$13,G79),G79*$D$13),IF($E$13="",9E+99,$E$13)),0))))</f>
        <v/>
      </c>
      <c r="M79" s="20">
        <f>IF(G79="","",IF(OR($D$14="",$H$14="X",G79&lt;N($C$14)),0,IF(B79="G마켓",ROUNDDOWN(MIN(IF($D$14&gt;=1,MIN($D$14,G79),G79*$D$14),IF($E$14="",9E+99,$E$14)),0),ROUNDUP(MIN(IF($D$14&gt;=1,MIN($D$14,G79),G79*$D$14),IF($E$14="",9E+99,$E$14)),0))))</f>
        <v/>
      </c>
      <c r="N79" s="19">
        <f>IF(G79="","",G79-MAX(I79:M79))</f>
        <v/>
      </c>
      <c r="O79" s="20">
        <f>IF(N79="","",IF(OR($D$18="",$H$18="X",N79&lt;N($C$18)),0,IF(B79="G마켓",ROUNDDOWN(MIN(IF($D$18&gt;=1,MIN($D$18,N79),N79*$D$18),IF($E$18="",9E+99,$E$18)),0),ROUNDUP(MIN(IF($D$18&gt;=1,MIN($D$18,N79),N79*$D$18),IF($E$18="",9E+99,$E$18)),0))))</f>
        <v/>
      </c>
      <c r="P79" s="20">
        <f>IF(N79="","",IF(OR($D$19="",$H$19="X",N79&lt;N($C$19)),0,IF(B79="G마켓",ROUNDDOWN(MIN(IF($D$19&gt;=1,MIN($D$19,N79),N79*$D$19),IF($E$19="",9E+99,$E$19)),0),ROUNDUP(MIN(IF($D$19&gt;=1,MIN($D$19,N79),N79*$D$19),IF($E$19="",9E+99,$E$19)),0))))</f>
        <v/>
      </c>
      <c r="Q79" s="20">
        <f>IF(N79="","",IF(OR($D$20="",$H$20="X",N79&lt;N($C$20)),0,IF(B79="G마켓",ROUNDDOWN(MIN(IF($D$20&gt;=1,MIN($D$20,N79),N79*$D$20),IF($E$20="",9E+99,$E$20)),0),ROUNDUP(MIN(IF($D$20&gt;=1,MIN($D$20,N79),N79*$D$20),IF($E$20="",9E+99,$E$20)),0))))</f>
        <v/>
      </c>
      <c r="R79" s="20">
        <f>IF(N79="","",IF(OR($D$21="",$H$21="X",N79&lt;N($C$21)),0,IF(B79="G마켓",ROUNDDOWN(MIN(IF($D$21&gt;=1,MIN($D$21,N79),N79*$D$21),IF($E$21="",9E+99,$E$21)),0),ROUNDUP(MIN(IF($D$21&gt;=1,MIN($D$21,N79),N79*$D$21),IF($E$21="",9E+99,$E$21)),0))))</f>
        <v/>
      </c>
      <c r="S79" s="19">
        <f>IF(G79="","",N79-MAX(O79:R79))</f>
        <v/>
      </c>
      <c r="T79" s="20">
        <f>IF(S79="","",IF(OR($D$25="",S79&lt;N($C$25)),0,IF(B79="G마켓",ROUNDDOWN(MIN(IF($D$25&gt;=1,MIN($D$25,S79),S79*$D$25),IF($E$25="",9E+99,$E$25)),0),ROUNDUP(MIN(IF($D$25&gt;=1,MIN($D$25,S79),S79*$D$25),IF($E$25="",9E+99,$E$25)),0))))</f>
        <v/>
      </c>
      <c r="U79" s="20">
        <f>IF(S79="","",IF(OR($D$26="",S79&lt;N($C$26)),0,IF(B79="G마켓",ROUNDDOWN(MIN(IF($D$26&gt;=1,MIN($D$26,S79),S79*$D$26),IF($E$26="",9E+99,$E$26)),0),ROUNDUP(MIN(IF($D$26&gt;=1,MIN($D$26,S79),S79*$D$26),IF($E$26="",9E+99,$E$26)),0))))</f>
        <v/>
      </c>
      <c r="V79" s="20">
        <f>IF(S79="","",IF(OR($D$27="",S79&lt;N($C$27)),0,IF(B79="G마켓",ROUNDDOWN(MIN(IF($D$27&gt;=1,MIN($D$27,S79),S79*$D$27),IF($E$27="",9E+99,$E$27)),0),ROUNDUP(MIN(IF($D$27&gt;=1,MIN($D$27,S79),S79*$D$27),IF($E$27="",9E+99,$E$27)),0))))</f>
        <v/>
      </c>
      <c r="W79" s="19">
        <f>IF(G79="","",MAX(T79:V79))</f>
        <v/>
      </c>
      <c r="X79" s="21">
        <f>IF(G79="","",S79-W79)</f>
        <v/>
      </c>
      <c r="Y79" s="19">
        <f>IF(G79="","",IF(B79="G마켓",ROUNDDOWN(MAX(I79*N($G$10),J79*N($G$11),K79*N($G$12),L79*N($G$13),M79*N($G$14))+MAX(O79*N($G$18),P79*N($G$19),Q79*N($G$20),R79*N($G$21))+MAX(T79*N($G$25),U79*N($G$26),V79*N($G$27)),0),ROUNDUP(MAX(I79*N($G$10),J79*N($G$11),K79*N($G$12),L79*N($G$13),M79*N($G$14))+MAX(O79*N($G$18),P79*N($G$19),Q79*N($G$20),R79*N($G$21))+MAX(T79*N($G$25),U79*N($G$26),V79*N($G$27)),0)))</f>
        <v/>
      </c>
      <c r="Z79" s="21">
        <f>IF(G79="","",IF(B79="G마켓",ROUNDDOWN(G79-G79*$Q$6-Y79,0),ROUNDUP(G79-G79*$Q$6-Y79,0)))</f>
        <v/>
      </c>
    </row>
    <row r="80">
      <c r="B80" s="7" t="n"/>
      <c r="C80" s="7" t="n"/>
      <c r="D80" s="22" t="n"/>
      <c r="E80" s="23" t="n"/>
      <c r="F80" s="23" t="n"/>
      <c r="G80" s="19">
        <f>IF(E80="","",E80-N(F80))</f>
        <v/>
      </c>
      <c r="I80" s="20">
        <f>IF(G80="","",IF(OR($D$10="",$H$10="X",G80&lt;N($C$10)),0,IF(B80="G마켓",ROUNDDOWN(MIN(IF($D$10&gt;=1,MIN($D$10,G80),G80*$D$10),IF($E$10="",9E+99,$E$10)),0),ROUNDUP(MIN(IF($D$10&gt;=1,MIN($D$10,G80),G80*$D$10),IF($E$10="",9E+99,$E$10)),0))))</f>
        <v/>
      </c>
      <c r="J80" s="20">
        <f>IF(G80="","",IF(OR($D$11="",$H$11="X",G80&lt;N($C$11)),0,IF(B80="G마켓",ROUNDDOWN(MIN(IF($D$11&gt;=1,MIN($D$11,G80),G80*$D$11),IF($E$11="",9E+99,$E$11)),0),ROUNDUP(MIN(IF($D$11&gt;=1,MIN($D$11,G80),G80*$D$11),IF($E$11="",9E+99,$E$11)),0))))</f>
        <v/>
      </c>
      <c r="K80" s="20">
        <f>IF(G80="","",IF(OR($D$12="",$H$12="X",G80&lt;N($C$12)),0,IF(B80="G마켓",ROUNDDOWN(MIN(IF($D$12&gt;=1,MIN($D$12,G80),G80*$D$12),IF($E$12="",9E+99,$E$12)),0),ROUNDUP(MIN(IF($D$12&gt;=1,MIN($D$12,G80),G80*$D$12),IF($E$12="",9E+99,$E$12)),0))))</f>
        <v/>
      </c>
      <c r="L80" s="20">
        <f>IF(G80="","",IF(OR($D$13="",$H$13="X",G80&lt;N($C$13)),0,IF(B80="G마켓",ROUNDDOWN(MIN(IF($D$13&gt;=1,MIN($D$13,G80),G80*$D$13),IF($E$13="",9E+99,$E$13)),0),ROUNDUP(MIN(IF($D$13&gt;=1,MIN($D$13,G80),G80*$D$13),IF($E$13="",9E+99,$E$13)),0))))</f>
        <v/>
      </c>
      <c r="M80" s="20">
        <f>IF(G80="","",IF(OR($D$14="",$H$14="X",G80&lt;N($C$14)),0,IF(B80="G마켓",ROUNDDOWN(MIN(IF($D$14&gt;=1,MIN($D$14,G80),G80*$D$14),IF($E$14="",9E+99,$E$14)),0),ROUNDUP(MIN(IF($D$14&gt;=1,MIN($D$14,G80),G80*$D$14),IF($E$14="",9E+99,$E$14)),0))))</f>
        <v/>
      </c>
      <c r="N80" s="19">
        <f>IF(G80="","",G80-MAX(I80:M80))</f>
        <v/>
      </c>
      <c r="O80" s="20">
        <f>IF(N80="","",IF(OR($D$18="",$H$18="X",N80&lt;N($C$18)),0,IF(B80="G마켓",ROUNDDOWN(MIN(IF($D$18&gt;=1,MIN($D$18,N80),N80*$D$18),IF($E$18="",9E+99,$E$18)),0),ROUNDUP(MIN(IF($D$18&gt;=1,MIN($D$18,N80),N80*$D$18),IF($E$18="",9E+99,$E$18)),0))))</f>
        <v/>
      </c>
      <c r="P80" s="20">
        <f>IF(N80="","",IF(OR($D$19="",$H$19="X",N80&lt;N($C$19)),0,IF(B80="G마켓",ROUNDDOWN(MIN(IF($D$19&gt;=1,MIN($D$19,N80),N80*$D$19),IF($E$19="",9E+99,$E$19)),0),ROUNDUP(MIN(IF($D$19&gt;=1,MIN($D$19,N80),N80*$D$19),IF($E$19="",9E+99,$E$19)),0))))</f>
        <v/>
      </c>
      <c r="Q80" s="20">
        <f>IF(N80="","",IF(OR($D$20="",$H$20="X",N80&lt;N($C$20)),0,IF(B80="G마켓",ROUNDDOWN(MIN(IF($D$20&gt;=1,MIN($D$20,N80),N80*$D$20),IF($E$20="",9E+99,$E$20)),0),ROUNDUP(MIN(IF($D$20&gt;=1,MIN($D$20,N80),N80*$D$20),IF($E$20="",9E+99,$E$20)),0))))</f>
        <v/>
      </c>
      <c r="R80" s="20">
        <f>IF(N80="","",IF(OR($D$21="",$H$21="X",N80&lt;N($C$21)),0,IF(B80="G마켓",ROUNDDOWN(MIN(IF($D$21&gt;=1,MIN($D$21,N80),N80*$D$21),IF($E$21="",9E+99,$E$21)),0),ROUNDUP(MIN(IF($D$21&gt;=1,MIN($D$21,N80),N80*$D$21),IF($E$21="",9E+99,$E$21)),0))))</f>
        <v/>
      </c>
      <c r="S80" s="19">
        <f>IF(G80="","",N80-MAX(O80:R80))</f>
        <v/>
      </c>
      <c r="T80" s="20">
        <f>IF(S80="","",IF(OR($D$25="",S80&lt;N($C$25)),0,IF(B80="G마켓",ROUNDDOWN(MIN(IF($D$25&gt;=1,MIN($D$25,S80),S80*$D$25),IF($E$25="",9E+99,$E$25)),0),ROUNDUP(MIN(IF($D$25&gt;=1,MIN($D$25,S80),S80*$D$25),IF($E$25="",9E+99,$E$25)),0))))</f>
        <v/>
      </c>
      <c r="U80" s="20">
        <f>IF(S80="","",IF(OR($D$26="",S80&lt;N($C$26)),0,IF(B80="G마켓",ROUNDDOWN(MIN(IF($D$26&gt;=1,MIN($D$26,S80),S80*$D$26),IF($E$26="",9E+99,$E$26)),0),ROUNDUP(MIN(IF($D$26&gt;=1,MIN($D$26,S80),S80*$D$26),IF($E$26="",9E+99,$E$26)),0))))</f>
        <v/>
      </c>
      <c r="V80" s="20">
        <f>IF(S80="","",IF(OR($D$27="",S80&lt;N($C$27)),0,IF(B80="G마켓",ROUNDDOWN(MIN(IF($D$27&gt;=1,MIN($D$27,S80),S80*$D$27),IF($E$27="",9E+99,$E$27)),0),ROUNDUP(MIN(IF($D$27&gt;=1,MIN($D$27,S80),S80*$D$27),IF($E$27="",9E+99,$E$27)),0))))</f>
        <v/>
      </c>
      <c r="W80" s="19">
        <f>IF(G80="","",MAX(T80:V80))</f>
        <v/>
      </c>
      <c r="X80" s="21">
        <f>IF(G80="","",S80-W80)</f>
        <v/>
      </c>
      <c r="Y80" s="19">
        <f>IF(G80="","",IF(B80="G마켓",ROUNDDOWN(MAX(I80*N($G$10),J80*N($G$11),K80*N($G$12),L80*N($G$13),M80*N($G$14))+MAX(O80*N($G$18),P80*N($G$19),Q80*N($G$20),R80*N($G$21))+MAX(T80*N($G$25),U80*N($G$26),V80*N($G$27)),0),ROUNDUP(MAX(I80*N($G$10),J80*N($G$11),K80*N($G$12),L80*N($G$13),M80*N($G$14))+MAX(O80*N($G$18),P80*N($G$19),Q80*N($G$20),R80*N($G$21))+MAX(T80*N($G$25),U80*N($G$26),V80*N($G$27)),0)))</f>
        <v/>
      </c>
      <c r="Z80" s="21">
        <f>IF(G80="","",IF(B80="G마켓",ROUNDDOWN(G80-G80*$Q$6-Y80,0),ROUNDUP(G80-G80*$Q$6-Y80,0)))</f>
        <v/>
      </c>
    </row>
    <row r="81">
      <c r="B81" s="7" t="n"/>
      <c r="C81" s="7" t="n"/>
      <c r="D81" s="22" t="n"/>
      <c r="E81" s="23" t="n"/>
      <c r="F81" s="23" t="n"/>
      <c r="G81" s="19">
        <f>IF(E81="","",E81-N(F81))</f>
        <v/>
      </c>
      <c r="I81" s="20">
        <f>IF(G81="","",IF(OR($D$10="",$H$10="X",G81&lt;N($C$10)),0,IF(B81="G마켓",ROUNDDOWN(MIN(IF($D$10&gt;=1,MIN($D$10,G81),G81*$D$10),IF($E$10="",9E+99,$E$10)),0),ROUNDUP(MIN(IF($D$10&gt;=1,MIN($D$10,G81),G81*$D$10),IF($E$10="",9E+99,$E$10)),0))))</f>
        <v/>
      </c>
      <c r="J81" s="20">
        <f>IF(G81="","",IF(OR($D$11="",$H$11="X",G81&lt;N($C$11)),0,IF(B81="G마켓",ROUNDDOWN(MIN(IF($D$11&gt;=1,MIN($D$11,G81),G81*$D$11),IF($E$11="",9E+99,$E$11)),0),ROUNDUP(MIN(IF($D$11&gt;=1,MIN($D$11,G81),G81*$D$11),IF($E$11="",9E+99,$E$11)),0))))</f>
        <v/>
      </c>
      <c r="K81" s="20">
        <f>IF(G81="","",IF(OR($D$12="",$H$12="X",G81&lt;N($C$12)),0,IF(B81="G마켓",ROUNDDOWN(MIN(IF($D$12&gt;=1,MIN($D$12,G81),G81*$D$12),IF($E$12="",9E+99,$E$12)),0),ROUNDUP(MIN(IF($D$12&gt;=1,MIN($D$12,G81),G81*$D$12),IF($E$12="",9E+99,$E$12)),0))))</f>
        <v/>
      </c>
      <c r="L81" s="20">
        <f>IF(G81="","",IF(OR($D$13="",$H$13="X",G81&lt;N($C$13)),0,IF(B81="G마켓",ROUNDDOWN(MIN(IF($D$13&gt;=1,MIN($D$13,G81),G81*$D$13),IF($E$13="",9E+99,$E$13)),0),ROUNDUP(MIN(IF($D$13&gt;=1,MIN($D$13,G81),G81*$D$13),IF($E$13="",9E+99,$E$13)),0))))</f>
        <v/>
      </c>
      <c r="M81" s="20">
        <f>IF(G81="","",IF(OR($D$14="",$H$14="X",G81&lt;N($C$14)),0,IF(B81="G마켓",ROUNDDOWN(MIN(IF($D$14&gt;=1,MIN($D$14,G81),G81*$D$14),IF($E$14="",9E+99,$E$14)),0),ROUNDUP(MIN(IF($D$14&gt;=1,MIN($D$14,G81),G81*$D$14),IF($E$14="",9E+99,$E$14)),0))))</f>
        <v/>
      </c>
      <c r="N81" s="19">
        <f>IF(G81="","",G81-MAX(I81:M81))</f>
        <v/>
      </c>
      <c r="O81" s="20">
        <f>IF(N81="","",IF(OR($D$18="",$H$18="X",N81&lt;N($C$18)),0,IF(B81="G마켓",ROUNDDOWN(MIN(IF($D$18&gt;=1,MIN($D$18,N81),N81*$D$18),IF($E$18="",9E+99,$E$18)),0),ROUNDUP(MIN(IF($D$18&gt;=1,MIN($D$18,N81),N81*$D$18),IF($E$18="",9E+99,$E$18)),0))))</f>
        <v/>
      </c>
      <c r="P81" s="20">
        <f>IF(N81="","",IF(OR($D$19="",$H$19="X",N81&lt;N($C$19)),0,IF(B81="G마켓",ROUNDDOWN(MIN(IF($D$19&gt;=1,MIN($D$19,N81),N81*$D$19),IF($E$19="",9E+99,$E$19)),0),ROUNDUP(MIN(IF($D$19&gt;=1,MIN($D$19,N81),N81*$D$19),IF($E$19="",9E+99,$E$19)),0))))</f>
        <v/>
      </c>
      <c r="Q81" s="20">
        <f>IF(N81="","",IF(OR($D$20="",$H$20="X",N81&lt;N($C$20)),0,IF(B81="G마켓",ROUNDDOWN(MIN(IF($D$20&gt;=1,MIN($D$20,N81),N81*$D$20),IF($E$20="",9E+99,$E$20)),0),ROUNDUP(MIN(IF($D$20&gt;=1,MIN($D$20,N81),N81*$D$20),IF($E$20="",9E+99,$E$20)),0))))</f>
        <v/>
      </c>
      <c r="R81" s="20">
        <f>IF(N81="","",IF(OR($D$21="",$H$21="X",N81&lt;N($C$21)),0,IF(B81="G마켓",ROUNDDOWN(MIN(IF($D$21&gt;=1,MIN($D$21,N81),N81*$D$21),IF($E$21="",9E+99,$E$21)),0),ROUNDUP(MIN(IF($D$21&gt;=1,MIN($D$21,N81),N81*$D$21),IF($E$21="",9E+99,$E$21)),0))))</f>
        <v/>
      </c>
      <c r="S81" s="19">
        <f>IF(G81="","",N81-MAX(O81:R81))</f>
        <v/>
      </c>
      <c r="T81" s="20">
        <f>IF(S81="","",IF(OR($D$25="",S81&lt;N($C$25)),0,IF(B81="G마켓",ROUNDDOWN(MIN(IF($D$25&gt;=1,MIN($D$25,S81),S81*$D$25),IF($E$25="",9E+99,$E$25)),0),ROUNDUP(MIN(IF($D$25&gt;=1,MIN($D$25,S81),S81*$D$25),IF($E$25="",9E+99,$E$25)),0))))</f>
        <v/>
      </c>
      <c r="U81" s="20">
        <f>IF(S81="","",IF(OR($D$26="",S81&lt;N($C$26)),0,IF(B81="G마켓",ROUNDDOWN(MIN(IF($D$26&gt;=1,MIN($D$26,S81),S81*$D$26),IF($E$26="",9E+99,$E$26)),0),ROUNDUP(MIN(IF($D$26&gt;=1,MIN($D$26,S81),S81*$D$26),IF($E$26="",9E+99,$E$26)),0))))</f>
        <v/>
      </c>
      <c r="V81" s="20">
        <f>IF(S81="","",IF(OR($D$27="",S81&lt;N($C$27)),0,IF(B81="G마켓",ROUNDDOWN(MIN(IF($D$27&gt;=1,MIN($D$27,S81),S81*$D$27),IF($E$27="",9E+99,$E$27)),0),ROUNDUP(MIN(IF($D$27&gt;=1,MIN($D$27,S81),S81*$D$27),IF($E$27="",9E+99,$E$27)),0))))</f>
        <v/>
      </c>
      <c r="W81" s="19">
        <f>IF(G81="","",MAX(T81:V81))</f>
        <v/>
      </c>
      <c r="X81" s="21">
        <f>IF(G81="","",S81-W81)</f>
        <v/>
      </c>
      <c r="Y81" s="19">
        <f>IF(G81="","",IF(B81="G마켓",ROUNDDOWN(MAX(I81*N($G$10),J81*N($G$11),K81*N($G$12),L81*N($G$13),M81*N($G$14))+MAX(O81*N($G$18),P81*N($G$19),Q81*N($G$20),R81*N($G$21))+MAX(T81*N($G$25),U81*N($G$26),V81*N($G$27)),0),ROUNDUP(MAX(I81*N($G$10),J81*N($G$11),K81*N($G$12),L81*N($G$13),M81*N($G$14))+MAX(O81*N($G$18),P81*N($G$19),Q81*N($G$20),R81*N($G$21))+MAX(T81*N($G$25),U81*N($G$26),V81*N($G$27)),0)))</f>
        <v/>
      </c>
      <c r="Z81" s="21">
        <f>IF(G81="","",IF(B81="G마켓",ROUNDDOWN(G81-G81*$Q$6-Y81,0),ROUNDUP(G81-G81*$Q$6-Y81,0)))</f>
        <v/>
      </c>
    </row>
    <row r="82">
      <c r="B82" s="7" t="n"/>
      <c r="C82" s="7" t="n"/>
      <c r="D82" s="22" t="n"/>
      <c r="E82" s="23" t="n"/>
      <c r="F82" s="23" t="n"/>
      <c r="G82" s="19">
        <f>IF(E82="","",E82-N(F82))</f>
        <v/>
      </c>
      <c r="I82" s="20">
        <f>IF(G82="","",IF(OR($D$10="",$H$10="X",G82&lt;N($C$10)),0,IF(B82="G마켓",ROUNDDOWN(MIN(IF($D$10&gt;=1,MIN($D$10,G82),G82*$D$10),IF($E$10="",9E+99,$E$10)),0),ROUNDUP(MIN(IF($D$10&gt;=1,MIN($D$10,G82),G82*$D$10),IF($E$10="",9E+99,$E$10)),0))))</f>
        <v/>
      </c>
      <c r="J82" s="20">
        <f>IF(G82="","",IF(OR($D$11="",$H$11="X",G82&lt;N($C$11)),0,IF(B82="G마켓",ROUNDDOWN(MIN(IF($D$11&gt;=1,MIN($D$11,G82),G82*$D$11),IF($E$11="",9E+99,$E$11)),0),ROUNDUP(MIN(IF($D$11&gt;=1,MIN($D$11,G82),G82*$D$11),IF($E$11="",9E+99,$E$11)),0))))</f>
        <v/>
      </c>
      <c r="K82" s="20">
        <f>IF(G82="","",IF(OR($D$12="",$H$12="X",G82&lt;N($C$12)),0,IF(B82="G마켓",ROUNDDOWN(MIN(IF($D$12&gt;=1,MIN($D$12,G82),G82*$D$12),IF($E$12="",9E+99,$E$12)),0),ROUNDUP(MIN(IF($D$12&gt;=1,MIN($D$12,G82),G82*$D$12),IF($E$12="",9E+99,$E$12)),0))))</f>
        <v/>
      </c>
      <c r="L82" s="20">
        <f>IF(G82="","",IF(OR($D$13="",$H$13="X",G82&lt;N($C$13)),0,IF(B82="G마켓",ROUNDDOWN(MIN(IF($D$13&gt;=1,MIN($D$13,G82),G82*$D$13),IF($E$13="",9E+99,$E$13)),0),ROUNDUP(MIN(IF($D$13&gt;=1,MIN($D$13,G82),G82*$D$13),IF($E$13="",9E+99,$E$13)),0))))</f>
        <v/>
      </c>
      <c r="M82" s="20">
        <f>IF(G82="","",IF(OR($D$14="",$H$14="X",G82&lt;N($C$14)),0,IF(B82="G마켓",ROUNDDOWN(MIN(IF($D$14&gt;=1,MIN($D$14,G82),G82*$D$14),IF($E$14="",9E+99,$E$14)),0),ROUNDUP(MIN(IF($D$14&gt;=1,MIN($D$14,G82),G82*$D$14),IF($E$14="",9E+99,$E$14)),0))))</f>
        <v/>
      </c>
      <c r="N82" s="19">
        <f>IF(G82="","",G82-MAX(I82:M82))</f>
        <v/>
      </c>
      <c r="O82" s="20">
        <f>IF(N82="","",IF(OR($D$18="",$H$18="X",N82&lt;N($C$18)),0,IF(B82="G마켓",ROUNDDOWN(MIN(IF($D$18&gt;=1,MIN($D$18,N82),N82*$D$18),IF($E$18="",9E+99,$E$18)),0),ROUNDUP(MIN(IF($D$18&gt;=1,MIN($D$18,N82),N82*$D$18),IF($E$18="",9E+99,$E$18)),0))))</f>
        <v/>
      </c>
      <c r="P82" s="20">
        <f>IF(N82="","",IF(OR($D$19="",$H$19="X",N82&lt;N($C$19)),0,IF(B82="G마켓",ROUNDDOWN(MIN(IF($D$19&gt;=1,MIN($D$19,N82),N82*$D$19),IF($E$19="",9E+99,$E$19)),0),ROUNDUP(MIN(IF($D$19&gt;=1,MIN($D$19,N82),N82*$D$19),IF($E$19="",9E+99,$E$19)),0))))</f>
        <v/>
      </c>
      <c r="Q82" s="20">
        <f>IF(N82="","",IF(OR($D$20="",$H$20="X",N82&lt;N($C$20)),0,IF(B82="G마켓",ROUNDDOWN(MIN(IF($D$20&gt;=1,MIN($D$20,N82),N82*$D$20),IF($E$20="",9E+99,$E$20)),0),ROUNDUP(MIN(IF($D$20&gt;=1,MIN($D$20,N82),N82*$D$20),IF($E$20="",9E+99,$E$20)),0))))</f>
        <v/>
      </c>
      <c r="R82" s="20">
        <f>IF(N82="","",IF(OR($D$21="",$H$21="X",N82&lt;N($C$21)),0,IF(B82="G마켓",ROUNDDOWN(MIN(IF($D$21&gt;=1,MIN($D$21,N82),N82*$D$21),IF($E$21="",9E+99,$E$21)),0),ROUNDUP(MIN(IF($D$21&gt;=1,MIN($D$21,N82),N82*$D$21),IF($E$21="",9E+99,$E$21)),0))))</f>
        <v/>
      </c>
      <c r="S82" s="19">
        <f>IF(G82="","",N82-MAX(O82:R82))</f>
        <v/>
      </c>
      <c r="T82" s="20">
        <f>IF(S82="","",IF(OR($D$25="",S82&lt;N($C$25)),0,IF(B82="G마켓",ROUNDDOWN(MIN(IF($D$25&gt;=1,MIN($D$25,S82),S82*$D$25),IF($E$25="",9E+99,$E$25)),0),ROUNDUP(MIN(IF($D$25&gt;=1,MIN($D$25,S82),S82*$D$25),IF($E$25="",9E+99,$E$25)),0))))</f>
        <v/>
      </c>
      <c r="U82" s="20">
        <f>IF(S82="","",IF(OR($D$26="",S82&lt;N($C$26)),0,IF(B82="G마켓",ROUNDDOWN(MIN(IF($D$26&gt;=1,MIN($D$26,S82),S82*$D$26),IF($E$26="",9E+99,$E$26)),0),ROUNDUP(MIN(IF($D$26&gt;=1,MIN($D$26,S82),S82*$D$26),IF($E$26="",9E+99,$E$26)),0))))</f>
        <v/>
      </c>
      <c r="V82" s="20">
        <f>IF(S82="","",IF(OR($D$27="",S82&lt;N($C$27)),0,IF(B82="G마켓",ROUNDDOWN(MIN(IF($D$27&gt;=1,MIN($D$27,S82),S82*$D$27),IF($E$27="",9E+99,$E$27)),0),ROUNDUP(MIN(IF($D$27&gt;=1,MIN($D$27,S82),S82*$D$27),IF($E$27="",9E+99,$E$27)),0))))</f>
        <v/>
      </c>
      <c r="W82" s="19">
        <f>IF(G82="","",MAX(T82:V82))</f>
        <v/>
      </c>
      <c r="X82" s="21">
        <f>IF(G82="","",S82-W82)</f>
        <v/>
      </c>
      <c r="Y82" s="19">
        <f>IF(G82="","",IF(B82="G마켓",ROUNDDOWN(MAX(I82*N($G$10),J82*N($G$11),K82*N($G$12),L82*N($G$13),M82*N($G$14))+MAX(O82*N($G$18),P82*N($G$19),Q82*N($G$20),R82*N($G$21))+MAX(T82*N($G$25),U82*N($G$26),V82*N($G$27)),0),ROUNDUP(MAX(I82*N($G$10),J82*N($G$11),K82*N($G$12),L82*N($G$13),M82*N($G$14))+MAX(O82*N($G$18),P82*N($G$19),Q82*N($G$20),R82*N($G$21))+MAX(T82*N($G$25),U82*N($G$26),V82*N($G$27)),0)))</f>
        <v/>
      </c>
      <c r="Z82" s="21">
        <f>IF(G82="","",IF(B82="G마켓",ROUNDDOWN(G82-G82*$Q$6-Y82,0),ROUNDUP(G82-G82*$Q$6-Y82,0)))</f>
        <v/>
      </c>
    </row>
    <row r="83">
      <c r="B83" s="7" t="n"/>
      <c r="C83" s="7" t="n"/>
      <c r="D83" s="22" t="n"/>
      <c r="E83" s="23" t="n"/>
      <c r="F83" s="23" t="n"/>
      <c r="G83" s="19">
        <f>IF(E83="","",E83-N(F83))</f>
        <v/>
      </c>
      <c r="I83" s="20">
        <f>IF(G83="","",IF(OR($D$10="",$H$10="X",G83&lt;N($C$10)),0,IF(B83="G마켓",ROUNDDOWN(MIN(IF($D$10&gt;=1,MIN($D$10,G83),G83*$D$10),IF($E$10="",9E+99,$E$10)),0),ROUNDUP(MIN(IF($D$10&gt;=1,MIN($D$10,G83),G83*$D$10),IF($E$10="",9E+99,$E$10)),0))))</f>
        <v/>
      </c>
      <c r="J83" s="20">
        <f>IF(G83="","",IF(OR($D$11="",$H$11="X",G83&lt;N($C$11)),0,IF(B83="G마켓",ROUNDDOWN(MIN(IF($D$11&gt;=1,MIN($D$11,G83),G83*$D$11),IF($E$11="",9E+99,$E$11)),0),ROUNDUP(MIN(IF($D$11&gt;=1,MIN($D$11,G83),G83*$D$11),IF($E$11="",9E+99,$E$11)),0))))</f>
        <v/>
      </c>
      <c r="K83" s="20">
        <f>IF(G83="","",IF(OR($D$12="",$H$12="X",G83&lt;N($C$12)),0,IF(B83="G마켓",ROUNDDOWN(MIN(IF($D$12&gt;=1,MIN($D$12,G83),G83*$D$12),IF($E$12="",9E+99,$E$12)),0),ROUNDUP(MIN(IF($D$12&gt;=1,MIN($D$12,G83),G83*$D$12),IF($E$12="",9E+99,$E$12)),0))))</f>
        <v/>
      </c>
      <c r="L83" s="20">
        <f>IF(G83="","",IF(OR($D$13="",$H$13="X",G83&lt;N($C$13)),0,IF(B83="G마켓",ROUNDDOWN(MIN(IF($D$13&gt;=1,MIN($D$13,G83),G83*$D$13),IF($E$13="",9E+99,$E$13)),0),ROUNDUP(MIN(IF($D$13&gt;=1,MIN($D$13,G83),G83*$D$13),IF($E$13="",9E+99,$E$13)),0))))</f>
        <v/>
      </c>
      <c r="M83" s="20">
        <f>IF(G83="","",IF(OR($D$14="",$H$14="X",G83&lt;N($C$14)),0,IF(B83="G마켓",ROUNDDOWN(MIN(IF($D$14&gt;=1,MIN($D$14,G83),G83*$D$14),IF($E$14="",9E+99,$E$14)),0),ROUNDUP(MIN(IF($D$14&gt;=1,MIN($D$14,G83),G83*$D$14),IF($E$14="",9E+99,$E$14)),0))))</f>
        <v/>
      </c>
      <c r="N83" s="19">
        <f>IF(G83="","",G83-MAX(I83:M83))</f>
        <v/>
      </c>
      <c r="O83" s="20">
        <f>IF(N83="","",IF(OR($D$18="",$H$18="X",N83&lt;N($C$18)),0,IF(B83="G마켓",ROUNDDOWN(MIN(IF($D$18&gt;=1,MIN($D$18,N83),N83*$D$18),IF($E$18="",9E+99,$E$18)),0),ROUNDUP(MIN(IF($D$18&gt;=1,MIN($D$18,N83),N83*$D$18),IF($E$18="",9E+99,$E$18)),0))))</f>
        <v/>
      </c>
      <c r="P83" s="20">
        <f>IF(N83="","",IF(OR($D$19="",$H$19="X",N83&lt;N($C$19)),0,IF(B83="G마켓",ROUNDDOWN(MIN(IF($D$19&gt;=1,MIN($D$19,N83),N83*$D$19),IF($E$19="",9E+99,$E$19)),0),ROUNDUP(MIN(IF($D$19&gt;=1,MIN($D$19,N83),N83*$D$19),IF($E$19="",9E+99,$E$19)),0))))</f>
        <v/>
      </c>
      <c r="Q83" s="20">
        <f>IF(N83="","",IF(OR($D$20="",$H$20="X",N83&lt;N($C$20)),0,IF(B83="G마켓",ROUNDDOWN(MIN(IF($D$20&gt;=1,MIN($D$20,N83),N83*$D$20),IF($E$20="",9E+99,$E$20)),0),ROUNDUP(MIN(IF($D$20&gt;=1,MIN($D$20,N83),N83*$D$20),IF($E$20="",9E+99,$E$20)),0))))</f>
        <v/>
      </c>
      <c r="R83" s="20">
        <f>IF(N83="","",IF(OR($D$21="",$H$21="X",N83&lt;N($C$21)),0,IF(B83="G마켓",ROUNDDOWN(MIN(IF($D$21&gt;=1,MIN($D$21,N83),N83*$D$21),IF($E$21="",9E+99,$E$21)),0),ROUNDUP(MIN(IF($D$21&gt;=1,MIN($D$21,N83),N83*$D$21),IF($E$21="",9E+99,$E$21)),0))))</f>
        <v/>
      </c>
      <c r="S83" s="19">
        <f>IF(G83="","",N83-MAX(O83:R83))</f>
        <v/>
      </c>
      <c r="T83" s="20">
        <f>IF(S83="","",IF(OR($D$25="",S83&lt;N($C$25)),0,IF(B83="G마켓",ROUNDDOWN(MIN(IF($D$25&gt;=1,MIN($D$25,S83),S83*$D$25),IF($E$25="",9E+99,$E$25)),0),ROUNDUP(MIN(IF($D$25&gt;=1,MIN($D$25,S83),S83*$D$25),IF($E$25="",9E+99,$E$25)),0))))</f>
        <v/>
      </c>
      <c r="U83" s="20">
        <f>IF(S83="","",IF(OR($D$26="",S83&lt;N($C$26)),0,IF(B83="G마켓",ROUNDDOWN(MIN(IF($D$26&gt;=1,MIN($D$26,S83),S83*$D$26),IF($E$26="",9E+99,$E$26)),0),ROUNDUP(MIN(IF($D$26&gt;=1,MIN($D$26,S83),S83*$D$26),IF($E$26="",9E+99,$E$26)),0))))</f>
        <v/>
      </c>
      <c r="V83" s="20">
        <f>IF(S83="","",IF(OR($D$27="",S83&lt;N($C$27)),0,IF(B83="G마켓",ROUNDDOWN(MIN(IF($D$27&gt;=1,MIN($D$27,S83),S83*$D$27),IF($E$27="",9E+99,$E$27)),0),ROUNDUP(MIN(IF($D$27&gt;=1,MIN($D$27,S83),S83*$D$27),IF($E$27="",9E+99,$E$27)),0))))</f>
        <v/>
      </c>
      <c r="W83" s="19">
        <f>IF(G83="","",MAX(T83:V83))</f>
        <v/>
      </c>
      <c r="X83" s="21">
        <f>IF(G83="","",S83-W83)</f>
        <v/>
      </c>
      <c r="Y83" s="19">
        <f>IF(G83="","",IF(B83="G마켓",ROUNDDOWN(MAX(I83*N($G$10),J83*N($G$11),K83*N($G$12),L83*N($G$13),M83*N($G$14))+MAX(O83*N($G$18),P83*N($G$19),Q83*N($G$20),R83*N($G$21))+MAX(T83*N($G$25),U83*N($G$26),V83*N($G$27)),0),ROUNDUP(MAX(I83*N($G$10),J83*N($G$11),K83*N($G$12),L83*N($G$13),M83*N($G$14))+MAX(O83*N($G$18),P83*N($G$19),Q83*N($G$20),R83*N($G$21))+MAX(T83*N($G$25),U83*N($G$26),V83*N($G$27)),0)))</f>
        <v/>
      </c>
      <c r="Z83" s="21">
        <f>IF(G83="","",IF(B83="G마켓",ROUNDDOWN(G83-G83*$Q$6-Y83,0),ROUNDUP(G83-G83*$Q$6-Y83,0)))</f>
        <v/>
      </c>
    </row>
    <row r="84">
      <c r="B84" s="7" t="n"/>
      <c r="C84" s="7" t="n"/>
      <c r="D84" s="22" t="n"/>
      <c r="E84" s="23" t="n"/>
      <c r="F84" s="23" t="n"/>
      <c r="G84" s="19">
        <f>IF(E84="","",E84-N(F84))</f>
        <v/>
      </c>
      <c r="I84" s="20">
        <f>IF(G84="","",IF(OR($D$10="",$H$10="X",G84&lt;N($C$10)),0,IF(B84="G마켓",ROUNDDOWN(MIN(IF($D$10&gt;=1,MIN($D$10,G84),G84*$D$10),IF($E$10="",9E+99,$E$10)),0),ROUNDUP(MIN(IF($D$10&gt;=1,MIN($D$10,G84),G84*$D$10),IF($E$10="",9E+99,$E$10)),0))))</f>
        <v/>
      </c>
      <c r="J84" s="20">
        <f>IF(G84="","",IF(OR($D$11="",$H$11="X",G84&lt;N($C$11)),0,IF(B84="G마켓",ROUNDDOWN(MIN(IF($D$11&gt;=1,MIN($D$11,G84),G84*$D$11),IF($E$11="",9E+99,$E$11)),0),ROUNDUP(MIN(IF($D$11&gt;=1,MIN($D$11,G84),G84*$D$11),IF($E$11="",9E+99,$E$11)),0))))</f>
        <v/>
      </c>
      <c r="K84" s="20">
        <f>IF(G84="","",IF(OR($D$12="",$H$12="X",G84&lt;N($C$12)),0,IF(B84="G마켓",ROUNDDOWN(MIN(IF($D$12&gt;=1,MIN($D$12,G84),G84*$D$12),IF($E$12="",9E+99,$E$12)),0),ROUNDUP(MIN(IF($D$12&gt;=1,MIN($D$12,G84),G84*$D$12),IF($E$12="",9E+99,$E$12)),0))))</f>
        <v/>
      </c>
      <c r="L84" s="20">
        <f>IF(G84="","",IF(OR($D$13="",$H$13="X",G84&lt;N($C$13)),0,IF(B84="G마켓",ROUNDDOWN(MIN(IF($D$13&gt;=1,MIN($D$13,G84),G84*$D$13),IF($E$13="",9E+99,$E$13)),0),ROUNDUP(MIN(IF($D$13&gt;=1,MIN($D$13,G84),G84*$D$13),IF($E$13="",9E+99,$E$13)),0))))</f>
        <v/>
      </c>
      <c r="M84" s="20">
        <f>IF(G84="","",IF(OR($D$14="",$H$14="X",G84&lt;N($C$14)),0,IF(B84="G마켓",ROUNDDOWN(MIN(IF($D$14&gt;=1,MIN($D$14,G84),G84*$D$14),IF($E$14="",9E+99,$E$14)),0),ROUNDUP(MIN(IF($D$14&gt;=1,MIN($D$14,G84),G84*$D$14),IF($E$14="",9E+99,$E$14)),0))))</f>
        <v/>
      </c>
      <c r="N84" s="19">
        <f>IF(G84="","",G84-MAX(I84:M84))</f>
        <v/>
      </c>
      <c r="O84" s="20">
        <f>IF(N84="","",IF(OR($D$18="",$H$18="X",N84&lt;N($C$18)),0,IF(B84="G마켓",ROUNDDOWN(MIN(IF($D$18&gt;=1,MIN($D$18,N84),N84*$D$18),IF($E$18="",9E+99,$E$18)),0),ROUNDUP(MIN(IF($D$18&gt;=1,MIN($D$18,N84),N84*$D$18),IF($E$18="",9E+99,$E$18)),0))))</f>
        <v/>
      </c>
      <c r="P84" s="20">
        <f>IF(N84="","",IF(OR($D$19="",$H$19="X",N84&lt;N($C$19)),0,IF(B84="G마켓",ROUNDDOWN(MIN(IF($D$19&gt;=1,MIN($D$19,N84),N84*$D$19),IF($E$19="",9E+99,$E$19)),0),ROUNDUP(MIN(IF($D$19&gt;=1,MIN($D$19,N84),N84*$D$19),IF($E$19="",9E+99,$E$19)),0))))</f>
        <v/>
      </c>
      <c r="Q84" s="20">
        <f>IF(N84="","",IF(OR($D$20="",$H$20="X",N84&lt;N($C$20)),0,IF(B84="G마켓",ROUNDDOWN(MIN(IF($D$20&gt;=1,MIN($D$20,N84),N84*$D$20),IF($E$20="",9E+99,$E$20)),0),ROUNDUP(MIN(IF($D$20&gt;=1,MIN($D$20,N84),N84*$D$20),IF($E$20="",9E+99,$E$20)),0))))</f>
        <v/>
      </c>
      <c r="R84" s="20">
        <f>IF(N84="","",IF(OR($D$21="",$H$21="X",N84&lt;N($C$21)),0,IF(B84="G마켓",ROUNDDOWN(MIN(IF($D$21&gt;=1,MIN($D$21,N84),N84*$D$21),IF($E$21="",9E+99,$E$21)),0),ROUNDUP(MIN(IF($D$21&gt;=1,MIN($D$21,N84),N84*$D$21),IF($E$21="",9E+99,$E$21)),0))))</f>
        <v/>
      </c>
      <c r="S84" s="19">
        <f>IF(G84="","",N84-MAX(O84:R84))</f>
        <v/>
      </c>
      <c r="T84" s="20">
        <f>IF(S84="","",IF(OR($D$25="",S84&lt;N($C$25)),0,IF(B84="G마켓",ROUNDDOWN(MIN(IF($D$25&gt;=1,MIN($D$25,S84),S84*$D$25),IF($E$25="",9E+99,$E$25)),0),ROUNDUP(MIN(IF($D$25&gt;=1,MIN($D$25,S84),S84*$D$25),IF($E$25="",9E+99,$E$25)),0))))</f>
        <v/>
      </c>
      <c r="U84" s="20">
        <f>IF(S84="","",IF(OR($D$26="",S84&lt;N($C$26)),0,IF(B84="G마켓",ROUNDDOWN(MIN(IF($D$26&gt;=1,MIN($D$26,S84),S84*$D$26),IF($E$26="",9E+99,$E$26)),0),ROUNDUP(MIN(IF($D$26&gt;=1,MIN($D$26,S84),S84*$D$26),IF($E$26="",9E+99,$E$26)),0))))</f>
        <v/>
      </c>
      <c r="V84" s="20">
        <f>IF(S84="","",IF(OR($D$27="",S84&lt;N($C$27)),0,IF(B84="G마켓",ROUNDDOWN(MIN(IF($D$27&gt;=1,MIN($D$27,S84),S84*$D$27),IF($E$27="",9E+99,$E$27)),0),ROUNDUP(MIN(IF($D$27&gt;=1,MIN($D$27,S84),S84*$D$27),IF($E$27="",9E+99,$E$27)),0))))</f>
        <v/>
      </c>
      <c r="W84" s="19">
        <f>IF(G84="","",MAX(T84:V84))</f>
        <v/>
      </c>
      <c r="X84" s="21">
        <f>IF(G84="","",S84-W84)</f>
        <v/>
      </c>
      <c r="Y84" s="19">
        <f>IF(G84="","",IF(B84="G마켓",ROUNDDOWN(MAX(I84*N($G$10),J84*N($G$11),K84*N($G$12),L84*N($G$13),M84*N($G$14))+MAX(O84*N($G$18),P84*N($G$19),Q84*N($G$20),R84*N($G$21))+MAX(T84*N($G$25),U84*N($G$26),V84*N($G$27)),0),ROUNDUP(MAX(I84*N($G$10),J84*N($G$11),K84*N($G$12),L84*N($G$13),M84*N($G$14))+MAX(O84*N($G$18),P84*N($G$19),Q84*N($G$20),R84*N($G$21))+MAX(T84*N($G$25),U84*N($G$26),V84*N($G$27)),0)))</f>
        <v/>
      </c>
      <c r="Z84" s="21">
        <f>IF(G84="","",IF(B84="G마켓",ROUNDDOWN(G84-G84*$Q$6-Y84,0),ROUNDUP(G84-G84*$Q$6-Y84,0)))</f>
        <v/>
      </c>
    </row>
    <row r="85">
      <c r="B85" s="7" t="n"/>
      <c r="C85" s="7" t="n"/>
      <c r="D85" s="22" t="n"/>
      <c r="E85" s="23" t="n"/>
      <c r="F85" s="23" t="n"/>
      <c r="G85" s="19">
        <f>IF(E85="","",E85-N(F85))</f>
        <v/>
      </c>
      <c r="I85" s="20">
        <f>IF(G85="","",IF(OR($D$10="",$H$10="X",G85&lt;N($C$10)),0,IF(B85="G마켓",ROUNDDOWN(MIN(IF($D$10&gt;=1,MIN($D$10,G85),G85*$D$10),IF($E$10="",9E+99,$E$10)),0),ROUNDUP(MIN(IF($D$10&gt;=1,MIN($D$10,G85),G85*$D$10),IF($E$10="",9E+99,$E$10)),0))))</f>
        <v/>
      </c>
      <c r="J85" s="20">
        <f>IF(G85="","",IF(OR($D$11="",$H$11="X",G85&lt;N($C$11)),0,IF(B85="G마켓",ROUNDDOWN(MIN(IF($D$11&gt;=1,MIN($D$11,G85),G85*$D$11),IF($E$11="",9E+99,$E$11)),0),ROUNDUP(MIN(IF($D$11&gt;=1,MIN($D$11,G85),G85*$D$11),IF($E$11="",9E+99,$E$11)),0))))</f>
        <v/>
      </c>
      <c r="K85" s="20">
        <f>IF(G85="","",IF(OR($D$12="",$H$12="X",G85&lt;N($C$12)),0,IF(B85="G마켓",ROUNDDOWN(MIN(IF($D$12&gt;=1,MIN($D$12,G85),G85*$D$12),IF($E$12="",9E+99,$E$12)),0),ROUNDUP(MIN(IF($D$12&gt;=1,MIN($D$12,G85),G85*$D$12),IF($E$12="",9E+99,$E$12)),0))))</f>
        <v/>
      </c>
      <c r="L85" s="20">
        <f>IF(G85="","",IF(OR($D$13="",$H$13="X",G85&lt;N($C$13)),0,IF(B85="G마켓",ROUNDDOWN(MIN(IF($D$13&gt;=1,MIN($D$13,G85),G85*$D$13),IF($E$13="",9E+99,$E$13)),0),ROUNDUP(MIN(IF($D$13&gt;=1,MIN($D$13,G85),G85*$D$13),IF($E$13="",9E+99,$E$13)),0))))</f>
        <v/>
      </c>
      <c r="M85" s="20">
        <f>IF(G85="","",IF(OR($D$14="",$H$14="X",G85&lt;N($C$14)),0,IF(B85="G마켓",ROUNDDOWN(MIN(IF($D$14&gt;=1,MIN($D$14,G85),G85*$D$14),IF($E$14="",9E+99,$E$14)),0),ROUNDUP(MIN(IF($D$14&gt;=1,MIN($D$14,G85),G85*$D$14),IF($E$14="",9E+99,$E$14)),0))))</f>
        <v/>
      </c>
      <c r="N85" s="19">
        <f>IF(G85="","",G85-MAX(I85:M85))</f>
        <v/>
      </c>
      <c r="O85" s="20">
        <f>IF(N85="","",IF(OR($D$18="",$H$18="X",N85&lt;N($C$18)),0,IF(B85="G마켓",ROUNDDOWN(MIN(IF($D$18&gt;=1,MIN($D$18,N85),N85*$D$18),IF($E$18="",9E+99,$E$18)),0),ROUNDUP(MIN(IF($D$18&gt;=1,MIN($D$18,N85),N85*$D$18),IF($E$18="",9E+99,$E$18)),0))))</f>
        <v/>
      </c>
      <c r="P85" s="20">
        <f>IF(N85="","",IF(OR($D$19="",$H$19="X",N85&lt;N($C$19)),0,IF(B85="G마켓",ROUNDDOWN(MIN(IF($D$19&gt;=1,MIN($D$19,N85),N85*$D$19),IF($E$19="",9E+99,$E$19)),0),ROUNDUP(MIN(IF($D$19&gt;=1,MIN($D$19,N85),N85*$D$19),IF($E$19="",9E+99,$E$19)),0))))</f>
        <v/>
      </c>
      <c r="Q85" s="20">
        <f>IF(N85="","",IF(OR($D$20="",$H$20="X",N85&lt;N($C$20)),0,IF(B85="G마켓",ROUNDDOWN(MIN(IF($D$20&gt;=1,MIN($D$20,N85),N85*$D$20),IF($E$20="",9E+99,$E$20)),0),ROUNDUP(MIN(IF($D$20&gt;=1,MIN($D$20,N85),N85*$D$20),IF($E$20="",9E+99,$E$20)),0))))</f>
        <v/>
      </c>
      <c r="R85" s="20">
        <f>IF(N85="","",IF(OR($D$21="",$H$21="X",N85&lt;N($C$21)),0,IF(B85="G마켓",ROUNDDOWN(MIN(IF($D$21&gt;=1,MIN($D$21,N85),N85*$D$21),IF($E$21="",9E+99,$E$21)),0),ROUNDUP(MIN(IF($D$21&gt;=1,MIN($D$21,N85),N85*$D$21),IF($E$21="",9E+99,$E$21)),0))))</f>
        <v/>
      </c>
      <c r="S85" s="19">
        <f>IF(G85="","",N85-MAX(O85:R85))</f>
        <v/>
      </c>
      <c r="T85" s="20">
        <f>IF(S85="","",IF(OR($D$25="",S85&lt;N($C$25)),0,IF(B85="G마켓",ROUNDDOWN(MIN(IF($D$25&gt;=1,MIN($D$25,S85),S85*$D$25),IF($E$25="",9E+99,$E$25)),0),ROUNDUP(MIN(IF($D$25&gt;=1,MIN($D$25,S85),S85*$D$25),IF($E$25="",9E+99,$E$25)),0))))</f>
        <v/>
      </c>
      <c r="U85" s="20">
        <f>IF(S85="","",IF(OR($D$26="",S85&lt;N($C$26)),0,IF(B85="G마켓",ROUNDDOWN(MIN(IF($D$26&gt;=1,MIN($D$26,S85),S85*$D$26),IF($E$26="",9E+99,$E$26)),0),ROUNDUP(MIN(IF($D$26&gt;=1,MIN($D$26,S85),S85*$D$26),IF($E$26="",9E+99,$E$26)),0))))</f>
        <v/>
      </c>
      <c r="V85" s="20">
        <f>IF(S85="","",IF(OR($D$27="",S85&lt;N($C$27)),0,IF(B85="G마켓",ROUNDDOWN(MIN(IF($D$27&gt;=1,MIN($D$27,S85),S85*$D$27),IF($E$27="",9E+99,$E$27)),0),ROUNDUP(MIN(IF($D$27&gt;=1,MIN($D$27,S85),S85*$D$27),IF($E$27="",9E+99,$E$27)),0))))</f>
        <v/>
      </c>
      <c r="W85" s="19">
        <f>IF(G85="","",MAX(T85:V85))</f>
        <v/>
      </c>
      <c r="X85" s="21">
        <f>IF(G85="","",S85-W85)</f>
        <v/>
      </c>
      <c r="Y85" s="19">
        <f>IF(G85="","",IF(B85="G마켓",ROUNDDOWN(MAX(I85*N($G$10),J85*N($G$11),K85*N($G$12),L85*N($G$13),M85*N($G$14))+MAX(O85*N($G$18),P85*N($G$19),Q85*N($G$20),R85*N($G$21))+MAX(T85*N($G$25),U85*N($G$26),V85*N($G$27)),0),ROUNDUP(MAX(I85*N($G$10),J85*N($G$11),K85*N($G$12),L85*N($G$13),M85*N($G$14))+MAX(O85*N($G$18),P85*N($G$19),Q85*N($G$20),R85*N($G$21))+MAX(T85*N($G$25),U85*N($G$26),V85*N($G$27)),0)))</f>
        <v/>
      </c>
      <c r="Z85" s="21">
        <f>IF(G85="","",IF(B85="G마켓",ROUNDDOWN(G85-G85*$Q$6-Y85,0),ROUNDUP(G85-G85*$Q$6-Y85,0)))</f>
        <v/>
      </c>
    </row>
    <row r="86">
      <c r="B86" s="7" t="n"/>
      <c r="C86" s="7" t="n"/>
      <c r="D86" s="22" t="n"/>
      <c r="E86" s="23" t="n"/>
      <c r="F86" s="23" t="n"/>
      <c r="G86" s="19">
        <f>IF(E86="","",E86-N(F86))</f>
        <v/>
      </c>
      <c r="I86" s="20">
        <f>IF(G86="","",IF(OR($D$10="",$H$10="X",G86&lt;N($C$10)),0,IF(B86="G마켓",ROUNDDOWN(MIN(IF($D$10&gt;=1,MIN($D$10,G86),G86*$D$10),IF($E$10="",9E+99,$E$10)),0),ROUNDUP(MIN(IF($D$10&gt;=1,MIN($D$10,G86),G86*$D$10),IF($E$10="",9E+99,$E$10)),0))))</f>
        <v/>
      </c>
      <c r="J86" s="20">
        <f>IF(G86="","",IF(OR($D$11="",$H$11="X",G86&lt;N($C$11)),0,IF(B86="G마켓",ROUNDDOWN(MIN(IF($D$11&gt;=1,MIN($D$11,G86),G86*$D$11),IF($E$11="",9E+99,$E$11)),0),ROUNDUP(MIN(IF($D$11&gt;=1,MIN($D$11,G86),G86*$D$11),IF($E$11="",9E+99,$E$11)),0))))</f>
        <v/>
      </c>
      <c r="K86" s="20">
        <f>IF(G86="","",IF(OR($D$12="",$H$12="X",G86&lt;N($C$12)),0,IF(B86="G마켓",ROUNDDOWN(MIN(IF($D$12&gt;=1,MIN($D$12,G86),G86*$D$12),IF($E$12="",9E+99,$E$12)),0),ROUNDUP(MIN(IF($D$12&gt;=1,MIN($D$12,G86),G86*$D$12),IF($E$12="",9E+99,$E$12)),0))))</f>
        <v/>
      </c>
      <c r="L86" s="20">
        <f>IF(G86="","",IF(OR($D$13="",$H$13="X",G86&lt;N($C$13)),0,IF(B86="G마켓",ROUNDDOWN(MIN(IF($D$13&gt;=1,MIN($D$13,G86),G86*$D$13),IF($E$13="",9E+99,$E$13)),0),ROUNDUP(MIN(IF($D$13&gt;=1,MIN($D$13,G86),G86*$D$13),IF($E$13="",9E+99,$E$13)),0))))</f>
        <v/>
      </c>
      <c r="M86" s="20">
        <f>IF(G86="","",IF(OR($D$14="",$H$14="X",G86&lt;N($C$14)),0,IF(B86="G마켓",ROUNDDOWN(MIN(IF($D$14&gt;=1,MIN($D$14,G86),G86*$D$14),IF($E$14="",9E+99,$E$14)),0),ROUNDUP(MIN(IF($D$14&gt;=1,MIN($D$14,G86),G86*$D$14),IF($E$14="",9E+99,$E$14)),0))))</f>
        <v/>
      </c>
      <c r="N86" s="19">
        <f>IF(G86="","",G86-MAX(I86:M86))</f>
        <v/>
      </c>
      <c r="O86" s="20">
        <f>IF(N86="","",IF(OR($D$18="",$H$18="X",N86&lt;N($C$18)),0,IF(B86="G마켓",ROUNDDOWN(MIN(IF($D$18&gt;=1,MIN($D$18,N86),N86*$D$18),IF($E$18="",9E+99,$E$18)),0),ROUNDUP(MIN(IF($D$18&gt;=1,MIN($D$18,N86),N86*$D$18),IF($E$18="",9E+99,$E$18)),0))))</f>
        <v/>
      </c>
      <c r="P86" s="20">
        <f>IF(N86="","",IF(OR($D$19="",$H$19="X",N86&lt;N($C$19)),0,IF(B86="G마켓",ROUNDDOWN(MIN(IF($D$19&gt;=1,MIN($D$19,N86),N86*$D$19),IF($E$19="",9E+99,$E$19)),0),ROUNDUP(MIN(IF($D$19&gt;=1,MIN($D$19,N86),N86*$D$19),IF($E$19="",9E+99,$E$19)),0))))</f>
        <v/>
      </c>
      <c r="Q86" s="20">
        <f>IF(N86="","",IF(OR($D$20="",$H$20="X",N86&lt;N($C$20)),0,IF(B86="G마켓",ROUNDDOWN(MIN(IF($D$20&gt;=1,MIN($D$20,N86),N86*$D$20),IF($E$20="",9E+99,$E$20)),0),ROUNDUP(MIN(IF($D$20&gt;=1,MIN($D$20,N86),N86*$D$20),IF($E$20="",9E+99,$E$20)),0))))</f>
        <v/>
      </c>
      <c r="R86" s="20">
        <f>IF(N86="","",IF(OR($D$21="",$H$21="X",N86&lt;N($C$21)),0,IF(B86="G마켓",ROUNDDOWN(MIN(IF($D$21&gt;=1,MIN($D$21,N86),N86*$D$21),IF($E$21="",9E+99,$E$21)),0),ROUNDUP(MIN(IF($D$21&gt;=1,MIN($D$21,N86),N86*$D$21),IF($E$21="",9E+99,$E$21)),0))))</f>
        <v/>
      </c>
      <c r="S86" s="19">
        <f>IF(G86="","",N86-MAX(O86:R86))</f>
        <v/>
      </c>
      <c r="T86" s="20">
        <f>IF(S86="","",IF(OR($D$25="",S86&lt;N($C$25)),0,IF(B86="G마켓",ROUNDDOWN(MIN(IF($D$25&gt;=1,MIN($D$25,S86),S86*$D$25),IF($E$25="",9E+99,$E$25)),0),ROUNDUP(MIN(IF($D$25&gt;=1,MIN($D$25,S86),S86*$D$25),IF($E$25="",9E+99,$E$25)),0))))</f>
        <v/>
      </c>
      <c r="U86" s="20">
        <f>IF(S86="","",IF(OR($D$26="",S86&lt;N($C$26)),0,IF(B86="G마켓",ROUNDDOWN(MIN(IF($D$26&gt;=1,MIN($D$26,S86),S86*$D$26),IF($E$26="",9E+99,$E$26)),0),ROUNDUP(MIN(IF($D$26&gt;=1,MIN($D$26,S86),S86*$D$26),IF($E$26="",9E+99,$E$26)),0))))</f>
        <v/>
      </c>
      <c r="V86" s="20">
        <f>IF(S86="","",IF(OR($D$27="",S86&lt;N($C$27)),0,IF(B86="G마켓",ROUNDDOWN(MIN(IF($D$27&gt;=1,MIN($D$27,S86),S86*$D$27),IF($E$27="",9E+99,$E$27)),0),ROUNDUP(MIN(IF($D$27&gt;=1,MIN($D$27,S86),S86*$D$27),IF($E$27="",9E+99,$E$27)),0))))</f>
        <v/>
      </c>
      <c r="W86" s="19">
        <f>IF(G86="","",MAX(T86:V86))</f>
        <v/>
      </c>
      <c r="X86" s="21">
        <f>IF(G86="","",S86-W86)</f>
        <v/>
      </c>
      <c r="Y86" s="19">
        <f>IF(G86="","",IF(B86="G마켓",ROUNDDOWN(MAX(I86*N($G$10),J86*N($G$11),K86*N($G$12),L86*N($G$13),M86*N($G$14))+MAX(O86*N($G$18),P86*N($G$19),Q86*N($G$20),R86*N($G$21))+MAX(T86*N($G$25),U86*N($G$26),V86*N($G$27)),0),ROUNDUP(MAX(I86*N($G$10),J86*N($G$11),K86*N($G$12),L86*N($G$13),M86*N($G$14))+MAX(O86*N($G$18),P86*N($G$19),Q86*N($G$20),R86*N($G$21))+MAX(T86*N($G$25),U86*N($G$26),V86*N($G$27)),0)))</f>
        <v/>
      </c>
      <c r="Z86" s="21">
        <f>IF(G86="","",IF(B86="G마켓",ROUNDDOWN(G86-G86*$Q$6-Y86,0),ROUNDUP(G86-G86*$Q$6-Y86,0)))</f>
        <v/>
      </c>
    </row>
    <row r="87">
      <c r="B87" s="7" t="n"/>
      <c r="C87" s="7" t="n"/>
      <c r="D87" s="22" t="n"/>
      <c r="E87" s="23" t="n"/>
      <c r="F87" s="23" t="n"/>
      <c r="G87" s="19">
        <f>IF(E87="","",E87-N(F87))</f>
        <v/>
      </c>
      <c r="I87" s="20">
        <f>IF(G87="","",IF(OR($D$10="",$H$10="X",G87&lt;N($C$10)),0,IF(B87="G마켓",ROUNDDOWN(MIN(IF($D$10&gt;=1,MIN($D$10,G87),G87*$D$10),IF($E$10="",9E+99,$E$10)),0),ROUNDUP(MIN(IF($D$10&gt;=1,MIN($D$10,G87),G87*$D$10),IF($E$10="",9E+99,$E$10)),0))))</f>
        <v/>
      </c>
      <c r="J87" s="20">
        <f>IF(G87="","",IF(OR($D$11="",$H$11="X",G87&lt;N($C$11)),0,IF(B87="G마켓",ROUNDDOWN(MIN(IF($D$11&gt;=1,MIN($D$11,G87),G87*$D$11),IF($E$11="",9E+99,$E$11)),0),ROUNDUP(MIN(IF($D$11&gt;=1,MIN($D$11,G87),G87*$D$11),IF($E$11="",9E+99,$E$11)),0))))</f>
        <v/>
      </c>
      <c r="K87" s="20">
        <f>IF(G87="","",IF(OR($D$12="",$H$12="X",G87&lt;N($C$12)),0,IF(B87="G마켓",ROUNDDOWN(MIN(IF($D$12&gt;=1,MIN($D$12,G87),G87*$D$12),IF($E$12="",9E+99,$E$12)),0),ROUNDUP(MIN(IF($D$12&gt;=1,MIN($D$12,G87),G87*$D$12),IF($E$12="",9E+99,$E$12)),0))))</f>
        <v/>
      </c>
      <c r="L87" s="20">
        <f>IF(G87="","",IF(OR($D$13="",$H$13="X",G87&lt;N($C$13)),0,IF(B87="G마켓",ROUNDDOWN(MIN(IF($D$13&gt;=1,MIN($D$13,G87),G87*$D$13),IF($E$13="",9E+99,$E$13)),0),ROUNDUP(MIN(IF($D$13&gt;=1,MIN($D$13,G87),G87*$D$13),IF($E$13="",9E+99,$E$13)),0))))</f>
        <v/>
      </c>
      <c r="M87" s="20">
        <f>IF(G87="","",IF(OR($D$14="",$H$14="X",G87&lt;N($C$14)),0,IF(B87="G마켓",ROUNDDOWN(MIN(IF($D$14&gt;=1,MIN($D$14,G87),G87*$D$14),IF($E$14="",9E+99,$E$14)),0),ROUNDUP(MIN(IF($D$14&gt;=1,MIN($D$14,G87),G87*$D$14),IF($E$14="",9E+99,$E$14)),0))))</f>
        <v/>
      </c>
      <c r="N87" s="19">
        <f>IF(G87="","",G87-MAX(I87:M87))</f>
        <v/>
      </c>
      <c r="O87" s="20">
        <f>IF(N87="","",IF(OR($D$18="",$H$18="X",N87&lt;N($C$18)),0,IF(B87="G마켓",ROUNDDOWN(MIN(IF($D$18&gt;=1,MIN($D$18,N87),N87*$D$18),IF($E$18="",9E+99,$E$18)),0),ROUNDUP(MIN(IF($D$18&gt;=1,MIN($D$18,N87),N87*$D$18),IF($E$18="",9E+99,$E$18)),0))))</f>
        <v/>
      </c>
      <c r="P87" s="20">
        <f>IF(N87="","",IF(OR($D$19="",$H$19="X",N87&lt;N($C$19)),0,IF(B87="G마켓",ROUNDDOWN(MIN(IF($D$19&gt;=1,MIN($D$19,N87),N87*$D$19),IF($E$19="",9E+99,$E$19)),0),ROUNDUP(MIN(IF($D$19&gt;=1,MIN($D$19,N87),N87*$D$19),IF($E$19="",9E+99,$E$19)),0))))</f>
        <v/>
      </c>
      <c r="Q87" s="20">
        <f>IF(N87="","",IF(OR($D$20="",$H$20="X",N87&lt;N($C$20)),0,IF(B87="G마켓",ROUNDDOWN(MIN(IF($D$20&gt;=1,MIN($D$20,N87),N87*$D$20),IF($E$20="",9E+99,$E$20)),0),ROUNDUP(MIN(IF($D$20&gt;=1,MIN($D$20,N87),N87*$D$20),IF($E$20="",9E+99,$E$20)),0))))</f>
        <v/>
      </c>
      <c r="R87" s="20">
        <f>IF(N87="","",IF(OR($D$21="",$H$21="X",N87&lt;N($C$21)),0,IF(B87="G마켓",ROUNDDOWN(MIN(IF($D$21&gt;=1,MIN($D$21,N87),N87*$D$21),IF($E$21="",9E+99,$E$21)),0),ROUNDUP(MIN(IF($D$21&gt;=1,MIN($D$21,N87),N87*$D$21),IF($E$21="",9E+99,$E$21)),0))))</f>
        <v/>
      </c>
      <c r="S87" s="19">
        <f>IF(G87="","",N87-MAX(O87:R87))</f>
        <v/>
      </c>
      <c r="T87" s="20">
        <f>IF(S87="","",IF(OR($D$25="",S87&lt;N($C$25)),0,IF(B87="G마켓",ROUNDDOWN(MIN(IF($D$25&gt;=1,MIN($D$25,S87),S87*$D$25),IF($E$25="",9E+99,$E$25)),0),ROUNDUP(MIN(IF($D$25&gt;=1,MIN($D$25,S87),S87*$D$25),IF($E$25="",9E+99,$E$25)),0))))</f>
        <v/>
      </c>
      <c r="U87" s="20">
        <f>IF(S87="","",IF(OR($D$26="",S87&lt;N($C$26)),0,IF(B87="G마켓",ROUNDDOWN(MIN(IF($D$26&gt;=1,MIN($D$26,S87),S87*$D$26),IF($E$26="",9E+99,$E$26)),0),ROUNDUP(MIN(IF($D$26&gt;=1,MIN($D$26,S87),S87*$D$26),IF($E$26="",9E+99,$E$26)),0))))</f>
        <v/>
      </c>
      <c r="V87" s="20">
        <f>IF(S87="","",IF(OR($D$27="",S87&lt;N($C$27)),0,IF(B87="G마켓",ROUNDDOWN(MIN(IF($D$27&gt;=1,MIN($D$27,S87),S87*$D$27),IF($E$27="",9E+99,$E$27)),0),ROUNDUP(MIN(IF($D$27&gt;=1,MIN($D$27,S87),S87*$D$27),IF($E$27="",9E+99,$E$27)),0))))</f>
        <v/>
      </c>
      <c r="W87" s="19">
        <f>IF(G87="","",MAX(T87:V87))</f>
        <v/>
      </c>
      <c r="X87" s="21">
        <f>IF(G87="","",S87-W87)</f>
        <v/>
      </c>
      <c r="Y87" s="19">
        <f>IF(G87="","",IF(B87="G마켓",ROUNDDOWN(MAX(I87*N($G$10),J87*N($G$11),K87*N($G$12),L87*N($G$13),M87*N($G$14))+MAX(O87*N($G$18),P87*N($G$19),Q87*N($G$20),R87*N($G$21))+MAX(T87*N($G$25),U87*N($G$26),V87*N($G$27)),0),ROUNDUP(MAX(I87*N($G$10),J87*N($G$11),K87*N($G$12),L87*N($G$13),M87*N($G$14))+MAX(O87*N($G$18),P87*N($G$19),Q87*N($G$20),R87*N($G$21))+MAX(T87*N($G$25),U87*N($G$26),V87*N($G$27)),0)))</f>
        <v/>
      </c>
      <c r="Z87" s="21">
        <f>IF(G87="","",IF(B87="G마켓",ROUNDDOWN(G87-G87*$Q$6-Y87,0),ROUNDUP(G87-G87*$Q$6-Y87,0)))</f>
        <v/>
      </c>
    </row>
    <row r="88">
      <c r="B88" s="7" t="n"/>
      <c r="C88" s="7" t="n"/>
      <c r="D88" s="22" t="n"/>
      <c r="E88" s="23" t="n"/>
      <c r="F88" s="23" t="n"/>
      <c r="G88" s="19">
        <f>IF(E88="","",E88-N(F88))</f>
        <v/>
      </c>
      <c r="I88" s="20">
        <f>IF(G88="","",IF(OR($D$10="",$H$10="X",G88&lt;N($C$10)),0,IF(B88="G마켓",ROUNDDOWN(MIN(IF($D$10&gt;=1,MIN($D$10,G88),G88*$D$10),IF($E$10="",9E+99,$E$10)),0),ROUNDUP(MIN(IF($D$10&gt;=1,MIN($D$10,G88),G88*$D$10),IF($E$10="",9E+99,$E$10)),0))))</f>
        <v/>
      </c>
      <c r="J88" s="20">
        <f>IF(G88="","",IF(OR($D$11="",$H$11="X",G88&lt;N($C$11)),0,IF(B88="G마켓",ROUNDDOWN(MIN(IF($D$11&gt;=1,MIN($D$11,G88),G88*$D$11),IF($E$11="",9E+99,$E$11)),0),ROUNDUP(MIN(IF($D$11&gt;=1,MIN($D$11,G88),G88*$D$11),IF($E$11="",9E+99,$E$11)),0))))</f>
        <v/>
      </c>
      <c r="K88" s="20">
        <f>IF(G88="","",IF(OR($D$12="",$H$12="X",G88&lt;N($C$12)),0,IF(B88="G마켓",ROUNDDOWN(MIN(IF($D$12&gt;=1,MIN($D$12,G88),G88*$D$12),IF($E$12="",9E+99,$E$12)),0),ROUNDUP(MIN(IF($D$12&gt;=1,MIN($D$12,G88),G88*$D$12),IF($E$12="",9E+99,$E$12)),0))))</f>
        <v/>
      </c>
      <c r="L88" s="20">
        <f>IF(G88="","",IF(OR($D$13="",$H$13="X",G88&lt;N($C$13)),0,IF(B88="G마켓",ROUNDDOWN(MIN(IF($D$13&gt;=1,MIN($D$13,G88),G88*$D$13),IF($E$13="",9E+99,$E$13)),0),ROUNDUP(MIN(IF($D$13&gt;=1,MIN($D$13,G88),G88*$D$13),IF($E$13="",9E+99,$E$13)),0))))</f>
        <v/>
      </c>
      <c r="M88" s="20">
        <f>IF(G88="","",IF(OR($D$14="",$H$14="X",G88&lt;N($C$14)),0,IF(B88="G마켓",ROUNDDOWN(MIN(IF($D$14&gt;=1,MIN($D$14,G88),G88*$D$14),IF($E$14="",9E+99,$E$14)),0),ROUNDUP(MIN(IF($D$14&gt;=1,MIN($D$14,G88),G88*$D$14),IF($E$14="",9E+99,$E$14)),0))))</f>
        <v/>
      </c>
      <c r="N88" s="19">
        <f>IF(G88="","",G88-MAX(I88:M88))</f>
        <v/>
      </c>
      <c r="O88" s="20">
        <f>IF(N88="","",IF(OR($D$18="",$H$18="X",N88&lt;N($C$18)),0,IF(B88="G마켓",ROUNDDOWN(MIN(IF($D$18&gt;=1,MIN($D$18,N88),N88*$D$18),IF($E$18="",9E+99,$E$18)),0),ROUNDUP(MIN(IF($D$18&gt;=1,MIN($D$18,N88),N88*$D$18),IF($E$18="",9E+99,$E$18)),0))))</f>
        <v/>
      </c>
      <c r="P88" s="20">
        <f>IF(N88="","",IF(OR($D$19="",$H$19="X",N88&lt;N($C$19)),0,IF(B88="G마켓",ROUNDDOWN(MIN(IF($D$19&gt;=1,MIN($D$19,N88),N88*$D$19),IF($E$19="",9E+99,$E$19)),0),ROUNDUP(MIN(IF($D$19&gt;=1,MIN($D$19,N88),N88*$D$19),IF($E$19="",9E+99,$E$19)),0))))</f>
        <v/>
      </c>
      <c r="Q88" s="20">
        <f>IF(N88="","",IF(OR($D$20="",$H$20="X",N88&lt;N($C$20)),0,IF(B88="G마켓",ROUNDDOWN(MIN(IF($D$20&gt;=1,MIN($D$20,N88),N88*$D$20),IF($E$20="",9E+99,$E$20)),0),ROUNDUP(MIN(IF($D$20&gt;=1,MIN($D$20,N88),N88*$D$20),IF($E$20="",9E+99,$E$20)),0))))</f>
        <v/>
      </c>
      <c r="R88" s="20">
        <f>IF(N88="","",IF(OR($D$21="",$H$21="X",N88&lt;N($C$21)),0,IF(B88="G마켓",ROUNDDOWN(MIN(IF($D$21&gt;=1,MIN($D$21,N88),N88*$D$21),IF($E$21="",9E+99,$E$21)),0),ROUNDUP(MIN(IF($D$21&gt;=1,MIN($D$21,N88),N88*$D$21),IF($E$21="",9E+99,$E$21)),0))))</f>
        <v/>
      </c>
      <c r="S88" s="19">
        <f>IF(G88="","",N88-MAX(O88:R88))</f>
        <v/>
      </c>
      <c r="T88" s="20">
        <f>IF(S88="","",IF(OR($D$25="",S88&lt;N($C$25)),0,IF(B88="G마켓",ROUNDDOWN(MIN(IF($D$25&gt;=1,MIN($D$25,S88),S88*$D$25),IF($E$25="",9E+99,$E$25)),0),ROUNDUP(MIN(IF($D$25&gt;=1,MIN($D$25,S88),S88*$D$25),IF($E$25="",9E+99,$E$25)),0))))</f>
        <v/>
      </c>
      <c r="U88" s="20">
        <f>IF(S88="","",IF(OR($D$26="",S88&lt;N($C$26)),0,IF(B88="G마켓",ROUNDDOWN(MIN(IF($D$26&gt;=1,MIN($D$26,S88),S88*$D$26),IF($E$26="",9E+99,$E$26)),0),ROUNDUP(MIN(IF($D$26&gt;=1,MIN($D$26,S88),S88*$D$26),IF($E$26="",9E+99,$E$26)),0))))</f>
        <v/>
      </c>
      <c r="V88" s="20">
        <f>IF(S88="","",IF(OR($D$27="",S88&lt;N($C$27)),0,IF(B88="G마켓",ROUNDDOWN(MIN(IF($D$27&gt;=1,MIN($D$27,S88),S88*$D$27),IF($E$27="",9E+99,$E$27)),0),ROUNDUP(MIN(IF($D$27&gt;=1,MIN($D$27,S88),S88*$D$27),IF($E$27="",9E+99,$E$27)),0))))</f>
        <v/>
      </c>
      <c r="W88" s="19">
        <f>IF(G88="","",MAX(T88:V88))</f>
        <v/>
      </c>
      <c r="X88" s="21">
        <f>IF(G88="","",S88-W88)</f>
        <v/>
      </c>
      <c r="Y88" s="19">
        <f>IF(G88="","",IF(B88="G마켓",ROUNDDOWN(MAX(I88*N($G$10),J88*N($G$11),K88*N($G$12),L88*N($G$13),M88*N($G$14))+MAX(O88*N($G$18),P88*N($G$19),Q88*N($G$20),R88*N($G$21))+MAX(T88*N($G$25),U88*N($G$26),V88*N($G$27)),0),ROUNDUP(MAX(I88*N($G$10),J88*N($G$11),K88*N($G$12),L88*N($G$13),M88*N($G$14))+MAX(O88*N($G$18),P88*N($G$19),Q88*N($G$20),R88*N($G$21))+MAX(T88*N($G$25),U88*N($G$26),V88*N($G$27)),0)))</f>
        <v/>
      </c>
      <c r="Z88" s="21">
        <f>IF(G88="","",IF(B88="G마켓",ROUNDDOWN(G88-G88*$Q$6-Y88,0),ROUNDUP(G88-G88*$Q$6-Y88,0)))</f>
        <v/>
      </c>
    </row>
    <row r="89">
      <c r="B89" s="7" t="n"/>
      <c r="C89" s="7" t="n"/>
      <c r="D89" s="22" t="n"/>
      <c r="E89" s="23" t="n"/>
      <c r="F89" s="23" t="n"/>
      <c r="G89" s="19">
        <f>IF(E89="","",E89-N(F89))</f>
        <v/>
      </c>
      <c r="I89" s="20">
        <f>IF(G89="","",IF(OR($D$10="",$H$10="X",G89&lt;N($C$10)),0,IF(B89="G마켓",ROUNDDOWN(MIN(IF($D$10&gt;=1,MIN($D$10,G89),G89*$D$10),IF($E$10="",9E+99,$E$10)),0),ROUNDUP(MIN(IF($D$10&gt;=1,MIN($D$10,G89),G89*$D$10),IF($E$10="",9E+99,$E$10)),0))))</f>
        <v/>
      </c>
      <c r="J89" s="20">
        <f>IF(G89="","",IF(OR($D$11="",$H$11="X",G89&lt;N($C$11)),0,IF(B89="G마켓",ROUNDDOWN(MIN(IF($D$11&gt;=1,MIN($D$11,G89),G89*$D$11),IF($E$11="",9E+99,$E$11)),0),ROUNDUP(MIN(IF($D$11&gt;=1,MIN($D$11,G89),G89*$D$11),IF($E$11="",9E+99,$E$11)),0))))</f>
        <v/>
      </c>
      <c r="K89" s="20">
        <f>IF(G89="","",IF(OR($D$12="",$H$12="X",G89&lt;N($C$12)),0,IF(B89="G마켓",ROUNDDOWN(MIN(IF($D$12&gt;=1,MIN($D$12,G89),G89*$D$12),IF($E$12="",9E+99,$E$12)),0),ROUNDUP(MIN(IF($D$12&gt;=1,MIN($D$12,G89),G89*$D$12),IF($E$12="",9E+99,$E$12)),0))))</f>
        <v/>
      </c>
      <c r="L89" s="20">
        <f>IF(G89="","",IF(OR($D$13="",$H$13="X",G89&lt;N($C$13)),0,IF(B89="G마켓",ROUNDDOWN(MIN(IF($D$13&gt;=1,MIN($D$13,G89),G89*$D$13),IF($E$13="",9E+99,$E$13)),0),ROUNDUP(MIN(IF($D$13&gt;=1,MIN($D$13,G89),G89*$D$13),IF($E$13="",9E+99,$E$13)),0))))</f>
        <v/>
      </c>
      <c r="M89" s="20">
        <f>IF(G89="","",IF(OR($D$14="",$H$14="X",G89&lt;N($C$14)),0,IF(B89="G마켓",ROUNDDOWN(MIN(IF($D$14&gt;=1,MIN($D$14,G89),G89*$D$14),IF($E$14="",9E+99,$E$14)),0),ROUNDUP(MIN(IF($D$14&gt;=1,MIN($D$14,G89),G89*$D$14),IF($E$14="",9E+99,$E$14)),0))))</f>
        <v/>
      </c>
      <c r="N89" s="19">
        <f>IF(G89="","",G89-MAX(I89:M89))</f>
        <v/>
      </c>
      <c r="O89" s="20">
        <f>IF(N89="","",IF(OR($D$18="",$H$18="X",N89&lt;N($C$18)),0,IF(B89="G마켓",ROUNDDOWN(MIN(IF($D$18&gt;=1,MIN($D$18,N89),N89*$D$18),IF($E$18="",9E+99,$E$18)),0),ROUNDUP(MIN(IF($D$18&gt;=1,MIN($D$18,N89),N89*$D$18),IF($E$18="",9E+99,$E$18)),0))))</f>
        <v/>
      </c>
      <c r="P89" s="20">
        <f>IF(N89="","",IF(OR($D$19="",$H$19="X",N89&lt;N($C$19)),0,IF(B89="G마켓",ROUNDDOWN(MIN(IF($D$19&gt;=1,MIN($D$19,N89),N89*$D$19),IF($E$19="",9E+99,$E$19)),0),ROUNDUP(MIN(IF($D$19&gt;=1,MIN($D$19,N89),N89*$D$19),IF($E$19="",9E+99,$E$19)),0))))</f>
        <v/>
      </c>
      <c r="Q89" s="20">
        <f>IF(N89="","",IF(OR($D$20="",$H$20="X",N89&lt;N($C$20)),0,IF(B89="G마켓",ROUNDDOWN(MIN(IF($D$20&gt;=1,MIN($D$20,N89),N89*$D$20),IF($E$20="",9E+99,$E$20)),0),ROUNDUP(MIN(IF($D$20&gt;=1,MIN($D$20,N89),N89*$D$20),IF($E$20="",9E+99,$E$20)),0))))</f>
        <v/>
      </c>
      <c r="R89" s="20">
        <f>IF(N89="","",IF(OR($D$21="",$H$21="X",N89&lt;N($C$21)),0,IF(B89="G마켓",ROUNDDOWN(MIN(IF($D$21&gt;=1,MIN($D$21,N89),N89*$D$21),IF($E$21="",9E+99,$E$21)),0),ROUNDUP(MIN(IF($D$21&gt;=1,MIN($D$21,N89),N89*$D$21),IF($E$21="",9E+99,$E$21)),0))))</f>
        <v/>
      </c>
      <c r="S89" s="19">
        <f>IF(G89="","",N89-MAX(O89:R89))</f>
        <v/>
      </c>
      <c r="T89" s="20">
        <f>IF(S89="","",IF(OR($D$25="",S89&lt;N($C$25)),0,IF(B89="G마켓",ROUNDDOWN(MIN(IF($D$25&gt;=1,MIN($D$25,S89),S89*$D$25),IF($E$25="",9E+99,$E$25)),0),ROUNDUP(MIN(IF($D$25&gt;=1,MIN($D$25,S89),S89*$D$25),IF($E$25="",9E+99,$E$25)),0))))</f>
        <v/>
      </c>
      <c r="U89" s="20">
        <f>IF(S89="","",IF(OR($D$26="",S89&lt;N($C$26)),0,IF(B89="G마켓",ROUNDDOWN(MIN(IF($D$26&gt;=1,MIN($D$26,S89),S89*$D$26),IF($E$26="",9E+99,$E$26)),0),ROUNDUP(MIN(IF($D$26&gt;=1,MIN($D$26,S89),S89*$D$26),IF($E$26="",9E+99,$E$26)),0))))</f>
        <v/>
      </c>
      <c r="V89" s="20">
        <f>IF(S89="","",IF(OR($D$27="",S89&lt;N($C$27)),0,IF(B89="G마켓",ROUNDDOWN(MIN(IF($D$27&gt;=1,MIN($D$27,S89),S89*$D$27),IF($E$27="",9E+99,$E$27)),0),ROUNDUP(MIN(IF($D$27&gt;=1,MIN($D$27,S89),S89*$D$27),IF($E$27="",9E+99,$E$27)),0))))</f>
        <v/>
      </c>
      <c r="W89" s="19">
        <f>IF(G89="","",MAX(T89:V89))</f>
        <v/>
      </c>
      <c r="X89" s="21">
        <f>IF(G89="","",S89-W89)</f>
        <v/>
      </c>
      <c r="Y89" s="19">
        <f>IF(G89="","",IF(B89="G마켓",ROUNDDOWN(MAX(I89*N($G$10),J89*N($G$11),K89*N($G$12),L89*N($G$13),M89*N($G$14))+MAX(O89*N($G$18),P89*N($G$19),Q89*N($G$20),R89*N($G$21))+MAX(T89*N($G$25),U89*N($G$26),V89*N($G$27)),0),ROUNDUP(MAX(I89*N($G$10),J89*N($G$11),K89*N($G$12),L89*N($G$13),M89*N($G$14))+MAX(O89*N($G$18),P89*N($G$19),Q89*N($G$20),R89*N($G$21))+MAX(T89*N($G$25),U89*N($G$26),V89*N($G$27)),0)))</f>
        <v/>
      </c>
      <c r="Z89" s="21">
        <f>IF(G89="","",IF(B89="G마켓",ROUNDDOWN(G89-G89*$Q$6-Y89,0),ROUNDUP(G89-G89*$Q$6-Y89,0)))</f>
        <v/>
      </c>
    </row>
    <row r="90">
      <c r="B90" s="7" t="n"/>
      <c r="C90" s="7" t="n"/>
      <c r="D90" s="22" t="n"/>
      <c r="E90" s="23" t="n"/>
      <c r="F90" s="23" t="n"/>
      <c r="G90" s="19">
        <f>IF(E90="","",E90-N(F90))</f>
        <v/>
      </c>
      <c r="I90" s="20">
        <f>IF(G90="","",IF(OR($D$10="",$H$10="X",G90&lt;N($C$10)),0,IF(B90="G마켓",ROUNDDOWN(MIN(IF($D$10&gt;=1,MIN($D$10,G90),G90*$D$10),IF($E$10="",9E+99,$E$10)),0),ROUNDUP(MIN(IF($D$10&gt;=1,MIN($D$10,G90),G90*$D$10),IF($E$10="",9E+99,$E$10)),0))))</f>
        <v/>
      </c>
      <c r="J90" s="20">
        <f>IF(G90="","",IF(OR($D$11="",$H$11="X",G90&lt;N($C$11)),0,IF(B90="G마켓",ROUNDDOWN(MIN(IF($D$11&gt;=1,MIN($D$11,G90),G90*$D$11),IF($E$11="",9E+99,$E$11)),0),ROUNDUP(MIN(IF($D$11&gt;=1,MIN($D$11,G90),G90*$D$11),IF($E$11="",9E+99,$E$11)),0))))</f>
        <v/>
      </c>
      <c r="K90" s="20">
        <f>IF(G90="","",IF(OR($D$12="",$H$12="X",G90&lt;N($C$12)),0,IF(B90="G마켓",ROUNDDOWN(MIN(IF($D$12&gt;=1,MIN($D$12,G90),G90*$D$12),IF($E$12="",9E+99,$E$12)),0),ROUNDUP(MIN(IF($D$12&gt;=1,MIN($D$12,G90),G90*$D$12),IF($E$12="",9E+99,$E$12)),0))))</f>
        <v/>
      </c>
      <c r="L90" s="20">
        <f>IF(G90="","",IF(OR($D$13="",$H$13="X",G90&lt;N($C$13)),0,IF(B90="G마켓",ROUNDDOWN(MIN(IF($D$13&gt;=1,MIN($D$13,G90),G90*$D$13),IF($E$13="",9E+99,$E$13)),0),ROUNDUP(MIN(IF($D$13&gt;=1,MIN($D$13,G90),G90*$D$13),IF($E$13="",9E+99,$E$13)),0))))</f>
        <v/>
      </c>
      <c r="M90" s="20">
        <f>IF(G90="","",IF(OR($D$14="",$H$14="X",G90&lt;N($C$14)),0,IF(B90="G마켓",ROUNDDOWN(MIN(IF($D$14&gt;=1,MIN($D$14,G90),G90*$D$14),IF($E$14="",9E+99,$E$14)),0),ROUNDUP(MIN(IF($D$14&gt;=1,MIN($D$14,G90),G90*$D$14),IF($E$14="",9E+99,$E$14)),0))))</f>
        <v/>
      </c>
      <c r="N90" s="19">
        <f>IF(G90="","",G90-MAX(I90:M90))</f>
        <v/>
      </c>
      <c r="O90" s="20">
        <f>IF(N90="","",IF(OR($D$18="",$H$18="X",N90&lt;N($C$18)),0,IF(B90="G마켓",ROUNDDOWN(MIN(IF($D$18&gt;=1,MIN($D$18,N90),N90*$D$18),IF($E$18="",9E+99,$E$18)),0),ROUNDUP(MIN(IF($D$18&gt;=1,MIN($D$18,N90),N90*$D$18),IF($E$18="",9E+99,$E$18)),0))))</f>
        <v/>
      </c>
      <c r="P90" s="20">
        <f>IF(N90="","",IF(OR($D$19="",$H$19="X",N90&lt;N($C$19)),0,IF(B90="G마켓",ROUNDDOWN(MIN(IF($D$19&gt;=1,MIN($D$19,N90),N90*$D$19),IF($E$19="",9E+99,$E$19)),0),ROUNDUP(MIN(IF($D$19&gt;=1,MIN($D$19,N90),N90*$D$19),IF($E$19="",9E+99,$E$19)),0))))</f>
        <v/>
      </c>
      <c r="Q90" s="20">
        <f>IF(N90="","",IF(OR($D$20="",$H$20="X",N90&lt;N($C$20)),0,IF(B90="G마켓",ROUNDDOWN(MIN(IF($D$20&gt;=1,MIN($D$20,N90),N90*$D$20),IF($E$20="",9E+99,$E$20)),0),ROUNDUP(MIN(IF($D$20&gt;=1,MIN($D$20,N90),N90*$D$20),IF($E$20="",9E+99,$E$20)),0))))</f>
        <v/>
      </c>
      <c r="R90" s="20">
        <f>IF(N90="","",IF(OR($D$21="",$H$21="X",N90&lt;N($C$21)),0,IF(B90="G마켓",ROUNDDOWN(MIN(IF($D$21&gt;=1,MIN($D$21,N90),N90*$D$21),IF($E$21="",9E+99,$E$21)),0),ROUNDUP(MIN(IF($D$21&gt;=1,MIN($D$21,N90),N90*$D$21),IF($E$21="",9E+99,$E$21)),0))))</f>
        <v/>
      </c>
      <c r="S90" s="19">
        <f>IF(G90="","",N90-MAX(O90:R90))</f>
        <v/>
      </c>
      <c r="T90" s="20">
        <f>IF(S90="","",IF(OR($D$25="",S90&lt;N($C$25)),0,IF(B90="G마켓",ROUNDDOWN(MIN(IF($D$25&gt;=1,MIN($D$25,S90),S90*$D$25),IF($E$25="",9E+99,$E$25)),0),ROUNDUP(MIN(IF($D$25&gt;=1,MIN($D$25,S90),S90*$D$25),IF($E$25="",9E+99,$E$25)),0))))</f>
        <v/>
      </c>
      <c r="U90" s="20">
        <f>IF(S90="","",IF(OR($D$26="",S90&lt;N($C$26)),0,IF(B90="G마켓",ROUNDDOWN(MIN(IF($D$26&gt;=1,MIN($D$26,S90),S90*$D$26),IF($E$26="",9E+99,$E$26)),0),ROUNDUP(MIN(IF($D$26&gt;=1,MIN($D$26,S90),S90*$D$26),IF($E$26="",9E+99,$E$26)),0))))</f>
        <v/>
      </c>
      <c r="V90" s="20">
        <f>IF(S90="","",IF(OR($D$27="",S90&lt;N($C$27)),0,IF(B90="G마켓",ROUNDDOWN(MIN(IF($D$27&gt;=1,MIN($D$27,S90),S90*$D$27),IF($E$27="",9E+99,$E$27)),0),ROUNDUP(MIN(IF($D$27&gt;=1,MIN($D$27,S90),S90*$D$27),IF($E$27="",9E+99,$E$27)),0))))</f>
        <v/>
      </c>
      <c r="W90" s="19">
        <f>IF(G90="","",MAX(T90:V90))</f>
        <v/>
      </c>
      <c r="X90" s="21">
        <f>IF(G90="","",S90-W90)</f>
        <v/>
      </c>
      <c r="Y90" s="19">
        <f>IF(G90="","",IF(B90="G마켓",ROUNDDOWN(MAX(I90*N($G$10),J90*N($G$11),K90*N($G$12),L90*N($G$13),M90*N($G$14))+MAX(O90*N($G$18),P90*N($G$19),Q90*N($G$20),R90*N($G$21))+MAX(T90*N($G$25),U90*N($G$26),V90*N($G$27)),0),ROUNDUP(MAX(I90*N($G$10),J90*N($G$11),K90*N($G$12),L90*N($G$13),M90*N($G$14))+MAX(O90*N($G$18),P90*N($G$19),Q90*N($G$20),R90*N($G$21))+MAX(T90*N($G$25),U90*N($G$26),V90*N($G$27)),0)))</f>
        <v/>
      </c>
      <c r="Z90" s="21">
        <f>IF(G90="","",IF(B90="G마켓",ROUNDDOWN(G90-G90*$Q$6-Y90,0),ROUNDUP(G90-G90*$Q$6-Y90,0)))</f>
        <v/>
      </c>
    </row>
    <row r="91">
      <c r="B91" s="7" t="n"/>
      <c r="C91" s="7" t="n"/>
      <c r="D91" s="22" t="n"/>
      <c r="E91" s="23" t="n"/>
      <c r="F91" s="23" t="n"/>
      <c r="G91" s="19">
        <f>IF(E91="","",E91-N(F91))</f>
        <v/>
      </c>
      <c r="I91" s="20">
        <f>IF(G91="","",IF(OR($D$10="",$H$10="X",G91&lt;N($C$10)),0,IF(B91="G마켓",ROUNDDOWN(MIN(IF($D$10&gt;=1,MIN($D$10,G91),G91*$D$10),IF($E$10="",9E+99,$E$10)),0),ROUNDUP(MIN(IF($D$10&gt;=1,MIN($D$10,G91),G91*$D$10),IF($E$10="",9E+99,$E$10)),0))))</f>
        <v/>
      </c>
      <c r="J91" s="20">
        <f>IF(G91="","",IF(OR($D$11="",$H$11="X",G91&lt;N($C$11)),0,IF(B91="G마켓",ROUNDDOWN(MIN(IF($D$11&gt;=1,MIN($D$11,G91),G91*$D$11),IF($E$11="",9E+99,$E$11)),0),ROUNDUP(MIN(IF($D$11&gt;=1,MIN($D$11,G91),G91*$D$11),IF($E$11="",9E+99,$E$11)),0))))</f>
        <v/>
      </c>
      <c r="K91" s="20">
        <f>IF(G91="","",IF(OR($D$12="",$H$12="X",G91&lt;N($C$12)),0,IF(B91="G마켓",ROUNDDOWN(MIN(IF($D$12&gt;=1,MIN($D$12,G91),G91*$D$12),IF($E$12="",9E+99,$E$12)),0),ROUNDUP(MIN(IF($D$12&gt;=1,MIN($D$12,G91),G91*$D$12),IF($E$12="",9E+99,$E$12)),0))))</f>
        <v/>
      </c>
      <c r="L91" s="20">
        <f>IF(G91="","",IF(OR($D$13="",$H$13="X",G91&lt;N($C$13)),0,IF(B91="G마켓",ROUNDDOWN(MIN(IF($D$13&gt;=1,MIN($D$13,G91),G91*$D$13),IF($E$13="",9E+99,$E$13)),0),ROUNDUP(MIN(IF($D$13&gt;=1,MIN($D$13,G91),G91*$D$13),IF($E$13="",9E+99,$E$13)),0))))</f>
        <v/>
      </c>
      <c r="M91" s="20">
        <f>IF(G91="","",IF(OR($D$14="",$H$14="X",G91&lt;N($C$14)),0,IF(B91="G마켓",ROUNDDOWN(MIN(IF($D$14&gt;=1,MIN($D$14,G91),G91*$D$14),IF($E$14="",9E+99,$E$14)),0),ROUNDUP(MIN(IF($D$14&gt;=1,MIN($D$14,G91),G91*$D$14),IF($E$14="",9E+99,$E$14)),0))))</f>
        <v/>
      </c>
      <c r="N91" s="19">
        <f>IF(G91="","",G91-MAX(I91:M91))</f>
        <v/>
      </c>
      <c r="O91" s="20">
        <f>IF(N91="","",IF(OR($D$18="",$H$18="X",N91&lt;N($C$18)),0,IF(B91="G마켓",ROUNDDOWN(MIN(IF($D$18&gt;=1,MIN($D$18,N91),N91*$D$18),IF($E$18="",9E+99,$E$18)),0),ROUNDUP(MIN(IF($D$18&gt;=1,MIN($D$18,N91),N91*$D$18),IF($E$18="",9E+99,$E$18)),0))))</f>
        <v/>
      </c>
      <c r="P91" s="20">
        <f>IF(N91="","",IF(OR($D$19="",$H$19="X",N91&lt;N($C$19)),0,IF(B91="G마켓",ROUNDDOWN(MIN(IF($D$19&gt;=1,MIN($D$19,N91),N91*$D$19),IF($E$19="",9E+99,$E$19)),0),ROUNDUP(MIN(IF($D$19&gt;=1,MIN($D$19,N91),N91*$D$19),IF($E$19="",9E+99,$E$19)),0))))</f>
        <v/>
      </c>
      <c r="Q91" s="20">
        <f>IF(N91="","",IF(OR($D$20="",$H$20="X",N91&lt;N($C$20)),0,IF(B91="G마켓",ROUNDDOWN(MIN(IF($D$20&gt;=1,MIN($D$20,N91),N91*$D$20),IF($E$20="",9E+99,$E$20)),0),ROUNDUP(MIN(IF($D$20&gt;=1,MIN($D$20,N91),N91*$D$20),IF($E$20="",9E+99,$E$20)),0))))</f>
        <v/>
      </c>
      <c r="R91" s="20">
        <f>IF(N91="","",IF(OR($D$21="",$H$21="X",N91&lt;N($C$21)),0,IF(B91="G마켓",ROUNDDOWN(MIN(IF($D$21&gt;=1,MIN($D$21,N91),N91*$D$21),IF($E$21="",9E+99,$E$21)),0),ROUNDUP(MIN(IF($D$21&gt;=1,MIN($D$21,N91),N91*$D$21),IF($E$21="",9E+99,$E$21)),0))))</f>
        <v/>
      </c>
      <c r="S91" s="19">
        <f>IF(G91="","",N91-MAX(O91:R91))</f>
        <v/>
      </c>
      <c r="T91" s="20">
        <f>IF(S91="","",IF(OR($D$25="",S91&lt;N($C$25)),0,IF(B91="G마켓",ROUNDDOWN(MIN(IF($D$25&gt;=1,MIN($D$25,S91),S91*$D$25),IF($E$25="",9E+99,$E$25)),0),ROUNDUP(MIN(IF($D$25&gt;=1,MIN($D$25,S91),S91*$D$25),IF($E$25="",9E+99,$E$25)),0))))</f>
        <v/>
      </c>
      <c r="U91" s="20">
        <f>IF(S91="","",IF(OR($D$26="",S91&lt;N($C$26)),0,IF(B91="G마켓",ROUNDDOWN(MIN(IF($D$26&gt;=1,MIN($D$26,S91),S91*$D$26),IF($E$26="",9E+99,$E$26)),0),ROUNDUP(MIN(IF($D$26&gt;=1,MIN($D$26,S91),S91*$D$26),IF($E$26="",9E+99,$E$26)),0))))</f>
        <v/>
      </c>
      <c r="V91" s="20">
        <f>IF(S91="","",IF(OR($D$27="",S91&lt;N($C$27)),0,IF(B91="G마켓",ROUNDDOWN(MIN(IF($D$27&gt;=1,MIN($D$27,S91),S91*$D$27),IF($E$27="",9E+99,$E$27)),0),ROUNDUP(MIN(IF($D$27&gt;=1,MIN($D$27,S91),S91*$D$27),IF($E$27="",9E+99,$E$27)),0))))</f>
        <v/>
      </c>
      <c r="W91" s="19">
        <f>IF(G91="","",MAX(T91:V91))</f>
        <v/>
      </c>
      <c r="X91" s="21">
        <f>IF(G91="","",S91-W91)</f>
        <v/>
      </c>
      <c r="Y91" s="19">
        <f>IF(G91="","",IF(B91="G마켓",ROUNDDOWN(MAX(I91*N($G$10),J91*N($G$11),K91*N($G$12),L91*N($G$13),M91*N($G$14))+MAX(O91*N($G$18),P91*N($G$19),Q91*N($G$20),R91*N($G$21))+MAX(T91*N($G$25),U91*N($G$26),V91*N($G$27)),0),ROUNDUP(MAX(I91*N($G$10),J91*N($G$11),K91*N($G$12),L91*N($G$13),M91*N($G$14))+MAX(O91*N($G$18),P91*N($G$19),Q91*N($G$20),R91*N($G$21))+MAX(T91*N($G$25),U91*N($G$26),V91*N($G$27)),0)))</f>
        <v/>
      </c>
      <c r="Z91" s="21">
        <f>IF(G91="","",IF(B91="G마켓",ROUNDDOWN(G91-G91*$Q$6-Y91,0),ROUNDUP(G91-G91*$Q$6-Y91,0)))</f>
        <v/>
      </c>
    </row>
    <row r="92">
      <c r="B92" s="7" t="n"/>
      <c r="C92" s="7" t="n"/>
      <c r="D92" s="22" t="n"/>
      <c r="E92" s="23" t="n"/>
      <c r="F92" s="23" t="n"/>
      <c r="G92" s="19">
        <f>IF(E92="","",E92-N(F92))</f>
        <v/>
      </c>
      <c r="I92" s="20">
        <f>IF(G92="","",IF(OR($D$10="",$H$10="X",G92&lt;N($C$10)),0,IF(B92="G마켓",ROUNDDOWN(MIN(IF($D$10&gt;=1,MIN($D$10,G92),G92*$D$10),IF($E$10="",9E+99,$E$10)),0),ROUNDUP(MIN(IF($D$10&gt;=1,MIN($D$10,G92),G92*$D$10),IF($E$10="",9E+99,$E$10)),0))))</f>
        <v/>
      </c>
      <c r="J92" s="20">
        <f>IF(G92="","",IF(OR($D$11="",$H$11="X",G92&lt;N($C$11)),0,IF(B92="G마켓",ROUNDDOWN(MIN(IF($D$11&gt;=1,MIN($D$11,G92),G92*$D$11),IF($E$11="",9E+99,$E$11)),0),ROUNDUP(MIN(IF($D$11&gt;=1,MIN($D$11,G92),G92*$D$11),IF($E$11="",9E+99,$E$11)),0))))</f>
        <v/>
      </c>
      <c r="K92" s="20">
        <f>IF(G92="","",IF(OR($D$12="",$H$12="X",G92&lt;N($C$12)),0,IF(B92="G마켓",ROUNDDOWN(MIN(IF($D$12&gt;=1,MIN($D$12,G92),G92*$D$12),IF($E$12="",9E+99,$E$12)),0),ROUNDUP(MIN(IF($D$12&gt;=1,MIN($D$12,G92),G92*$D$12),IF($E$12="",9E+99,$E$12)),0))))</f>
        <v/>
      </c>
      <c r="L92" s="20">
        <f>IF(G92="","",IF(OR($D$13="",$H$13="X",G92&lt;N($C$13)),0,IF(B92="G마켓",ROUNDDOWN(MIN(IF($D$13&gt;=1,MIN($D$13,G92),G92*$D$13),IF($E$13="",9E+99,$E$13)),0),ROUNDUP(MIN(IF($D$13&gt;=1,MIN($D$13,G92),G92*$D$13),IF($E$13="",9E+99,$E$13)),0))))</f>
        <v/>
      </c>
      <c r="M92" s="20">
        <f>IF(G92="","",IF(OR($D$14="",$H$14="X",G92&lt;N($C$14)),0,IF(B92="G마켓",ROUNDDOWN(MIN(IF($D$14&gt;=1,MIN($D$14,G92),G92*$D$14),IF($E$14="",9E+99,$E$14)),0),ROUNDUP(MIN(IF($D$14&gt;=1,MIN($D$14,G92),G92*$D$14),IF($E$14="",9E+99,$E$14)),0))))</f>
        <v/>
      </c>
      <c r="N92" s="19">
        <f>IF(G92="","",G92-MAX(I92:M92))</f>
        <v/>
      </c>
      <c r="O92" s="20">
        <f>IF(N92="","",IF(OR($D$18="",$H$18="X",N92&lt;N($C$18)),0,IF(B92="G마켓",ROUNDDOWN(MIN(IF($D$18&gt;=1,MIN($D$18,N92),N92*$D$18),IF($E$18="",9E+99,$E$18)),0),ROUNDUP(MIN(IF($D$18&gt;=1,MIN($D$18,N92),N92*$D$18),IF($E$18="",9E+99,$E$18)),0))))</f>
        <v/>
      </c>
      <c r="P92" s="20">
        <f>IF(N92="","",IF(OR($D$19="",$H$19="X",N92&lt;N($C$19)),0,IF(B92="G마켓",ROUNDDOWN(MIN(IF($D$19&gt;=1,MIN($D$19,N92),N92*$D$19),IF($E$19="",9E+99,$E$19)),0),ROUNDUP(MIN(IF($D$19&gt;=1,MIN($D$19,N92),N92*$D$19),IF($E$19="",9E+99,$E$19)),0))))</f>
        <v/>
      </c>
      <c r="Q92" s="20">
        <f>IF(N92="","",IF(OR($D$20="",$H$20="X",N92&lt;N($C$20)),0,IF(B92="G마켓",ROUNDDOWN(MIN(IF($D$20&gt;=1,MIN($D$20,N92),N92*$D$20),IF($E$20="",9E+99,$E$20)),0),ROUNDUP(MIN(IF($D$20&gt;=1,MIN($D$20,N92),N92*$D$20),IF($E$20="",9E+99,$E$20)),0))))</f>
        <v/>
      </c>
      <c r="R92" s="20">
        <f>IF(N92="","",IF(OR($D$21="",$H$21="X",N92&lt;N($C$21)),0,IF(B92="G마켓",ROUNDDOWN(MIN(IF($D$21&gt;=1,MIN($D$21,N92),N92*$D$21),IF($E$21="",9E+99,$E$21)),0),ROUNDUP(MIN(IF($D$21&gt;=1,MIN($D$21,N92),N92*$D$21),IF($E$21="",9E+99,$E$21)),0))))</f>
        <v/>
      </c>
      <c r="S92" s="19">
        <f>IF(G92="","",N92-MAX(O92:R92))</f>
        <v/>
      </c>
      <c r="T92" s="20">
        <f>IF(S92="","",IF(OR($D$25="",S92&lt;N($C$25)),0,IF(B92="G마켓",ROUNDDOWN(MIN(IF($D$25&gt;=1,MIN($D$25,S92),S92*$D$25),IF($E$25="",9E+99,$E$25)),0),ROUNDUP(MIN(IF($D$25&gt;=1,MIN($D$25,S92),S92*$D$25),IF($E$25="",9E+99,$E$25)),0))))</f>
        <v/>
      </c>
      <c r="U92" s="20">
        <f>IF(S92="","",IF(OR($D$26="",S92&lt;N($C$26)),0,IF(B92="G마켓",ROUNDDOWN(MIN(IF($D$26&gt;=1,MIN($D$26,S92),S92*$D$26),IF($E$26="",9E+99,$E$26)),0),ROUNDUP(MIN(IF($D$26&gt;=1,MIN($D$26,S92),S92*$D$26),IF($E$26="",9E+99,$E$26)),0))))</f>
        <v/>
      </c>
      <c r="V92" s="20">
        <f>IF(S92="","",IF(OR($D$27="",S92&lt;N($C$27)),0,IF(B92="G마켓",ROUNDDOWN(MIN(IF($D$27&gt;=1,MIN($D$27,S92),S92*$D$27),IF($E$27="",9E+99,$E$27)),0),ROUNDUP(MIN(IF($D$27&gt;=1,MIN($D$27,S92),S92*$D$27),IF($E$27="",9E+99,$E$27)),0))))</f>
        <v/>
      </c>
      <c r="W92" s="19">
        <f>IF(G92="","",MAX(T92:V92))</f>
        <v/>
      </c>
      <c r="X92" s="21">
        <f>IF(G92="","",S92-W92)</f>
        <v/>
      </c>
      <c r="Y92" s="19">
        <f>IF(G92="","",IF(B92="G마켓",ROUNDDOWN(MAX(I92*N($G$10),J92*N($G$11),K92*N($G$12),L92*N($G$13),M92*N($G$14))+MAX(O92*N($G$18),P92*N($G$19),Q92*N($G$20),R92*N($G$21))+MAX(T92*N($G$25),U92*N($G$26),V92*N($G$27)),0),ROUNDUP(MAX(I92*N($G$10),J92*N($G$11),K92*N($G$12),L92*N($G$13),M92*N($G$14))+MAX(O92*N($G$18),P92*N($G$19),Q92*N($G$20),R92*N($G$21))+MAX(T92*N($G$25),U92*N($G$26),V92*N($G$27)),0)))</f>
        <v/>
      </c>
      <c r="Z92" s="21">
        <f>IF(G92="","",IF(B92="G마켓",ROUNDDOWN(G92-G92*$Q$6-Y92,0),ROUNDUP(G92-G92*$Q$6-Y92,0)))</f>
        <v/>
      </c>
    </row>
    <row r="93">
      <c r="B93" s="7" t="n"/>
      <c r="C93" s="7" t="n"/>
      <c r="D93" s="22" t="n"/>
      <c r="E93" s="23" t="n"/>
      <c r="F93" s="23" t="n"/>
      <c r="G93" s="19">
        <f>IF(E93="","",E93-N(F93))</f>
        <v/>
      </c>
      <c r="I93" s="20">
        <f>IF(G93="","",IF(OR($D$10="",$H$10="X",G93&lt;N($C$10)),0,IF(B93="G마켓",ROUNDDOWN(MIN(IF($D$10&gt;=1,MIN($D$10,G93),G93*$D$10),IF($E$10="",9E+99,$E$10)),0),ROUNDUP(MIN(IF($D$10&gt;=1,MIN($D$10,G93),G93*$D$10),IF($E$10="",9E+99,$E$10)),0))))</f>
        <v/>
      </c>
      <c r="J93" s="20">
        <f>IF(G93="","",IF(OR($D$11="",$H$11="X",G93&lt;N($C$11)),0,IF(B93="G마켓",ROUNDDOWN(MIN(IF($D$11&gt;=1,MIN($D$11,G93),G93*$D$11),IF($E$11="",9E+99,$E$11)),0),ROUNDUP(MIN(IF($D$11&gt;=1,MIN($D$11,G93),G93*$D$11),IF($E$11="",9E+99,$E$11)),0))))</f>
        <v/>
      </c>
      <c r="K93" s="20">
        <f>IF(G93="","",IF(OR($D$12="",$H$12="X",G93&lt;N($C$12)),0,IF(B93="G마켓",ROUNDDOWN(MIN(IF($D$12&gt;=1,MIN($D$12,G93),G93*$D$12),IF($E$12="",9E+99,$E$12)),0),ROUNDUP(MIN(IF($D$12&gt;=1,MIN($D$12,G93),G93*$D$12),IF($E$12="",9E+99,$E$12)),0))))</f>
        <v/>
      </c>
      <c r="L93" s="20">
        <f>IF(G93="","",IF(OR($D$13="",$H$13="X",G93&lt;N($C$13)),0,IF(B93="G마켓",ROUNDDOWN(MIN(IF($D$13&gt;=1,MIN($D$13,G93),G93*$D$13),IF($E$13="",9E+99,$E$13)),0),ROUNDUP(MIN(IF($D$13&gt;=1,MIN($D$13,G93),G93*$D$13),IF($E$13="",9E+99,$E$13)),0))))</f>
        <v/>
      </c>
      <c r="M93" s="20">
        <f>IF(G93="","",IF(OR($D$14="",$H$14="X",G93&lt;N($C$14)),0,IF(B93="G마켓",ROUNDDOWN(MIN(IF($D$14&gt;=1,MIN($D$14,G93),G93*$D$14),IF($E$14="",9E+99,$E$14)),0),ROUNDUP(MIN(IF($D$14&gt;=1,MIN($D$14,G93),G93*$D$14),IF($E$14="",9E+99,$E$14)),0))))</f>
        <v/>
      </c>
      <c r="N93" s="19">
        <f>IF(G93="","",G93-MAX(I93:M93))</f>
        <v/>
      </c>
      <c r="O93" s="20">
        <f>IF(N93="","",IF(OR($D$18="",$H$18="X",N93&lt;N($C$18)),0,IF(B93="G마켓",ROUNDDOWN(MIN(IF($D$18&gt;=1,MIN($D$18,N93),N93*$D$18),IF($E$18="",9E+99,$E$18)),0),ROUNDUP(MIN(IF($D$18&gt;=1,MIN($D$18,N93),N93*$D$18),IF($E$18="",9E+99,$E$18)),0))))</f>
        <v/>
      </c>
      <c r="P93" s="20">
        <f>IF(N93="","",IF(OR($D$19="",$H$19="X",N93&lt;N($C$19)),0,IF(B93="G마켓",ROUNDDOWN(MIN(IF($D$19&gt;=1,MIN($D$19,N93),N93*$D$19),IF($E$19="",9E+99,$E$19)),0),ROUNDUP(MIN(IF($D$19&gt;=1,MIN($D$19,N93),N93*$D$19),IF($E$19="",9E+99,$E$19)),0))))</f>
        <v/>
      </c>
      <c r="Q93" s="20">
        <f>IF(N93="","",IF(OR($D$20="",$H$20="X",N93&lt;N($C$20)),0,IF(B93="G마켓",ROUNDDOWN(MIN(IF($D$20&gt;=1,MIN($D$20,N93),N93*$D$20),IF($E$20="",9E+99,$E$20)),0),ROUNDUP(MIN(IF($D$20&gt;=1,MIN($D$20,N93),N93*$D$20),IF($E$20="",9E+99,$E$20)),0))))</f>
        <v/>
      </c>
      <c r="R93" s="20">
        <f>IF(N93="","",IF(OR($D$21="",$H$21="X",N93&lt;N($C$21)),0,IF(B93="G마켓",ROUNDDOWN(MIN(IF($D$21&gt;=1,MIN($D$21,N93),N93*$D$21),IF($E$21="",9E+99,$E$21)),0),ROUNDUP(MIN(IF($D$21&gt;=1,MIN($D$21,N93),N93*$D$21),IF($E$21="",9E+99,$E$21)),0))))</f>
        <v/>
      </c>
      <c r="S93" s="19">
        <f>IF(G93="","",N93-MAX(O93:R93))</f>
        <v/>
      </c>
      <c r="T93" s="20">
        <f>IF(S93="","",IF(OR($D$25="",S93&lt;N($C$25)),0,IF(B93="G마켓",ROUNDDOWN(MIN(IF($D$25&gt;=1,MIN($D$25,S93),S93*$D$25),IF($E$25="",9E+99,$E$25)),0),ROUNDUP(MIN(IF($D$25&gt;=1,MIN($D$25,S93),S93*$D$25),IF($E$25="",9E+99,$E$25)),0))))</f>
        <v/>
      </c>
      <c r="U93" s="20">
        <f>IF(S93="","",IF(OR($D$26="",S93&lt;N($C$26)),0,IF(B93="G마켓",ROUNDDOWN(MIN(IF($D$26&gt;=1,MIN($D$26,S93),S93*$D$26),IF($E$26="",9E+99,$E$26)),0),ROUNDUP(MIN(IF($D$26&gt;=1,MIN($D$26,S93),S93*$D$26),IF($E$26="",9E+99,$E$26)),0))))</f>
        <v/>
      </c>
      <c r="V93" s="20">
        <f>IF(S93="","",IF(OR($D$27="",S93&lt;N($C$27)),0,IF(B93="G마켓",ROUNDDOWN(MIN(IF($D$27&gt;=1,MIN($D$27,S93),S93*$D$27),IF($E$27="",9E+99,$E$27)),0),ROUNDUP(MIN(IF($D$27&gt;=1,MIN($D$27,S93),S93*$D$27),IF($E$27="",9E+99,$E$27)),0))))</f>
        <v/>
      </c>
      <c r="W93" s="19">
        <f>IF(G93="","",MAX(T93:V93))</f>
        <v/>
      </c>
      <c r="X93" s="21">
        <f>IF(G93="","",S93-W93)</f>
        <v/>
      </c>
      <c r="Y93" s="19">
        <f>IF(G93="","",IF(B93="G마켓",ROUNDDOWN(MAX(I93*N($G$10),J93*N($G$11),K93*N($G$12),L93*N($G$13),M93*N($G$14))+MAX(O93*N($G$18),P93*N($G$19),Q93*N($G$20),R93*N($G$21))+MAX(T93*N($G$25),U93*N($G$26),V93*N($G$27)),0),ROUNDUP(MAX(I93*N($G$10),J93*N($G$11),K93*N($G$12),L93*N($G$13),M93*N($G$14))+MAX(O93*N($G$18),P93*N($G$19),Q93*N($G$20),R93*N($G$21))+MAX(T93*N($G$25),U93*N($G$26),V93*N($G$27)),0)))</f>
        <v/>
      </c>
      <c r="Z93" s="21">
        <f>IF(G93="","",IF(B93="G마켓",ROUNDDOWN(G93-G93*$Q$6-Y93,0),ROUNDUP(G93-G93*$Q$6-Y93,0)))</f>
        <v/>
      </c>
    </row>
    <row r="94">
      <c r="B94" s="7" t="n"/>
      <c r="C94" s="7" t="n"/>
      <c r="D94" s="22" t="n"/>
      <c r="E94" s="23" t="n"/>
      <c r="F94" s="23" t="n"/>
      <c r="G94" s="19">
        <f>IF(E94="","",E94-N(F94))</f>
        <v/>
      </c>
      <c r="I94" s="20">
        <f>IF(G94="","",IF(OR($D$10="",$H$10="X",G94&lt;N($C$10)),0,IF(B94="G마켓",ROUNDDOWN(MIN(IF($D$10&gt;=1,MIN($D$10,G94),G94*$D$10),IF($E$10="",9E+99,$E$10)),0),ROUNDUP(MIN(IF($D$10&gt;=1,MIN($D$10,G94),G94*$D$10),IF($E$10="",9E+99,$E$10)),0))))</f>
        <v/>
      </c>
      <c r="J94" s="20">
        <f>IF(G94="","",IF(OR($D$11="",$H$11="X",G94&lt;N($C$11)),0,IF(B94="G마켓",ROUNDDOWN(MIN(IF($D$11&gt;=1,MIN($D$11,G94),G94*$D$11),IF($E$11="",9E+99,$E$11)),0),ROUNDUP(MIN(IF($D$11&gt;=1,MIN($D$11,G94),G94*$D$11),IF($E$11="",9E+99,$E$11)),0))))</f>
        <v/>
      </c>
      <c r="K94" s="20">
        <f>IF(G94="","",IF(OR($D$12="",$H$12="X",G94&lt;N($C$12)),0,IF(B94="G마켓",ROUNDDOWN(MIN(IF($D$12&gt;=1,MIN($D$12,G94),G94*$D$12),IF($E$12="",9E+99,$E$12)),0),ROUNDUP(MIN(IF($D$12&gt;=1,MIN($D$12,G94),G94*$D$12),IF($E$12="",9E+99,$E$12)),0))))</f>
        <v/>
      </c>
      <c r="L94" s="20">
        <f>IF(G94="","",IF(OR($D$13="",$H$13="X",G94&lt;N($C$13)),0,IF(B94="G마켓",ROUNDDOWN(MIN(IF($D$13&gt;=1,MIN($D$13,G94),G94*$D$13),IF($E$13="",9E+99,$E$13)),0),ROUNDUP(MIN(IF($D$13&gt;=1,MIN($D$13,G94),G94*$D$13),IF($E$13="",9E+99,$E$13)),0))))</f>
        <v/>
      </c>
      <c r="M94" s="20">
        <f>IF(G94="","",IF(OR($D$14="",$H$14="X",G94&lt;N($C$14)),0,IF(B94="G마켓",ROUNDDOWN(MIN(IF($D$14&gt;=1,MIN($D$14,G94),G94*$D$14),IF($E$14="",9E+99,$E$14)),0),ROUNDUP(MIN(IF($D$14&gt;=1,MIN($D$14,G94),G94*$D$14),IF($E$14="",9E+99,$E$14)),0))))</f>
        <v/>
      </c>
      <c r="N94" s="19">
        <f>IF(G94="","",G94-MAX(I94:M94))</f>
        <v/>
      </c>
      <c r="O94" s="20">
        <f>IF(N94="","",IF(OR($D$18="",$H$18="X",N94&lt;N($C$18)),0,IF(B94="G마켓",ROUNDDOWN(MIN(IF($D$18&gt;=1,MIN($D$18,N94),N94*$D$18),IF($E$18="",9E+99,$E$18)),0),ROUNDUP(MIN(IF($D$18&gt;=1,MIN($D$18,N94),N94*$D$18),IF($E$18="",9E+99,$E$18)),0))))</f>
        <v/>
      </c>
      <c r="P94" s="20">
        <f>IF(N94="","",IF(OR($D$19="",$H$19="X",N94&lt;N($C$19)),0,IF(B94="G마켓",ROUNDDOWN(MIN(IF($D$19&gt;=1,MIN($D$19,N94),N94*$D$19),IF($E$19="",9E+99,$E$19)),0),ROUNDUP(MIN(IF($D$19&gt;=1,MIN($D$19,N94),N94*$D$19),IF($E$19="",9E+99,$E$19)),0))))</f>
        <v/>
      </c>
      <c r="Q94" s="20">
        <f>IF(N94="","",IF(OR($D$20="",$H$20="X",N94&lt;N($C$20)),0,IF(B94="G마켓",ROUNDDOWN(MIN(IF($D$20&gt;=1,MIN($D$20,N94),N94*$D$20),IF($E$20="",9E+99,$E$20)),0),ROUNDUP(MIN(IF($D$20&gt;=1,MIN($D$20,N94),N94*$D$20),IF($E$20="",9E+99,$E$20)),0))))</f>
        <v/>
      </c>
      <c r="R94" s="20">
        <f>IF(N94="","",IF(OR($D$21="",$H$21="X",N94&lt;N($C$21)),0,IF(B94="G마켓",ROUNDDOWN(MIN(IF($D$21&gt;=1,MIN($D$21,N94),N94*$D$21),IF($E$21="",9E+99,$E$21)),0),ROUNDUP(MIN(IF($D$21&gt;=1,MIN($D$21,N94),N94*$D$21),IF($E$21="",9E+99,$E$21)),0))))</f>
        <v/>
      </c>
      <c r="S94" s="19">
        <f>IF(G94="","",N94-MAX(O94:R94))</f>
        <v/>
      </c>
      <c r="T94" s="20">
        <f>IF(S94="","",IF(OR($D$25="",S94&lt;N($C$25)),0,IF(B94="G마켓",ROUNDDOWN(MIN(IF($D$25&gt;=1,MIN($D$25,S94),S94*$D$25),IF($E$25="",9E+99,$E$25)),0),ROUNDUP(MIN(IF($D$25&gt;=1,MIN($D$25,S94),S94*$D$25),IF($E$25="",9E+99,$E$25)),0))))</f>
        <v/>
      </c>
      <c r="U94" s="20">
        <f>IF(S94="","",IF(OR($D$26="",S94&lt;N($C$26)),0,IF(B94="G마켓",ROUNDDOWN(MIN(IF($D$26&gt;=1,MIN($D$26,S94),S94*$D$26),IF($E$26="",9E+99,$E$26)),0),ROUNDUP(MIN(IF($D$26&gt;=1,MIN($D$26,S94),S94*$D$26),IF($E$26="",9E+99,$E$26)),0))))</f>
        <v/>
      </c>
      <c r="V94" s="20">
        <f>IF(S94="","",IF(OR($D$27="",S94&lt;N($C$27)),0,IF(B94="G마켓",ROUNDDOWN(MIN(IF($D$27&gt;=1,MIN($D$27,S94),S94*$D$27),IF($E$27="",9E+99,$E$27)),0),ROUNDUP(MIN(IF($D$27&gt;=1,MIN($D$27,S94),S94*$D$27),IF($E$27="",9E+99,$E$27)),0))))</f>
        <v/>
      </c>
      <c r="W94" s="19">
        <f>IF(G94="","",MAX(T94:V94))</f>
        <v/>
      </c>
      <c r="X94" s="21">
        <f>IF(G94="","",S94-W94)</f>
        <v/>
      </c>
      <c r="Y94" s="19">
        <f>IF(G94="","",IF(B94="G마켓",ROUNDDOWN(MAX(I94*N($G$10),J94*N($G$11),K94*N($G$12),L94*N($G$13),M94*N($G$14))+MAX(O94*N($G$18),P94*N($G$19),Q94*N($G$20),R94*N($G$21))+MAX(T94*N($G$25),U94*N($G$26),V94*N($G$27)),0),ROUNDUP(MAX(I94*N($G$10),J94*N($G$11),K94*N($G$12),L94*N($G$13),M94*N($G$14))+MAX(O94*N($G$18),P94*N($G$19),Q94*N($G$20),R94*N($G$21))+MAX(T94*N($G$25),U94*N($G$26),V94*N($G$27)),0)))</f>
        <v/>
      </c>
      <c r="Z94" s="21">
        <f>IF(G94="","",IF(B94="G마켓",ROUNDDOWN(G94-G94*$Q$6-Y94,0),ROUNDUP(G94-G94*$Q$6-Y94,0)))</f>
        <v/>
      </c>
    </row>
    <row r="95">
      <c r="B95" s="7" t="n"/>
      <c r="C95" s="7" t="n"/>
      <c r="D95" s="22" t="n"/>
      <c r="E95" s="23" t="n"/>
      <c r="F95" s="23" t="n"/>
      <c r="G95" s="19">
        <f>IF(E95="","",E95-N(F95))</f>
        <v/>
      </c>
      <c r="I95" s="20">
        <f>IF(G95="","",IF(OR($D$10="",$H$10="X",G95&lt;N($C$10)),0,IF(B95="G마켓",ROUNDDOWN(MIN(IF($D$10&gt;=1,MIN($D$10,G95),G95*$D$10),IF($E$10="",9E+99,$E$10)),0),ROUNDUP(MIN(IF($D$10&gt;=1,MIN($D$10,G95),G95*$D$10),IF($E$10="",9E+99,$E$10)),0))))</f>
        <v/>
      </c>
      <c r="J95" s="20">
        <f>IF(G95="","",IF(OR($D$11="",$H$11="X",G95&lt;N($C$11)),0,IF(B95="G마켓",ROUNDDOWN(MIN(IF($D$11&gt;=1,MIN($D$11,G95),G95*$D$11),IF($E$11="",9E+99,$E$11)),0),ROUNDUP(MIN(IF($D$11&gt;=1,MIN($D$11,G95),G95*$D$11),IF($E$11="",9E+99,$E$11)),0))))</f>
        <v/>
      </c>
      <c r="K95" s="20">
        <f>IF(G95="","",IF(OR($D$12="",$H$12="X",G95&lt;N($C$12)),0,IF(B95="G마켓",ROUNDDOWN(MIN(IF($D$12&gt;=1,MIN($D$12,G95),G95*$D$12),IF($E$12="",9E+99,$E$12)),0),ROUNDUP(MIN(IF($D$12&gt;=1,MIN($D$12,G95),G95*$D$12),IF($E$12="",9E+99,$E$12)),0))))</f>
        <v/>
      </c>
      <c r="L95" s="20">
        <f>IF(G95="","",IF(OR($D$13="",$H$13="X",G95&lt;N($C$13)),0,IF(B95="G마켓",ROUNDDOWN(MIN(IF($D$13&gt;=1,MIN($D$13,G95),G95*$D$13),IF($E$13="",9E+99,$E$13)),0),ROUNDUP(MIN(IF($D$13&gt;=1,MIN($D$13,G95),G95*$D$13),IF($E$13="",9E+99,$E$13)),0))))</f>
        <v/>
      </c>
      <c r="M95" s="20">
        <f>IF(G95="","",IF(OR($D$14="",$H$14="X",G95&lt;N($C$14)),0,IF(B95="G마켓",ROUNDDOWN(MIN(IF($D$14&gt;=1,MIN($D$14,G95),G95*$D$14),IF($E$14="",9E+99,$E$14)),0),ROUNDUP(MIN(IF($D$14&gt;=1,MIN($D$14,G95),G95*$D$14),IF($E$14="",9E+99,$E$14)),0))))</f>
        <v/>
      </c>
      <c r="N95" s="19">
        <f>IF(G95="","",G95-MAX(I95:M95))</f>
        <v/>
      </c>
      <c r="O95" s="20">
        <f>IF(N95="","",IF(OR($D$18="",$H$18="X",N95&lt;N($C$18)),0,IF(B95="G마켓",ROUNDDOWN(MIN(IF($D$18&gt;=1,MIN($D$18,N95),N95*$D$18),IF($E$18="",9E+99,$E$18)),0),ROUNDUP(MIN(IF($D$18&gt;=1,MIN($D$18,N95),N95*$D$18),IF($E$18="",9E+99,$E$18)),0))))</f>
        <v/>
      </c>
      <c r="P95" s="20">
        <f>IF(N95="","",IF(OR($D$19="",$H$19="X",N95&lt;N($C$19)),0,IF(B95="G마켓",ROUNDDOWN(MIN(IF($D$19&gt;=1,MIN($D$19,N95),N95*$D$19),IF($E$19="",9E+99,$E$19)),0),ROUNDUP(MIN(IF($D$19&gt;=1,MIN($D$19,N95),N95*$D$19),IF($E$19="",9E+99,$E$19)),0))))</f>
        <v/>
      </c>
      <c r="Q95" s="20">
        <f>IF(N95="","",IF(OR($D$20="",$H$20="X",N95&lt;N($C$20)),0,IF(B95="G마켓",ROUNDDOWN(MIN(IF($D$20&gt;=1,MIN($D$20,N95),N95*$D$20),IF($E$20="",9E+99,$E$20)),0),ROUNDUP(MIN(IF($D$20&gt;=1,MIN($D$20,N95),N95*$D$20),IF($E$20="",9E+99,$E$20)),0))))</f>
        <v/>
      </c>
      <c r="R95" s="20">
        <f>IF(N95="","",IF(OR($D$21="",$H$21="X",N95&lt;N($C$21)),0,IF(B95="G마켓",ROUNDDOWN(MIN(IF($D$21&gt;=1,MIN($D$21,N95),N95*$D$21),IF($E$21="",9E+99,$E$21)),0),ROUNDUP(MIN(IF($D$21&gt;=1,MIN($D$21,N95),N95*$D$21),IF($E$21="",9E+99,$E$21)),0))))</f>
        <v/>
      </c>
      <c r="S95" s="19">
        <f>IF(G95="","",N95-MAX(O95:R95))</f>
        <v/>
      </c>
      <c r="T95" s="20">
        <f>IF(S95="","",IF(OR($D$25="",S95&lt;N($C$25)),0,IF(B95="G마켓",ROUNDDOWN(MIN(IF($D$25&gt;=1,MIN($D$25,S95),S95*$D$25),IF($E$25="",9E+99,$E$25)),0),ROUNDUP(MIN(IF($D$25&gt;=1,MIN($D$25,S95),S95*$D$25),IF($E$25="",9E+99,$E$25)),0))))</f>
        <v/>
      </c>
      <c r="U95" s="20">
        <f>IF(S95="","",IF(OR($D$26="",S95&lt;N($C$26)),0,IF(B95="G마켓",ROUNDDOWN(MIN(IF($D$26&gt;=1,MIN($D$26,S95),S95*$D$26),IF($E$26="",9E+99,$E$26)),0),ROUNDUP(MIN(IF($D$26&gt;=1,MIN($D$26,S95),S95*$D$26),IF($E$26="",9E+99,$E$26)),0))))</f>
        <v/>
      </c>
      <c r="V95" s="20">
        <f>IF(S95="","",IF(OR($D$27="",S95&lt;N($C$27)),0,IF(B95="G마켓",ROUNDDOWN(MIN(IF($D$27&gt;=1,MIN($D$27,S95),S95*$D$27),IF($E$27="",9E+99,$E$27)),0),ROUNDUP(MIN(IF($D$27&gt;=1,MIN($D$27,S95),S95*$D$27),IF($E$27="",9E+99,$E$27)),0))))</f>
        <v/>
      </c>
      <c r="W95" s="19">
        <f>IF(G95="","",MAX(T95:V95))</f>
        <v/>
      </c>
      <c r="X95" s="21">
        <f>IF(G95="","",S95-W95)</f>
        <v/>
      </c>
      <c r="Y95" s="19">
        <f>IF(G95="","",IF(B95="G마켓",ROUNDDOWN(MAX(I95*N($G$10),J95*N($G$11),K95*N($G$12),L95*N($G$13),M95*N($G$14))+MAX(O95*N($G$18),P95*N($G$19),Q95*N($G$20),R95*N($G$21))+MAX(T95*N($G$25),U95*N($G$26),V95*N($G$27)),0),ROUNDUP(MAX(I95*N($G$10),J95*N($G$11),K95*N($G$12),L95*N($G$13),M95*N($G$14))+MAX(O95*N($G$18),P95*N($G$19),Q95*N($G$20),R95*N($G$21))+MAX(T95*N($G$25),U95*N($G$26),V95*N($G$27)),0)))</f>
        <v/>
      </c>
      <c r="Z95" s="21">
        <f>IF(G95="","",IF(B95="G마켓",ROUNDDOWN(G95-G95*$Q$6-Y95,0),ROUNDUP(G95-G95*$Q$6-Y95,0)))</f>
        <v/>
      </c>
    </row>
    <row r="96">
      <c r="B96" s="7" t="n"/>
      <c r="C96" s="7" t="n"/>
      <c r="D96" s="22" t="n"/>
      <c r="E96" s="23" t="n"/>
      <c r="F96" s="23" t="n"/>
      <c r="G96" s="19">
        <f>IF(E96="","",E96-N(F96))</f>
        <v/>
      </c>
      <c r="I96" s="20">
        <f>IF(G96="","",IF(OR($D$10="",$H$10="X",G96&lt;N($C$10)),0,IF(B96="G마켓",ROUNDDOWN(MIN(IF($D$10&gt;=1,MIN($D$10,G96),G96*$D$10),IF($E$10="",9E+99,$E$10)),0),ROUNDUP(MIN(IF($D$10&gt;=1,MIN($D$10,G96),G96*$D$10),IF($E$10="",9E+99,$E$10)),0))))</f>
        <v/>
      </c>
      <c r="J96" s="20">
        <f>IF(G96="","",IF(OR($D$11="",$H$11="X",G96&lt;N($C$11)),0,IF(B96="G마켓",ROUNDDOWN(MIN(IF($D$11&gt;=1,MIN($D$11,G96),G96*$D$11),IF($E$11="",9E+99,$E$11)),0),ROUNDUP(MIN(IF($D$11&gt;=1,MIN($D$11,G96),G96*$D$11),IF($E$11="",9E+99,$E$11)),0))))</f>
        <v/>
      </c>
      <c r="K96" s="20">
        <f>IF(G96="","",IF(OR($D$12="",$H$12="X",G96&lt;N($C$12)),0,IF(B96="G마켓",ROUNDDOWN(MIN(IF($D$12&gt;=1,MIN($D$12,G96),G96*$D$12),IF($E$12="",9E+99,$E$12)),0),ROUNDUP(MIN(IF($D$12&gt;=1,MIN($D$12,G96),G96*$D$12),IF($E$12="",9E+99,$E$12)),0))))</f>
        <v/>
      </c>
      <c r="L96" s="20">
        <f>IF(G96="","",IF(OR($D$13="",$H$13="X",G96&lt;N($C$13)),0,IF(B96="G마켓",ROUNDDOWN(MIN(IF($D$13&gt;=1,MIN($D$13,G96),G96*$D$13),IF($E$13="",9E+99,$E$13)),0),ROUNDUP(MIN(IF($D$13&gt;=1,MIN($D$13,G96),G96*$D$13),IF($E$13="",9E+99,$E$13)),0))))</f>
        <v/>
      </c>
      <c r="M96" s="20">
        <f>IF(G96="","",IF(OR($D$14="",$H$14="X",G96&lt;N($C$14)),0,IF(B96="G마켓",ROUNDDOWN(MIN(IF($D$14&gt;=1,MIN($D$14,G96),G96*$D$14),IF($E$14="",9E+99,$E$14)),0),ROUNDUP(MIN(IF($D$14&gt;=1,MIN($D$14,G96),G96*$D$14),IF($E$14="",9E+99,$E$14)),0))))</f>
        <v/>
      </c>
      <c r="N96" s="19">
        <f>IF(G96="","",G96-MAX(I96:M96))</f>
        <v/>
      </c>
      <c r="O96" s="20">
        <f>IF(N96="","",IF(OR($D$18="",$H$18="X",N96&lt;N($C$18)),0,IF(B96="G마켓",ROUNDDOWN(MIN(IF($D$18&gt;=1,MIN($D$18,N96),N96*$D$18),IF($E$18="",9E+99,$E$18)),0),ROUNDUP(MIN(IF($D$18&gt;=1,MIN($D$18,N96),N96*$D$18),IF($E$18="",9E+99,$E$18)),0))))</f>
        <v/>
      </c>
      <c r="P96" s="20">
        <f>IF(N96="","",IF(OR($D$19="",$H$19="X",N96&lt;N($C$19)),0,IF(B96="G마켓",ROUNDDOWN(MIN(IF($D$19&gt;=1,MIN($D$19,N96),N96*$D$19),IF($E$19="",9E+99,$E$19)),0),ROUNDUP(MIN(IF($D$19&gt;=1,MIN($D$19,N96),N96*$D$19),IF($E$19="",9E+99,$E$19)),0))))</f>
        <v/>
      </c>
      <c r="Q96" s="20">
        <f>IF(N96="","",IF(OR($D$20="",$H$20="X",N96&lt;N($C$20)),0,IF(B96="G마켓",ROUNDDOWN(MIN(IF($D$20&gt;=1,MIN($D$20,N96),N96*$D$20),IF($E$20="",9E+99,$E$20)),0),ROUNDUP(MIN(IF($D$20&gt;=1,MIN($D$20,N96),N96*$D$20),IF($E$20="",9E+99,$E$20)),0))))</f>
        <v/>
      </c>
      <c r="R96" s="20">
        <f>IF(N96="","",IF(OR($D$21="",$H$21="X",N96&lt;N($C$21)),0,IF(B96="G마켓",ROUNDDOWN(MIN(IF($D$21&gt;=1,MIN($D$21,N96),N96*$D$21),IF($E$21="",9E+99,$E$21)),0),ROUNDUP(MIN(IF($D$21&gt;=1,MIN($D$21,N96),N96*$D$21),IF($E$21="",9E+99,$E$21)),0))))</f>
        <v/>
      </c>
      <c r="S96" s="19">
        <f>IF(G96="","",N96-MAX(O96:R96))</f>
        <v/>
      </c>
      <c r="T96" s="20">
        <f>IF(S96="","",IF(OR($D$25="",S96&lt;N($C$25)),0,IF(B96="G마켓",ROUNDDOWN(MIN(IF($D$25&gt;=1,MIN($D$25,S96),S96*$D$25),IF($E$25="",9E+99,$E$25)),0),ROUNDUP(MIN(IF($D$25&gt;=1,MIN($D$25,S96),S96*$D$25),IF($E$25="",9E+99,$E$25)),0))))</f>
        <v/>
      </c>
      <c r="U96" s="20">
        <f>IF(S96="","",IF(OR($D$26="",S96&lt;N($C$26)),0,IF(B96="G마켓",ROUNDDOWN(MIN(IF($D$26&gt;=1,MIN($D$26,S96),S96*$D$26),IF($E$26="",9E+99,$E$26)),0),ROUNDUP(MIN(IF($D$26&gt;=1,MIN($D$26,S96),S96*$D$26),IF($E$26="",9E+99,$E$26)),0))))</f>
        <v/>
      </c>
      <c r="V96" s="20">
        <f>IF(S96="","",IF(OR($D$27="",S96&lt;N($C$27)),0,IF(B96="G마켓",ROUNDDOWN(MIN(IF($D$27&gt;=1,MIN($D$27,S96),S96*$D$27),IF($E$27="",9E+99,$E$27)),0),ROUNDUP(MIN(IF($D$27&gt;=1,MIN($D$27,S96),S96*$D$27),IF($E$27="",9E+99,$E$27)),0))))</f>
        <v/>
      </c>
      <c r="W96" s="19">
        <f>IF(G96="","",MAX(T96:V96))</f>
        <v/>
      </c>
      <c r="X96" s="21">
        <f>IF(G96="","",S96-W96)</f>
        <v/>
      </c>
      <c r="Y96" s="19">
        <f>IF(G96="","",IF(B96="G마켓",ROUNDDOWN(MAX(I96*N($G$10),J96*N($G$11),K96*N($G$12),L96*N($G$13),M96*N($G$14))+MAX(O96*N($G$18),P96*N($G$19),Q96*N($G$20),R96*N($G$21))+MAX(T96*N($G$25),U96*N($G$26),V96*N($G$27)),0),ROUNDUP(MAX(I96*N($G$10),J96*N($G$11),K96*N($G$12),L96*N($G$13),M96*N($G$14))+MAX(O96*N($G$18),P96*N($G$19),Q96*N($G$20),R96*N($G$21))+MAX(T96*N($G$25),U96*N($G$26),V96*N($G$27)),0)))</f>
        <v/>
      </c>
      <c r="Z96" s="21">
        <f>IF(G96="","",IF(B96="G마켓",ROUNDDOWN(G96-G96*$Q$6-Y96,0),ROUNDUP(G96-G96*$Q$6-Y96,0)))</f>
        <v/>
      </c>
    </row>
    <row r="97">
      <c r="B97" s="7" t="n"/>
      <c r="C97" s="7" t="n"/>
      <c r="D97" s="22" t="n"/>
      <c r="E97" s="23" t="n"/>
      <c r="F97" s="23" t="n"/>
      <c r="G97" s="19">
        <f>IF(E97="","",E97-N(F97))</f>
        <v/>
      </c>
      <c r="I97" s="20">
        <f>IF(G97="","",IF(OR($D$10="",$H$10="X",G97&lt;N($C$10)),0,IF(B97="G마켓",ROUNDDOWN(MIN(IF($D$10&gt;=1,MIN($D$10,G97),G97*$D$10),IF($E$10="",9E+99,$E$10)),0),ROUNDUP(MIN(IF($D$10&gt;=1,MIN($D$10,G97),G97*$D$10),IF($E$10="",9E+99,$E$10)),0))))</f>
        <v/>
      </c>
      <c r="J97" s="20">
        <f>IF(G97="","",IF(OR($D$11="",$H$11="X",G97&lt;N($C$11)),0,IF(B97="G마켓",ROUNDDOWN(MIN(IF($D$11&gt;=1,MIN($D$11,G97),G97*$D$11),IF($E$11="",9E+99,$E$11)),0),ROUNDUP(MIN(IF($D$11&gt;=1,MIN($D$11,G97),G97*$D$11),IF($E$11="",9E+99,$E$11)),0))))</f>
        <v/>
      </c>
      <c r="K97" s="20">
        <f>IF(G97="","",IF(OR($D$12="",$H$12="X",G97&lt;N($C$12)),0,IF(B97="G마켓",ROUNDDOWN(MIN(IF($D$12&gt;=1,MIN($D$12,G97),G97*$D$12),IF($E$12="",9E+99,$E$12)),0),ROUNDUP(MIN(IF($D$12&gt;=1,MIN($D$12,G97),G97*$D$12),IF($E$12="",9E+99,$E$12)),0))))</f>
        <v/>
      </c>
      <c r="L97" s="20">
        <f>IF(G97="","",IF(OR($D$13="",$H$13="X",G97&lt;N($C$13)),0,IF(B97="G마켓",ROUNDDOWN(MIN(IF($D$13&gt;=1,MIN($D$13,G97),G97*$D$13),IF($E$13="",9E+99,$E$13)),0),ROUNDUP(MIN(IF($D$13&gt;=1,MIN($D$13,G97),G97*$D$13),IF($E$13="",9E+99,$E$13)),0))))</f>
        <v/>
      </c>
      <c r="M97" s="20">
        <f>IF(G97="","",IF(OR($D$14="",$H$14="X",G97&lt;N($C$14)),0,IF(B97="G마켓",ROUNDDOWN(MIN(IF($D$14&gt;=1,MIN($D$14,G97),G97*$D$14),IF($E$14="",9E+99,$E$14)),0),ROUNDUP(MIN(IF($D$14&gt;=1,MIN($D$14,G97),G97*$D$14),IF($E$14="",9E+99,$E$14)),0))))</f>
        <v/>
      </c>
      <c r="N97" s="19">
        <f>IF(G97="","",G97-MAX(I97:M97))</f>
        <v/>
      </c>
      <c r="O97" s="20">
        <f>IF(N97="","",IF(OR($D$18="",$H$18="X",N97&lt;N($C$18)),0,IF(B97="G마켓",ROUNDDOWN(MIN(IF($D$18&gt;=1,MIN($D$18,N97),N97*$D$18),IF($E$18="",9E+99,$E$18)),0),ROUNDUP(MIN(IF($D$18&gt;=1,MIN($D$18,N97),N97*$D$18),IF($E$18="",9E+99,$E$18)),0))))</f>
        <v/>
      </c>
      <c r="P97" s="20">
        <f>IF(N97="","",IF(OR($D$19="",$H$19="X",N97&lt;N($C$19)),0,IF(B97="G마켓",ROUNDDOWN(MIN(IF($D$19&gt;=1,MIN($D$19,N97),N97*$D$19),IF($E$19="",9E+99,$E$19)),0),ROUNDUP(MIN(IF($D$19&gt;=1,MIN($D$19,N97),N97*$D$19),IF($E$19="",9E+99,$E$19)),0))))</f>
        <v/>
      </c>
      <c r="Q97" s="20">
        <f>IF(N97="","",IF(OR($D$20="",$H$20="X",N97&lt;N($C$20)),0,IF(B97="G마켓",ROUNDDOWN(MIN(IF($D$20&gt;=1,MIN($D$20,N97),N97*$D$20),IF($E$20="",9E+99,$E$20)),0),ROUNDUP(MIN(IF($D$20&gt;=1,MIN($D$20,N97),N97*$D$20),IF($E$20="",9E+99,$E$20)),0))))</f>
        <v/>
      </c>
      <c r="R97" s="20">
        <f>IF(N97="","",IF(OR($D$21="",$H$21="X",N97&lt;N($C$21)),0,IF(B97="G마켓",ROUNDDOWN(MIN(IF($D$21&gt;=1,MIN($D$21,N97),N97*$D$21),IF($E$21="",9E+99,$E$21)),0),ROUNDUP(MIN(IF($D$21&gt;=1,MIN($D$21,N97),N97*$D$21),IF($E$21="",9E+99,$E$21)),0))))</f>
        <v/>
      </c>
      <c r="S97" s="19">
        <f>IF(G97="","",N97-MAX(O97:R97))</f>
        <v/>
      </c>
      <c r="T97" s="20">
        <f>IF(S97="","",IF(OR($D$25="",S97&lt;N($C$25)),0,IF(B97="G마켓",ROUNDDOWN(MIN(IF($D$25&gt;=1,MIN($D$25,S97),S97*$D$25),IF($E$25="",9E+99,$E$25)),0),ROUNDUP(MIN(IF($D$25&gt;=1,MIN($D$25,S97),S97*$D$25),IF($E$25="",9E+99,$E$25)),0))))</f>
        <v/>
      </c>
      <c r="U97" s="20">
        <f>IF(S97="","",IF(OR($D$26="",S97&lt;N($C$26)),0,IF(B97="G마켓",ROUNDDOWN(MIN(IF($D$26&gt;=1,MIN($D$26,S97),S97*$D$26),IF($E$26="",9E+99,$E$26)),0),ROUNDUP(MIN(IF($D$26&gt;=1,MIN($D$26,S97),S97*$D$26),IF($E$26="",9E+99,$E$26)),0))))</f>
        <v/>
      </c>
      <c r="V97" s="20">
        <f>IF(S97="","",IF(OR($D$27="",S97&lt;N($C$27)),0,IF(B97="G마켓",ROUNDDOWN(MIN(IF($D$27&gt;=1,MIN($D$27,S97),S97*$D$27),IF($E$27="",9E+99,$E$27)),0),ROUNDUP(MIN(IF($D$27&gt;=1,MIN($D$27,S97),S97*$D$27),IF($E$27="",9E+99,$E$27)),0))))</f>
        <v/>
      </c>
      <c r="W97" s="19">
        <f>IF(G97="","",MAX(T97:V97))</f>
        <v/>
      </c>
      <c r="X97" s="21">
        <f>IF(G97="","",S97-W97)</f>
        <v/>
      </c>
      <c r="Y97" s="19">
        <f>IF(G97="","",IF(B97="G마켓",ROUNDDOWN(MAX(I97*N($G$10),J97*N($G$11),K97*N($G$12),L97*N($G$13),M97*N($G$14))+MAX(O97*N($G$18),P97*N($G$19),Q97*N($G$20),R97*N($G$21))+MAX(T97*N($G$25),U97*N($G$26),V97*N($G$27)),0),ROUNDUP(MAX(I97*N($G$10),J97*N($G$11),K97*N($G$12),L97*N($G$13),M97*N($G$14))+MAX(O97*N($G$18),P97*N($G$19),Q97*N($G$20),R97*N($G$21))+MAX(T97*N($G$25),U97*N($G$26),V97*N($G$27)),0)))</f>
        <v/>
      </c>
      <c r="Z97" s="21">
        <f>IF(G97="","",IF(B97="G마켓",ROUNDDOWN(G97-G97*$Q$6-Y97,0),ROUNDUP(G97-G97*$Q$6-Y97,0)))</f>
        <v/>
      </c>
    </row>
    <row r="98">
      <c r="B98" s="7" t="n"/>
      <c r="C98" s="7" t="n"/>
      <c r="D98" s="22" t="n"/>
      <c r="E98" s="23" t="n"/>
      <c r="F98" s="23" t="n"/>
      <c r="G98" s="19">
        <f>IF(E98="","",E98-N(F98))</f>
        <v/>
      </c>
      <c r="I98" s="20">
        <f>IF(G98="","",IF(OR($D$10="",$H$10="X",G98&lt;N($C$10)),0,IF(B98="G마켓",ROUNDDOWN(MIN(IF($D$10&gt;=1,MIN($D$10,G98),G98*$D$10),IF($E$10="",9E+99,$E$10)),0),ROUNDUP(MIN(IF($D$10&gt;=1,MIN($D$10,G98),G98*$D$10),IF($E$10="",9E+99,$E$10)),0))))</f>
        <v/>
      </c>
      <c r="J98" s="20">
        <f>IF(G98="","",IF(OR($D$11="",$H$11="X",G98&lt;N($C$11)),0,IF(B98="G마켓",ROUNDDOWN(MIN(IF($D$11&gt;=1,MIN($D$11,G98),G98*$D$11),IF($E$11="",9E+99,$E$11)),0),ROUNDUP(MIN(IF($D$11&gt;=1,MIN($D$11,G98),G98*$D$11),IF($E$11="",9E+99,$E$11)),0))))</f>
        <v/>
      </c>
      <c r="K98" s="20">
        <f>IF(G98="","",IF(OR($D$12="",$H$12="X",G98&lt;N($C$12)),0,IF(B98="G마켓",ROUNDDOWN(MIN(IF($D$12&gt;=1,MIN($D$12,G98),G98*$D$12),IF($E$12="",9E+99,$E$12)),0),ROUNDUP(MIN(IF($D$12&gt;=1,MIN($D$12,G98),G98*$D$12),IF($E$12="",9E+99,$E$12)),0))))</f>
        <v/>
      </c>
      <c r="L98" s="20">
        <f>IF(G98="","",IF(OR($D$13="",$H$13="X",G98&lt;N($C$13)),0,IF(B98="G마켓",ROUNDDOWN(MIN(IF($D$13&gt;=1,MIN($D$13,G98),G98*$D$13),IF($E$13="",9E+99,$E$13)),0),ROUNDUP(MIN(IF($D$13&gt;=1,MIN($D$13,G98),G98*$D$13),IF($E$13="",9E+99,$E$13)),0))))</f>
        <v/>
      </c>
      <c r="M98" s="20">
        <f>IF(G98="","",IF(OR($D$14="",$H$14="X",G98&lt;N($C$14)),0,IF(B98="G마켓",ROUNDDOWN(MIN(IF($D$14&gt;=1,MIN($D$14,G98),G98*$D$14),IF($E$14="",9E+99,$E$14)),0),ROUNDUP(MIN(IF($D$14&gt;=1,MIN($D$14,G98),G98*$D$14),IF($E$14="",9E+99,$E$14)),0))))</f>
        <v/>
      </c>
      <c r="N98" s="19">
        <f>IF(G98="","",G98-MAX(I98:M98))</f>
        <v/>
      </c>
      <c r="O98" s="20">
        <f>IF(N98="","",IF(OR($D$18="",$H$18="X",N98&lt;N($C$18)),0,IF(B98="G마켓",ROUNDDOWN(MIN(IF($D$18&gt;=1,MIN($D$18,N98),N98*$D$18),IF($E$18="",9E+99,$E$18)),0),ROUNDUP(MIN(IF($D$18&gt;=1,MIN($D$18,N98),N98*$D$18),IF($E$18="",9E+99,$E$18)),0))))</f>
        <v/>
      </c>
      <c r="P98" s="20">
        <f>IF(N98="","",IF(OR($D$19="",$H$19="X",N98&lt;N($C$19)),0,IF(B98="G마켓",ROUNDDOWN(MIN(IF($D$19&gt;=1,MIN($D$19,N98),N98*$D$19),IF($E$19="",9E+99,$E$19)),0),ROUNDUP(MIN(IF($D$19&gt;=1,MIN($D$19,N98),N98*$D$19),IF($E$19="",9E+99,$E$19)),0))))</f>
        <v/>
      </c>
      <c r="Q98" s="20">
        <f>IF(N98="","",IF(OR($D$20="",$H$20="X",N98&lt;N($C$20)),0,IF(B98="G마켓",ROUNDDOWN(MIN(IF($D$20&gt;=1,MIN($D$20,N98),N98*$D$20),IF($E$20="",9E+99,$E$20)),0),ROUNDUP(MIN(IF($D$20&gt;=1,MIN($D$20,N98),N98*$D$20),IF($E$20="",9E+99,$E$20)),0))))</f>
        <v/>
      </c>
      <c r="R98" s="20">
        <f>IF(N98="","",IF(OR($D$21="",$H$21="X",N98&lt;N($C$21)),0,IF(B98="G마켓",ROUNDDOWN(MIN(IF($D$21&gt;=1,MIN($D$21,N98),N98*$D$21),IF($E$21="",9E+99,$E$21)),0),ROUNDUP(MIN(IF($D$21&gt;=1,MIN($D$21,N98),N98*$D$21),IF($E$21="",9E+99,$E$21)),0))))</f>
        <v/>
      </c>
      <c r="S98" s="19">
        <f>IF(G98="","",N98-MAX(O98:R98))</f>
        <v/>
      </c>
      <c r="T98" s="20">
        <f>IF(S98="","",IF(OR($D$25="",S98&lt;N($C$25)),0,IF(B98="G마켓",ROUNDDOWN(MIN(IF($D$25&gt;=1,MIN($D$25,S98),S98*$D$25),IF($E$25="",9E+99,$E$25)),0),ROUNDUP(MIN(IF($D$25&gt;=1,MIN($D$25,S98),S98*$D$25),IF($E$25="",9E+99,$E$25)),0))))</f>
        <v/>
      </c>
      <c r="U98" s="20">
        <f>IF(S98="","",IF(OR($D$26="",S98&lt;N($C$26)),0,IF(B98="G마켓",ROUNDDOWN(MIN(IF($D$26&gt;=1,MIN($D$26,S98),S98*$D$26),IF($E$26="",9E+99,$E$26)),0),ROUNDUP(MIN(IF($D$26&gt;=1,MIN($D$26,S98),S98*$D$26),IF($E$26="",9E+99,$E$26)),0))))</f>
        <v/>
      </c>
      <c r="V98" s="20">
        <f>IF(S98="","",IF(OR($D$27="",S98&lt;N($C$27)),0,IF(B98="G마켓",ROUNDDOWN(MIN(IF($D$27&gt;=1,MIN($D$27,S98),S98*$D$27),IF($E$27="",9E+99,$E$27)),0),ROUNDUP(MIN(IF($D$27&gt;=1,MIN($D$27,S98),S98*$D$27),IF($E$27="",9E+99,$E$27)),0))))</f>
        <v/>
      </c>
      <c r="W98" s="19">
        <f>IF(G98="","",MAX(T98:V98))</f>
        <v/>
      </c>
      <c r="X98" s="21">
        <f>IF(G98="","",S98-W98)</f>
        <v/>
      </c>
      <c r="Y98" s="19">
        <f>IF(G98="","",IF(B98="G마켓",ROUNDDOWN(MAX(I98*N($G$10),J98*N($G$11),K98*N($G$12),L98*N($G$13),M98*N($G$14))+MAX(O98*N($G$18),P98*N($G$19),Q98*N($G$20),R98*N($G$21))+MAX(T98*N($G$25),U98*N($G$26),V98*N($G$27)),0),ROUNDUP(MAX(I98*N($G$10),J98*N($G$11),K98*N($G$12),L98*N($G$13),M98*N($G$14))+MAX(O98*N($G$18),P98*N($G$19),Q98*N($G$20),R98*N($G$21))+MAX(T98*N($G$25),U98*N($G$26),V98*N($G$27)),0)))</f>
        <v/>
      </c>
      <c r="Z98" s="21">
        <f>IF(G98="","",IF(B98="G마켓",ROUNDDOWN(G98-G98*$Q$6-Y98,0),ROUNDUP(G98-G98*$Q$6-Y98,0)))</f>
        <v/>
      </c>
    </row>
    <row r="99">
      <c r="B99" s="7" t="n"/>
      <c r="C99" s="7" t="n"/>
      <c r="D99" s="22" t="n"/>
      <c r="E99" s="23" t="n"/>
      <c r="F99" s="23" t="n"/>
      <c r="G99" s="19">
        <f>IF(E99="","",E99-N(F99))</f>
        <v/>
      </c>
      <c r="I99" s="20">
        <f>IF(G99="","",IF(OR($D$10="",$H$10="X",G99&lt;N($C$10)),0,IF(B99="G마켓",ROUNDDOWN(MIN(IF($D$10&gt;=1,MIN($D$10,G99),G99*$D$10),IF($E$10="",9E+99,$E$10)),0),ROUNDUP(MIN(IF($D$10&gt;=1,MIN($D$10,G99),G99*$D$10),IF($E$10="",9E+99,$E$10)),0))))</f>
        <v/>
      </c>
      <c r="J99" s="20">
        <f>IF(G99="","",IF(OR($D$11="",$H$11="X",G99&lt;N($C$11)),0,IF(B99="G마켓",ROUNDDOWN(MIN(IF($D$11&gt;=1,MIN($D$11,G99),G99*$D$11),IF($E$11="",9E+99,$E$11)),0),ROUNDUP(MIN(IF($D$11&gt;=1,MIN($D$11,G99),G99*$D$11),IF($E$11="",9E+99,$E$11)),0))))</f>
        <v/>
      </c>
      <c r="K99" s="20">
        <f>IF(G99="","",IF(OR($D$12="",$H$12="X",G99&lt;N($C$12)),0,IF(B99="G마켓",ROUNDDOWN(MIN(IF($D$12&gt;=1,MIN($D$12,G99),G99*$D$12),IF($E$12="",9E+99,$E$12)),0),ROUNDUP(MIN(IF($D$12&gt;=1,MIN($D$12,G99),G99*$D$12),IF($E$12="",9E+99,$E$12)),0))))</f>
        <v/>
      </c>
      <c r="L99" s="20">
        <f>IF(G99="","",IF(OR($D$13="",$H$13="X",G99&lt;N($C$13)),0,IF(B99="G마켓",ROUNDDOWN(MIN(IF($D$13&gt;=1,MIN($D$13,G99),G99*$D$13),IF($E$13="",9E+99,$E$13)),0),ROUNDUP(MIN(IF($D$13&gt;=1,MIN($D$13,G99),G99*$D$13),IF($E$13="",9E+99,$E$13)),0))))</f>
        <v/>
      </c>
      <c r="M99" s="20">
        <f>IF(G99="","",IF(OR($D$14="",$H$14="X",G99&lt;N($C$14)),0,IF(B99="G마켓",ROUNDDOWN(MIN(IF($D$14&gt;=1,MIN($D$14,G99),G99*$D$14),IF($E$14="",9E+99,$E$14)),0),ROUNDUP(MIN(IF($D$14&gt;=1,MIN($D$14,G99),G99*$D$14),IF($E$14="",9E+99,$E$14)),0))))</f>
        <v/>
      </c>
      <c r="N99" s="19">
        <f>IF(G99="","",G99-MAX(I99:M99))</f>
        <v/>
      </c>
      <c r="O99" s="20">
        <f>IF(N99="","",IF(OR($D$18="",$H$18="X",N99&lt;N($C$18)),0,IF(B99="G마켓",ROUNDDOWN(MIN(IF($D$18&gt;=1,MIN($D$18,N99),N99*$D$18),IF($E$18="",9E+99,$E$18)),0),ROUNDUP(MIN(IF($D$18&gt;=1,MIN($D$18,N99),N99*$D$18),IF($E$18="",9E+99,$E$18)),0))))</f>
        <v/>
      </c>
      <c r="P99" s="20">
        <f>IF(N99="","",IF(OR($D$19="",$H$19="X",N99&lt;N($C$19)),0,IF(B99="G마켓",ROUNDDOWN(MIN(IF($D$19&gt;=1,MIN($D$19,N99),N99*$D$19),IF($E$19="",9E+99,$E$19)),0),ROUNDUP(MIN(IF($D$19&gt;=1,MIN($D$19,N99),N99*$D$19),IF($E$19="",9E+99,$E$19)),0))))</f>
        <v/>
      </c>
      <c r="Q99" s="20">
        <f>IF(N99="","",IF(OR($D$20="",$H$20="X",N99&lt;N($C$20)),0,IF(B99="G마켓",ROUNDDOWN(MIN(IF($D$20&gt;=1,MIN($D$20,N99),N99*$D$20),IF($E$20="",9E+99,$E$20)),0),ROUNDUP(MIN(IF($D$20&gt;=1,MIN($D$20,N99),N99*$D$20),IF($E$20="",9E+99,$E$20)),0))))</f>
        <v/>
      </c>
      <c r="R99" s="20">
        <f>IF(N99="","",IF(OR($D$21="",$H$21="X",N99&lt;N($C$21)),0,IF(B99="G마켓",ROUNDDOWN(MIN(IF($D$21&gt;=1,MIN($D$21,N99),N99*$D$21),IF($E$21="",9E+99,$E$21)),0),ROUNDUP(MIN(IF($D$21&gt;=1,MIN($D$21,N99),N99*$D$21),IF($E$21="",9E+99,$E$21)),0))))</f>
        <v/>
      </c>
      <c r="S99" s="19">
        <f>IF(G99="","",N99-MAX(O99:R99))</f>
        <v/>
      </c>
      <c r="T99" s="20">
        <f>IF(S99="","",IF(OR($D$25="",S99&lt;N($C$25)),0,IF(B99="G마켓",ROUNDDOWN(MIN(IF($D$25&gt;=1,MIN($D$25,S99),S99*$D$25),IF($E$25="",9E+99,$E$25)),0),ROUNDUP(MIN(IF($D$25&gt;=1,MIN($D$25,S99),S99*$D$25),IF($E$25="",9E+99,$E$25)),0))))</f>
        <v/>
      </c>
      <c r="U99" s="20">
        <f>IF(S99="","",IF(OR($D$26="",S99&lt;N($C$26)),0,IF(B99="G마켓",ROUNDDOWN(MIN(IF($D$26&gt;=1,MIN($D$26,S99),S99*$D$26),IF($E$26="",9E+99,$E$26)),0),ROUNDUP(MIN(IF($D$26&gt;=1,MIN($D$26,S99),S99*$D$26),IF($E$26="",9E+99,$E$26)),0))))</f>
        <v/>
      </c>
      <c r="V99" s="20">
        <f>IF(S99="","",IF(OR($D$27="",S99&lt;N($C$27)),0,IF(B99="G마켓",ROUNDDOWN(MIN(IF($D$27&gt;=1,MIN($D$27,S99),S99*$D$27),IF($E$27="",9E+99,$E$27)),0),ROUNDUP(MIN(IF($D$27&gt;=1,MIN($D$27,S99),S99*$D$27),IF($E$27="",9E+99,$E$27)),0))))</f>
        <v/>
      </c>
      <c r="W99" s="19">
        <f>IF(G99="","",MAX(T99:V99))</f>
        <v/>
      </c>
      <c r="X99" s="21">
        <f>IF(G99="","",S99-W99)</f>
        <v/>
      </c>
      <c r="Y99" s="19">
        <f>IF(G99="","",IF(B99="G마켓",ROUNDDOWN(MAX(I99*N($G$10),J99*N($G$11),K99*N($G$12),L99*N($G$13),M99*N($G$14))+MAX(O99*N($G$18),P99*N($G$19),Q99*N($G$20),R99*N($G$21))+MAX(T99*N($G$25),U99*N($G$26),V99*N($G$27)),0),ROUNDUP(MAX(I99*N($G$10),J99*N($G$11),K99*N($G$12),L99*N($G$13),M99*N($G$14))+MAX(O99*N($G$18),P99*N($G$19),Q99*N($G$20),R99*N($G$21))+MAX(T99*N($G$25),U99*N($G$26),V99*N($G$27)),0)))</f>
        <v/>
      </c>
      <c r="Z99" s="21">
        <f>IF(G99="","",IF(B99="G마켓",ROUNDDOWN(G99-G99*$Q$6-Y99,0),ROUNDUP(G99-G99*$Q$6-Y99,0)))</f>
        <v/>
      </c>
    </row>
    <row r="100">
      <c r="B100" s="7" t="n"/>
      <c r="C100" s="7" t="n"/>
      <c r="D100" s="22" t="n"/>
      <c r="E100" s="23" t="n"/>
      <c r="F100" s="23" t="n"/>
      <c r="G100" s="19">
        <f>IF(E100="","",E100-N(F100))</f>
        <v/>
      </c>
      <c r="I100" s="20">
        <f>IF(G100="","",IF(OR($D$10="",$H$10="X",G100&lt;N($C$10)),0,IF(B100="G마켓",ROUNDDOWN(MIN(IF($D$10&gt;=1,MIN($D$10,G100),G100*$D$10),IF($E$10="",9E+99,$E$10)),0),ROUNDUP(MIN(IF($D$10&gt;=1,MIN($D$10,G100),G100*$D$10),IF($E$10="",9E+99,$E$10)),0))))</f>
        <v/>
      </c>
      <c r="J100" s="20">
        <f>IF(G100="","",IF(OR($D$11="",$H$11="X",G100&lt;N($C$11)),0,IF(B100="G마켓",ROUNDDOWN(MIN(IF($D$11&gt;=1,MIN($D$11,G100),G100*$D$11),IF($E$11="",9E+99,$E$11)),0),ROUNDUP(MIN(IF($D$11&gt;=1,MIN($D$11,G100),G100*$D$11),IF($E$11="",9E+99,$E$11)),0))))</f>
        <v/>
      </c>
      <c r="K100" s="20">
        <f>IF(G100="","",IF(OR($D$12="",$H$12="X",G100&lt;N($C$12)),0,IF(B100="G마켓",ROUNDDOWN(MIN(IF($D$12&gt;=1,MIN($D$12,G100),G100*$D$12),IF($E$12="",9E+99,$E$12)),0),ROUNDUP(MIN(IF($D$12&gt;=1,MIN($D$12,G100),G100*$D$12),IF($E$12="",9E+99,$E$12)),0))))</f>
        <v/>
      </c>
      <c r="L100" s="20">
        <f>IF(G100="","",IF(OR($D$13="",$H$13="X",G100&lt;N($C$13)),0,IF(B100="G마켓",ROUNDDOWN(MIN(IF($D$13&gt;=1,MIN($D$13,G100),G100*$D$13),IF($E$13="",9E+99,$E$13)),0),ROUNDUP(MIN(IF($D$13&gt;=1,MIN($D$13,G100),G100*$D$13),IF($E$13="",9E+99,$E$13)),0))))</f>
        <v/>
      </c>
      <c r="M100" s="20">
        <f>IF(G100="","",IF(OR($D$14="",$H$14="X",G100&lt;N($C$14)),0,IF(B100="G마켓",ROUNDDOWN(MIN(IF($D$14&gt;=1,MIN($D$14,G100),G100*$D$14),IF($E$14="",9E+99,$E$14)),0),ROUNDUP(MIN(IF($D$14&gt;=1,MIN($D$14,G100),G100*$D$14),IF($E$14="",9E+99,$E$14)),0))))</f>
        <v/>
      </c>
      <c r="N100" s="19">
        <f>IF(G100="","",G100-MAX(I100:M100))</f>
        <v/>
      </c>
      <c r="O100" s="20">
        <f>IF(N100="","",IF(OR($D$18="",$H$18="X",N100&lt;N($C$18)),0,IF(B100="G마켓",ROUNDDOWN(MIN(IF($D$18&gt;=1,MIN($D$18,N100),N100*$D$18),IF($E$18="",9E+99,$E$18)),0),ROUNDUP(MIN(IF($D$18&gt;=1,MIN($D$18,N100),N100*$D$18),IF($E$18="",9E+99,$E$18)),0))))</f>
        <v/>
      </c>
      <c r="P100" s="20">
        <f>IF(N100="","",IF(OR($D$19="",$H$19="X",N100&lt;N($C$19)),0,IF(B100="G마켓",ROUNDDOWN(MIN(IF($D$19&gt;=1,MIN($D$19,N100),N100*$D$19),IF($E$19="",9E+99,$E$19)),0),ROUNDUP(MIN(IF($D$19&gt;=1,MIN($D$19,N100),N100*$D$19),IF($E$19="",9E+99,$E$19)),0))))</f>
        <v/>
      </c>
      <c r="Q100" s="20">
        <f>IF(N100="","",IF(OR($D$20="",$H$20="X",N100&lt;N($C$20)),0,IF(B100="G마켓",ROUNDDOWN(MIN(IF($D$20&gt;=1,MIN($D$20,N100),N100*$D$20),IF($E$20="",9E+99,$E$20)),0),ROUNDUP(MIN(IF($D$20&gt;=1,MIN($D$20,N100),N100*$D$20),IF($E$20="",9E+99,$E$20)),0))))</f>
        <v/>
      </c>
      <c r="R100" s="20">
        <f>IF(N100="","",IF(OR($D$21="",$H$21="X",N100&lt;N($C$21)),0,IF(B100="G마켓",ROUNDDOWN(MIN(IF($D$21&gt;=1,MIN($D$21,N100),N100*$D$21),IF($E$21="",9E+99,$E$21)),0),ROUNDUP(MIN(IF($D$21&gt;=1,MIN($D$21,N100),N100*$D$21),IF($E$21="",9E+99,$E$21)),0))))</f>
        <v/>
      </c>
      <c r="S100" s="19">
        <f>IF(G100="","",N100-MAX(O100:R100))</f>
        <v/>
      </c>
      <c r="T100" s="20">
        <f>IF(S100="","",IF(OR($D$25="",S100&lt;N($C$25)),0,IF(B100="G마켓",ROUNDDOWN(MIN(IF($D$25&gt;=1,MIN($D$25,S100),S100*$D$25),IF($E$25="",9E+99,$E$25)),0),ROUNDUP(MIN(IF($D$25&gt;=1,MIN($D$25,S100),S100*$D$25),IF($E$25="",9E+99,$E$25)),0))))</f>
        <v/>
      </c>
      <c r="U100" s="20">
        <f>IF(S100="","",IF(OR($D$26="",S100&lt;N($C$26)),0,IF(B100="G마켓",ROUNDDOWN(MIN(IF($D$26&gt;=1,MIN($D$26,S100),S100*$D$26),IF($E$26="",9E+99,$E$26)),0),ROUNDUP(MIN(IF($D$26&gt;=1,MIN($D$26,S100),S100*$D$26),IF($E$26="",9E+99,$E$26)),0))))</f>
        <v/>
      </c>
      <c r="V100" s="20">
        <f>IF(S100="","",IF(OR($D$27="",S100&lt;N($C$27)),0,IF(B100="G마켓",ROUNDDOWN(MIN(IF($D$27&gt;=1,MIN($D$27,S100),S100*$D$27),IF($E$27="",9E+99,$E$27)),0),ROUNDUP(MIN(IF($D$27&gt;=1,MIN($D$27,S100),S100*$D$27),IF($E$27="",9E+99,$E$27)),0))))</f>
        <v/>
      </c>
      <c r="W100" s="19">
        <f>IF(G100="","",MAX(T100:V100))</f>
        <v/>
      </c>
      <c r="X100" s="21">
        <f>IF(G100="","",S100-W100)</f>
        <v/>
      </c>
      <c r="Y100" s="19">
        <f>IF(G100="","",IF(B100="G마켓",ROUNDDOWN(MAX(I100*N($G$10),J100*N($G$11),K100*N($G$12),L100*N($G$13),M100*N($G$14))+MAX(O100*N($G$18),P100*N($G$19),Q100*N($G$20),R100*N($G$21))+MAX(T100*N($G$25),U100*N($G$26),V100*N($G$27)),0),ROUNDUP(MAX(I100*N($G$10),J100*N($G$11),K100*N($G$12),L100*N($G$13),M100*N($G$14))+MAX(O100*N($G$18),P100*N($G$19),Q100*N($G$20),R100*N($G$21))+MAX(T100*N($G$25),U100*N($G$26),V100*N($G$27)),0)))</f>
        <v/>
      </c>
      <c r="Z100" s="21">
        <f>IF(G100="","",IF(B100="G마켓",ROUNDDOWN(G100-G100*$Q$6-Y100,0),ROUNDUP(G100-G100*$Q$6-Y100,0)))</f>
        <v/>
      </c>
    </row>
    <row r="101">
      <c r="B101" s="7" t="n"/>
      <c r="C101" s="7" t="n"/>
      <c r="D101" s="22" t="n"/>
      <c r="E101" s="23" t="n"/>
      <c r="F101" s="23" t="n"/>
      <c r="G101" s="19">
        <f>IF(E101="","",E101-N(F101))</f>
        <v/>
      </c>
      <c r="I101" s="20">
        <f>IF(G101="","",IF(OR($D$10="",$H$10="X",G101&lt;N($C$10)),0,IF(B101="G마켓",ROUNDDOWN(MIN(IF($D$10&gt;=1,MIN($D$10,G101),G101*$D$10),IF($E$10="",9E+99,$E$10)),0),ROUNDUP(MIN(IF($D$10&gt;=1,MIN($D$10,G101),G101*$D$10),IF($E$10="",9E+99,$E$10)),0))))</f>
        <v/>
      </c>
      <c r="J101" s="20">
        <f>IF(G101="","",IF(OR($D$11="",$H$11="X",G101&lt;N($C$11)),0,IF(B101="G마켓",ROUNDDOWN(MIN(IF($D$11&gt;=1,MIN($D$11,G101),G101*$D$11),IF($E$11="",9E+99,$E$11)),0),ROUNDUP(MIN(IF($D$11&gt;=1,MIN($D$11,G101),G101*$D$11),IF($E$11="",9E+99,$E$11)),0))))</f>
        <v/>
      </c>
      <c r="K101" s="20">
        <f>IF(G101="","",IF(OR($D$12="",$H$12="X",G101&lt;N($C$12)),0,IF(B101="G마켓",ROUNDDOWN(MIN(IF($D$12&gt;=1,MIN($D$12,G101),G101*$D$12),IF($E$12="",9E+99,$E$12)),0),ROUNDUP(MIN(IF($D$12&gt;=1,MIN($D$12,G101),G101*$D$12),IF($E$12="",9E+99,$E$12)),0))))</f>
        <v/>
      </c>
      <c r="L101" s="20">
        <f>IF(G101="","",IF(OR($D$13="",$H$13="X",G101&lt;N($C$13)),0,IF(B101="G마켓",ROUNDDOWN(MIN(IF($D$13&gt;=1,MIN($D$13,G101),G101*$D$13),IF($E$13="",9E+99,$E$13)),0),ROUNDUP(MIN(IF($D$13&gt;=1,MIN($D$13,G101),G101*$D$13),IF($E$13="",9E+99,$E$13)),0))))</f>
        <v/>
      </c>
      <c r="M101" s="20">
        <f>IF(G101="","",IF(OR($D$14="",$H$14="X",G101&lt;N($C$14)),0,IF(B101="G마켓",ROUNDDOWN(MIN(IF($D$14&gt;=1,MIN($D$14,G101),G101*$D$14),IF($E$14="",9E+99,$E$14)),0),ROUNDUP(MIN(IF($D$14&gt;=1,MIN($D$14,G101),G101*$D$14),IF($E$14="",9E+99,$E$14)),0))))</f>
        <v/>
      </c>
      <c r="N101" s="19">
        <f>IF(G101="","",G101-MAX(I101:M101))</f>
        <v/>
      </c>
      <c r="O101" s="20">
        <f>IF(N101="","",IF(OR($D$18="",$H$18="X",N101&lt;N($C$18)),0,IF(B101="G마켓",ROUNDDOWN(MIN(IF($D$18&gt;=1,MIN($D$18,N101),N101*$D$18),IF($E$18="",9E+99,$E$18)),0),ROUNDUP(MIN(IF($D$18&gt;=1,MIN($D$18,N101),N101*$D$18),IF($E$18="",9E+99,$E$18)),0))))</f>
        <v/>
      </c>
      <c r="P101" s="20">
        <f>IF(N101="","",IF(OR($D$19="",$H$19="X",N101&lt;N($C$19)),0,IF(B101="G마켓",ROUNDDOWN(MIN(IF($D$19&gt;=1,MIN($D$19,N101),N101*$D$19),IF($E$19="",9E+99,$E$19)),0),ROUNDUP(MIN(IF($D$19&gt;=1,MIN($D$19,N101),N101*$D$19),IF($E$19="",9E+99,$E$19)),0))))</f>
        <v/>
      </c>
      <c r="Q101" s="20">
        <f>IF(N101="","",IF(OR($D$20="",$H$20="X",N101&lt;N($C$20)),0,IF(B101="G마켓",ROUNDDOWN(MIN(IF($D$20&gt;=1,MIN($D$20,N101),N101*$D$20),IF($E$20="",9E+99,$E$20)),0),ROUNDUP(MIN(IF($D$20&gt;=1,MIN($D$20,N101),N101*$D$20),IF($E$20="",9E+99,$E$20)),0))))</f>
        <v/>
      </c>
      <c r="R101" s="20">
        <f>IF(N101="","",IF(OR($D$21="",$H$21="X",N101&lt;N($C$21)),0,IF(B101="G마켓",ROUNDDOWN(MIN(IF($D$21&gt;=1,MIN($D$21,N101),N101*$D$21),IF($E$21="",9E+99,$E$21)),0),ROUNDUP(MIN(IF($D$21&gt;=1,MIN($D$21,N101),N101*$D$21),IF($E$21="",9E+99,$E$21)),0))))</f>
        <v/>
      </c>
      <c r="S101" s="19">
        <f>IF(G101="","",N101-MAX(O101:R101))</f>
        <v/>
      </c>
      <c r="T101" s="20">
        <f>IF(S101="","",IF(OR($D$25="",S101&lt;N($C$25)),0,IF(B101="G마켓",ROUNDDOWN(MIN(IF($D$25&gt;=1,MIN($D$25,S101),S101*$D$25),IF($E$25="",9E+99,$E$25)),0),ROUNDUP(MIN(IF($D$25&gt;=1,MIN($D$25,S101),S101*$D$25),IF($E$25="",9E+99,$E$25)),0))))</f>
        <v/>
      </c>
      <c r="U101" s="20">
        <f>IF(S101="","",IF(OR($D$26="",S101&lt;N($C$26)),0,IF(B101="G마켓",ROUNDDOWN(MIN(IF($D$26&gt;=1,MIN($D$26,S101),S101*$D$26),IF($E$26="",9E+99,$E$26)),0),ROUNDUP(MIN(IF($D$26&gt;=1,MIN($D$26,S101),S101*$D$26),IF($E$26="",9E+99,$E$26)),0))))</f>
        <v/>
      </c>
      <c r="V101" s="20">
        <f>IF(S101="","",IF(OR($D$27="",S101&lt;N($C$27)),0,IF(B101="G마켓",ROUNDDOWN(MIN(IF($D$27&gt;=1,MIN($D$27,S101),S101*$D$27),IF($E$27="",9E+99,$E$27)),0),ROUNDUP(MIN(IF($D$27&gt;=1,MIN($D$27,S101),S101*$D$27),IF($E$27="",9E+99,$E$27)),0))))</f>
        <v/>
      </c>
      <c r="W101" s="19">
        <f>IF(G101="","",MAX(T101:V101))</f>
        <v/>
      </c>
      <c r="X101" s="21">
        <f>IF(G101="","",S101-W101)</f>
        <v/>
      </c>
      <c r="Y101" s="19">
        <f>IF(G101="","",IF(B101="G마켓",ROUNDDOWN(MAX(I101*N($G$10),J101*N($G$11),K101*N($G$12),L101*N($G$13),M101*N($G$14))+MAX(O101*N($G$18),P101*N($G$19),Q101*N($G$20),R101*N($G$21))+MAX(T101*N($G$25),U101*N($G$26),V101*N($G$27)),0),ROUNDUP(MAX(I101*N($G$10),J101*N($G$11),K101*N($G$12),L101*N($G$13),M101*N($G$14))+MAX(O101*N($G$18),P101*N($G$19),Q101*N($G$20),R101*N($G$21))+MAX(T101*N($G$25),U101*N($G$26),V101*N($G$27)),0)))</f>
        <v/>
      </c>
      <c r="Z101" s="21">
        <f>IF(G101="","",IF(B101="G마켓",ROUNDDOWN(G101-G101*$Q$6-Y101,0),ROUNDUP(G101-G101*$Q$6-Y101,0)))</f>
        <v/>
      </c>
    </row>
    <row r="102">
      <c r="B102" s="7" t="n"/>
      <c r="C102" s="7" t="n"/>
      <c r="D102" s="22" t="n"/>
      <c r="E102" s="23" t="n"/>
      <c r="F102" s="23" t="n"/>
      <c r="G102" s="19">
        <f>IF(E102="","",E102-N(F102))</f>
        <v/>
      </c>
      <c r="I102" s="20">
        <f>IF(G102="","",IF(OR($D$10="",$H$10="X",G102&lt;N($C$10)),0,IF(B102="G마켓",ROUNDDOWN(MIN(IF($D$10&gt;=1,MIN($D$10,G102),G102*$D$10),IF($E$10="",9E+99,$E$10)),0),ROUNDUP(MIN(IF($D$10&gt;=1,MIN($D$10,G102),G102*$D$10),IF($E$10="",9E+99,$E$10)),0))))</f>
        <v/>
      </c>
      <c r="J102" s="20">
        <f>IF(G102="","",IF(OR($D$11="",$H$11="X",G102&lt;N($C$11)),0,IF(B102="G마켓",ROUNDDOWN(MIN(IF($D$11&gt;=1,MIN($D$11,G102),G102*$D$11),IF($E$11="",9E+99,$E$11)),0),ROUNDUP(MIN(IF($D$11&gt;=1,MIN($D$11,G102),G102*$D$11),IF($E$11="",9E+99,$E$11)),0))))</f>
        <v/>
      </c>
      <c r="K102" s="20">
        <f>IF(G102="","",IF(OR($D$12="",$H$12="X",G102&lt;N($C$12)),0,IF(B102="G마켓",ROUNDDOWN(MIN(IF($D$12&gt;=1,MIN($D$12,G102),G102*$D$12),IF($E$12="",9E+99,$E$12)),0),ROUNDUP(MIN(IF($D$12&gt;=1,MIN($D$12,G102),G102*$D$12),IF($E$12="",9E+99,$E$12)),0))))</f>
        <v/>
      </c>
      <c r="L102" s="20">
        <f>IF(G102="","",IF(OR($D$13="",$H$13="X",G102&lt;N($C$13)),0,IF(B102="G마켓",ROUNDDOWN(MIN(IF($D$13&gt;=1,MIN($D$13,G102),G102*$D$13),IF($E$13="",9E+99,$E$13)),0),ROUNDUP(MIN(IF($D$13&gt;=1,MIN($D$13,G102),G102*$D$13),IF($E$13="",9E+99,$E$13)),0))))</f>
        <v/>
      </c>
      <c r="M102" s="20">
        <f>IF(G102="","",IF(OR($D$14="",$H$14="X",G102&lt;N($C$14)),0,IF(B102="G마켓",ROUNDDOWN(MIN(IF($D$14&gt;=1,MIN($D$14,G102),G102*$D$14),IF($E$14="",9E+99,$E$14)),0),ROUNDUP(MIN(IF($D$14&gt;=1,MIN($D$14,G102),G102*$D$14),IF($E$14="",9E+99,$E$14)),0))))</f>
        <v/>
      </c>
      <c r="N102" s="19">
        <f>IF(G102="","",G102-MAX(I102:M102))</f>
        <v/>
      </c>
      <c r="O102" s="20">
        <f>IF(N102="","",IF(OR($D$18="",$H$18="X",N102&lt;N($C$18)),0,IF(B102="G마켓",ROUNDDOWN(MIN(IF($D$18&gt;=1,MIN($D$18,N102),N102*$D$18),IF($E$18="",9E+99,$E$18)),0),ROUNDUP(MIN(IF($D$18&gt;=1,MIN($D$18,N102),N102*$D$18),IF($E$18="",9E+99,$E$18)),0))))</f>
        <v/>
      </c>
      <c r="P102" s="20">
        <f>IF(N102="","",IF(OR($D$19="",$H$19="X",N102&lt;N($C$19)),0,IF(B102="G마켓",ROUNDDOWN(MIN(IF($D$19&gt;=1,MIN($D$19,N102),N102*$D$19),IF($E$19="",9E+99,$E$19)),0),ROUNDUP(MIN(IF($D$19&gt;=1,MIN($D$19,N102),N102*$D$19),IF($E$19="",9E+99,$E$19)),0))))</f>
        <v/>
      </c>
      <c r="Q102" s="20">
        <f>IF(N102="","",IF(OR($D$20="",$H$20="X",N102&lt;N($C$20)),0,IF(B102="G마켓",ROUNDDOWN(MIN(IF($D$20&gt;=1,MIN($D$20,N102),N102*$D$20),IF($E$20="",9E+99,$E$20)),0),ROUNDUP(MIN(IF($D$20&gt;=1,MIN($D$20,N102),N102*$D$20),IF($E$20="",9E+99,$E$20)),0))))</f>
        <v/>
      </c>
      <c r="R102" s="20">
        <f>IF(N102="","",IF(OR($D$21="",$H$21="X",N102&lt;N($C$21)),0,IF(B102="G마켓",ROUNDDOWN(MIN(IF($D$21&gt;=1,MIN($D$21,N102),N102*$D$21),IF($E$21="",9E+99,$E$21)),0),ROUNDUP(MIN(IF($D$21&gt;=1,MIN($D$21,N102),N102*$D$21),IF($E$21="",9E+99,$E$21)),0))))</f>
        <v/>
      </c>
      <c r="S102" s="19">
        <f>IF(G102="","",N102-MAX(O102:R102))</f>
        <v/>
      </c>
      <c r="T102" s="20">
        <f>IF(S102="","",IF(OR($D$25="",S102&lt;N($C$25)),0,IF(B102="G마켓",ROUNDDOWN(MIN(IF($D$25&gt;=1,MIN($D$25,S102),S102*$D$25),IF($E$25="",9E+99,$E$25)),0),ROUNDUP(MIN(IF($D$25&gt;=1,MIN($D$25,S102),S102*$D$25),IF($E$25="",9E+99,$E$25)),0))))</f>
        <v/>
      </c>
      <c r="U102" s="20">
        <f>IF(S102="","",IF(OR($D$26="",S102&lt;N($C$26)),0,IF(B102="G마켓",ROUNDDOWN(MIN(IF($D$26&gt;=1,MIN($D$26,S102),S102*$D$26),IF($E$26="",9E+99,$E$26)),0),ROUNDUP(MIN(IF($D$26&gt;=1,MIN($D$26,S102),S102*$D$26),IF($E$26="",9E+99,$E$26)),0))))</f>
        <v/>
      </c>
      <c r="V102" s="20">
        <f>IF(S102="","",IF(OR($D$27="",S102&lt;N($C$27)),0,IF(B102="G마켓",ROUNDDOWN(MIN(IF($D$27&gt;=1,MIN($D$27,S102),S102*$D$27),IF($E$27="",9E+99,$E$27)),0),ROUNDUP(MIN(IF($D$27&gt;=1,MIN($D$27,S102),S102*$D$27),IF($E$27="",9E+99,$E$27)),0))))</f>
        <v/>
      </c>
      <c r="W102" s="19">
        <f>IF(G102="","",MAX(T102:V102))</f>
        <v/>
      </c>
      <c r="X102" s="21">
        <f>IF(G102="","",S102-W102)</f>
        <v/>
      </c>
      <c r="Y102" s="19">
        <f>IF(G102="","",IF(B102="G마켓",ROUNDDOWN(MAX(I102*N($G$10),J102*N($G$11),K102*N($G$12),L102*N($G$13),M102*N($G$14))+MAX(O102*N($G$18),P102*N($G$19),Q102*N($G$20),R102*N($G$21))+MAX(T102*N($G$25),U102*N($G$26),V102*N($G$27)),0),ROUNDUP(MAX(I102*N($G$10),J102*N($G$11),K102*N($G$12),L102*N($G$13),M102*N($G$14))+MAX(O102*N($G$18),P102*N($G$19),Q102*N($G$20),R102*N($G$21))+MAX(T102*N($G$25),U102*N($G$26),V102*N($G$27)),0)))</f>
        <v/>
      </c>
      <c r="Z102" s="21">
        <f>IF(G102="","",IF(B102="G마켓",ROUNDDOWN(G102-G102*$Q$6-Y102,0),ROUNDUP(G102-G102*$Q$6-Y102,0)))</f>
        <v/>
      </c>
    </row>
    <row r="103">
      <c r="B103" s="7" t="n"/>
      <c r="C103" s="7" t="n"/>
      <c r="D103" s="22" t="n"/>
      <c r="E103" s="23" t="n"/>
      <c r="F103" s="23" t="n"/>
      <c r="G103" s="19">
        <f>IF(E103="","",E103-N(F103))</f>
        <v/>
      </c>
      <c r="I103" s="20">
        <f>IF(G103="","",IF(OR($D$10="",$H$10="X",G103&lt;N($C$10)),0,IF(B103="G마켓",ROUNDDOWN(MIN(IF($D$10&gt;=1,MIN($D$10,G103),G103*$D$10),IF($E$10="",9E+99,$E$10)),0),ROUNDUP(MIN(IF($D$10&gt;=1,MIN($D$10,G103),G103*$D$10),IF($E$10="",9E+99,$E$10)),0))))</f>
        <v/>
      </c>
      <c r="J103" s="20">
        <f>IF(G103="","",IF(OR($D$11="",$H$11="X",G103&lt;N($C$11)),0,IF(B103="G마켓",ROUNDDOWN(MIN(IF($D$11&gt;=1,MIN($D$11,G103),G103*$D$11),IF($E$11="",9E+99,$E$11)),0),ROUNDUP(MIN(IF($D$11&gt;=1,MIN($D$11,G103),G103*$D$11),IF($E$11="",9E+99,$E$11)),0))))</f>
        <v/>
      </c>
      <c r="K103" s="20">
        <f>IF(G103="","",IF(OR($D$12="",$H$12="X",G103&lt;N($C$12)),0,IF(B103="G마켓",ROUNDDOWN(MIN(IF($D$12&gt;=1,MIN($D$12,G103),G103*$D$12),IF($E$12="",9E+99,$E$12)),0),ROUNDUP(MIN(IF($D$12&gt;=1,MIN($D$12,G103),G103*$D$12),IF($E$12="",9E+99,$E$12)),0))))</f>
        <v/>
      </c>
      <c r="L103" s="20">
        <f>IF(G103="","",IF(OR($D$13="",$H$13="X",G103&lt;N($C$13)),0,IF(B103="G마켓",ROUNDDOWN(MIN(IF($D$13&gt;=1,MIN($D$13,G103),G103*$D$13),IF($E$13="",9E+99,$E$13)),0),ROUNDUP(MIN(IF($D$13&gt;=1,MIN($D$13,G103),G103*$D$13),IF($E$13="",9E+99,$E$13)),0))))</f>
        <v/>
      </c>
      <c r="M103" s="20">
        <f>IF(G103="","",IF(OR($D$14="",$H$14="X",G103&lt;N($C$14)),0,IF(B103="G마켓",ROUNDDOWN(MIN(IF($D$14&gt;=1,MIN($D$14,G103),G103*$D$14),IF($E$14="",9E+99,$E$14)),0),ROUNDUP(MIN(IF($D$14&gt;=1,MIN($D$14,G103),G103*$D$14),IF($E$14="",9E+99,$E$14)),0))))</f>
        <v/>
      </c>
      <c r="N103" s="19">
        <f>IF(G103="","",G103-MAX(I103:M103))</f>
        <v/>
      </c>
      <c r="O103" s="20">
        <f>IF(N103="","",IF(OR($D$18="",$H$18="X",N103&lt;N($C$18)),0,IF(B103="G마켓",ROUNDDOWN(MIN(IF($D$18&gt;=1,MIN($D$18,N103),N103*$D$18),IF($E$18="",9E+99,$E$18)),0),ROUNDUP(MIN(IF($D$18&gt;=1,MIN($D$18,N103),N103*$D$18),IF($E$18="",9E+99,$E$18)),0))))</f>
        <v/>
      </c>
      <c r="P103" s="20">
        <f>IF(N103="","",IF(OR($D$19="",$H$19="X",N103&lt;N($C$19)),0,IF(B103="G마켓",ROUNDDOWN(MIN(IF($D$19&gt;=1,MIN($D$19,N103),N103*$D$19),IF($E$19="",9E+99,$E$19)),0),ROUNDUP(MIN(IF($D$19&gt;=1,MIN($D$19,N103),N103*$D$19),IF($E$19="",9E+99,$E$19)),0))))</f>
        <v/>
      </c>
      <c r="Q103" s="20">
        <f>IF(N103="","",IF(OR($D$20="",$H$20="X",N103&lt;N($C$20)),0,IF(B103="G마켓",ROUNDDOWN(MIN(IF($D$20&gt;=1,MIN($D$20,N103),N103*$D$20),IF($E$20="",9E+99,$E$20)),0),ROUNDUP(MIN(IF($D$20&gt;=1,MIN($D$20,N103),N103*$D$20),IF($E$20="",9E+99,$E$20)),0))))</f>
        <v/>
      </c>
      <c r="R103" s="20">
        <f>IF(N103="","",IF(OR($D$21="",$H$21="X",N103&lt;N($C$21)),0,IF(B103="G마켓",ROUNDDOWN(MIN(IF($D$21&gt;=1,MIN($D$21,N103),N103*$D$21),IF($E$21="",9E+99,$E$21)),0),ROUNDUP(MIN(IF($D$21&gt;=1,MIN($D$21,N103),N103*$D$21),IF($E$21="",9E+99,$E$21)),0))))</f>
        <v/>
      </c>
      <c r="S103" s="19">
        <f>IF(G103="","",N103-MAX(O103:R103))</f>
        <v/>
      </c>
      <c r="T103" s="20">
        <f>IF(S103="","",IF(OR($D$25="",S103&lt;N($C$25)),0,IF(B103="G마켓",ROUNDDOWN(MIN(IF($D$25&gt;=1,MIN($D$25,S103),S103*$D$25),IF($E$25="",9E+99,$E$25)),0),ROUNDUP(MIN(IF($D$25&gt;=1,MIN($D$25,S103),S103*$D$25),IF($E$25="",9E+99,$E$25)),0))))</f>
        <v/>
      </c>
      <c r="U103" s="20">
        <f>IF(S103="","",IF(OR($D$26="",S103&lt;N($C$26)),0,IF(B103="G마켓",ROUNDDOWN(MIN(IF($D$26&gt;=1,MIN($D$26,S103),S103*$D$26),IF($E$26="",9E+99,$E$26)),0),ROUNDUP(MIN(IF($D$26&gt;=1,MIN($D$26,S103),S103*$D$26),IF($E$26="",9E+99,$E$26)),0))))</f>
        <v/>
      </c>
      <c r="V103" s="20">
        <f>IF(S103="","",IF(OR($D$27="",S103&lt;N($C$27)),0,IF(B103="G마켓",ROUNDDOWN(MIN(IF($D$27&gt;=1,MIN($D$27,S103),S103*$D$27),IF($E$27="",9E+99,$E$27)),0),ROUNDUP(MIN(IF($D$27&gt;=1,MIN($D$27,S103),S103*$D$27),IF($E$27="",9E+99,$E$27)),0))))</f>
        <v/>
      </c>
      <c r="W103" s="19">
        <f>IF(G103="","",MAX(T103:V103))</f>
        <v/>
      </c>
      <c r="X103" s="21">
        <f>IF(G103="","",S103-W103)</f>
        <v/>
      </c>
      <c r="Y103" s="19">
        <f>IF(G103="","",IF(B103="G마켓",ROUNDDOWN(MAX(I103*N($G$10),J103*N($G$11),K103*N($G$12),L103*N($G$13),M103*N($G$14))+MAX(O103*N($G$18),P103*N($G$19),Q103*N($G$20),R103*N($G$21))+MAX(T103*N($G$25),U103*N($G$26),V103*N($G$27)),0),ROUNDUP(MAX(I103*N($G$10),J103*N($G$11),K103*N($G$12),L103*N($G$13),M103*N($G$14))+MAX(O103*N($G$18),P103*N($G$19),Q103*N($G$20),R103*N($G$21))+MAX(T103*N($G$25),U103*N($G$26),V103*N($G$27)),0)))</f>
        <v/>
      </c>
      <c r="Z103" s="21">
        <f>IF(G103="","",IF(B103="G마켓",ROUNDDOWN(G103-G103*$Q$6-Y103,0),ROUNDUP(G103-G103*$Q$6-Y103,0)))</f>
        <v/>
      </c>
    </row>
    <row r="104">
      <c r="B104" s="7" t="n"/>
      <c r="C104" s="7" t="n"/>
      <c r="D104" s="22" t="n"/>
      <c r="E104" s="23" t="n"/>
      <c r="F104" s="23" t="n"/>
      <c r="G104" s="19">
        <f>IF(E104="","",E104-N(F104))</f>
        <v/>
      </c>
      <c r="I104" s="20">
        <f>IF(G104="","",IF(OR($D$10="",$H$10="X",G104&lt;N($C$10)),0,IF(B104="G마켓",ROUNDDOWN(MIN(IF($D$10&gt;=1,MIN($D$10,G104),G104*$D$10),IF($E$10="",9E+99,$E$10)),0),ROUNDUP(MIN(IF($D$10&gt;=1,MIN($D$10,G104),G104*$D$10),IF($E$10="",9E+99,$E$10)),0))))</f>
        <v/>
      </c>
      <c r="J104" s="20">
        <f>IF(G104="","",IF(OR($D$11="",$H$11="X",G104&lt;N($C$11)),0,IF(B104="G마켓",ROUNDDOWN(MIN(IF($D$11&gt;=1,MIN($D$11,G104),G104*$D$11),IF($E$11="",9E+99,$E$11)),0),ROUNDUP(MIN(IF($D$11&gt;=1,MIN($D$11,G104),G104*$D$11),IF($E$11="",9E+99,$E$11)),0))))</f>
        <v/>
      </c>
      <c r="K104" s="20">
        <f>IF(G104="","",IF(OR($D$12="",$H$12="X",G104&lt;N($C$12)),0,IF(B104="G마켓",ROUNDDOWN(MIN(IF($D$12&gt;=1,MIN($D$12,G104),G104*$D$12),IF($E$12="",9E+99,$E$12)),0),ROUNDUP(MIN(IF($D$12&gt;=1,MIN($D$12,G104),G104*$D$12),IF($E$12="",9E+99,$E$12)),0))))</f>
        <v/>
      </c>
      <c r="L104" s="20">
        <f>IF(G104="","",IF(OR($D$13="",$H$13="X",G104&lt;N($C$13)),0,IF(B104="G마켓",ROUNDDOWN(MIN(IF($D$13&gt;=1,MIN($D$13,G104),G104*$D$13),IF($E$13="",9E+99,$E$13)),0),ROUNDUP(MIN(IF($D$13&gt;=1,MIN($D$13,G104),G104*$D$13),IF($E$13="",9E+99,$E$13)),0))))</f>
        <v/>
      </c>
      <c r="M104" s="20">
        <f>IF(G104="","",IF(OR($D$14="",$H$14="X",G104&lt;N($C$14)),0,IF(B104="G마켓",ROUNDDOWN(MIN(IF($D$14&gt;=1,MIN($D$14,G104),G104*$D$14),IF($E$14="",9E+99,$E$14)),0),ROUNDUP(MIN(IF($D$14&gt;=1,MIN($D$14,G104),G104*$D$14),IF($E$14="",9E+99,$E$14)),0))))</f>
        <v/>
      </c>
      <c r="N104" s="19">
        <f>IF(G104="","",G104-MAX(I104:M104))</f>
        <v/>
      </c>
      <c r="O104" s="20">
        <f>IF(N104="","",IF(OR($D$18="",$H$18="X",N104&lt;N($C$18)),0,IF(B104="G마켓",ROUNDDOWN(MIN(IF($D$18&gt;=1,MIN($D$18,N104),N104*$D$18),IF($E$18="",9E+99,$E$18)),0),ROUNDUP(MIN(IF($D$18&gt;=1,MIN($D$18,N104),N104*$D$18),IF($E$18="",9E+99,$E$18)),0))))</f>
        <v/>
      </c>
      <c r="P104" s="20">
        <f>IF(N104="","",IF(OR($D$19="",$H$19="X",N104&lt;N($C$19)),0,IF(B104="G마켓",ROUNDDOWN(MIN(IF($D$19&gt;=1,MIN($D$19,N104),N104*$D$19),IF($E$19="",9E+99,$E$19)),0),ROUNDUP(MIN(IF($D$19&gt;=1,MIN($D$19,N104),N104*$D$19),IF($E$19="",9E+99,$E$19)),0))))</f>
        <v/>
      </c>
      <c r="Q104" s="20">
        <f>IF(N104="","",IF(OR($D$20="",$H$20="X",N104&lt;N($C$20)),0,IF(B104="G마켓",ROUNDDOWN(MIN(IF($D$20&gt;=1,MIN($D$20,N104),N104*$D$20),IF($E$20="",9E+99,$E$20)),0),ROUNDUP(MIN(IF($D$20&gt;=1,MIN($D$20,N104),N104*$D$20),IF($E$20="",9E+99,$E$20)),0))))</f>
        <v/>
      </c>
      <c r="R104" s="20">
        <f>IF(N104="","",IF(OR($D$21="",$H$21="X",N104&lt;N($C$21)),0,IF(B104="G마켓",ROUNDDOWN(MIN(IF($D$21&gt;=1,MIN($D$21,N104),N104*$D$21),IF($E$21="",9E+99,$E$21)),0),ROUNDUP(MIN(IF($D$21&gt;=1,MIN($D$21,N104),N104*$D$21),IF($E$21="",9E+99,$E$21)),0))))</f>
        <v/>
      </c>
      <c r="S104" s="19">
        <f>IF(G104="","",N104-MAX(O104:R104))</f>
        <v/>
      </c>
      <c r="T104" s="20">
        <f>IF(S104="","",IF(OR($D$25="",S104&lt;N($C$25)),0,IF(B104="G마켓",ROUNDDOWN(MIN(IF($D$25&gt;=1,MIN($D$25,S104),S104*$D$25),IF($E$25="",9E+99,$E$25)),0),ROUNDUP(MIN(IF($D$25&gt;=1,MIN($D$25,S104),S104*$D$25),IF($E$25="",9E+99,$E$25)),0))))</f>
        <v/>
      </c>
      <c r="U104" s="20">
        <f>IF(S104="","",IF(OR($D$26="",S104&lt;N($C$26)),0,IF(B104="G마켓",ROUNDDOWN(MIN(IF($D$26&gt;=1,MIN($D$26,S104),S104*$D$26),IF($E$26="",9E+99,$E$26)),0),ROUNDUP(MIN(IF($D$26&gt;=1,MIN($D$26,S104),S104*$D$26),IF($E$26="",9E+99,$E$26)),0))))</f>
        <v/>
      </c>
      <c r="V104" s="20">
        <f>IF(S104="","",IF(OR($D$27="",S104&lt;N($C$27)),0,IF(B104="G마켓",ROUNDDOWN(MIN(IF($D$27&gt;=1,MIN($D$27,S104),S104*$D$27),IF($E$27="",9E+99,$E$27)),0),ROUNDUP(MIN(IF($D$27&gt;=1,MIN($D$27,S104),S104*$D$27),IF($E$27="",9E+99,$E$27)),0))))</f>
        <v/>
      </c>
      <c r="W104" s="19">
        <f>IF(G104="","",MAX(T104:V104))</f>
        <v/>
      </c>
      <c r="X104" s="21">
        <f>IF(G104="","",S104-W104)</f>
        <v/>
      </c>
      <c r="Y104" s="19">
        <f>IF(G104="","",IF(B104="G마켓",ROUNDDOWN(MAX(I104*N($G$10),J104*N($G$11),K104*N($G$12),L104*N($G$13),M104*N($G$14))+MAX(O104*N($G$18),P104*N($G$19),Q104*N($G$20),R104*N($G$21))+MAX(T104*N($G$25),U104*N($G$26),V104*N($G$27)),0),ROUNDUP(MAX(I104*N($G$10),J104*N($G$11),K104*N($G$12),L104*N($G$13),M104*N($G$14))+MAX(O104*N($G$18),P104*N($G$19),Q104*N($G$20),R104*N($G$21))+MAX(T104*N($G$25),U104*N($G$26),V104*N($G$27)),0)))</f>
        <v/>
      </c>
      <c r="Z104" s="21">
        <f>IF(G104="","",IF(B104="G마켓",ROUNDDOWN(G104-G104*$Q$6-Y104,0),ROUNDUP(G104-G104*$Q$6-Y104,0)))</f>
        <v/>
      </c>
    </row>
    <row r="105">
      <c r="B105" s="7" t="n"/>
      <c r="C105" s="7" t="n"/>
      <c r="D105" s="22" t="n"/>
      <c r="E105" s="23" t="n"/>
      <c r="F105" s="23" t="n"/>
      <c r="G105" s="19">
        <f>IF(E105="","",E105-N(F105))</f>
        <v/>
      </c>
      <c r="I105" s="20">
        <f>IF(G105="","",IF(OR($D$10="",$H$10="X",G105&lt;N($C$10)),0,IF(B105="G마켓",ROUNDDOWN(MIN(IF($D$10&gt;=1,MIN($D$10,G105),G105*$D$10),IF($E$10="",9E+99,$E$10)),0),ROUNDUP(MIN(IF($D$10&gt;=1,MIN($D$10,G105),G105*$D$10),IF($E$10="",9E+99,$E$10)),0))))</f>
        <v/>
      </c>
      <c r="J105" s="20">
        <f>IF(G105="","",IF(OR($D$11="",$H$11="X",G105&lt;N($C$11)),0,IF(B105="G마켓",ROUNDDOWN(MIN(IF($D$11&gt;=1,MIN($D$11,G105),G105*$D$11),IF($E$11="",9E+99,$E$11)),0),ROUNDUP(MIN(IF($D$11&gt;=1,MIN($D$11,G105),G105*$D$11),IF($E$11="",9E+99,$E$11)),0))))</f>
        <v/>
      </c>
      <c r="K105" s="20">
        <f>IF(G105="","",IF(OR($D$12="",$H$12="X",G105&lt;N($C$12)),0,IF(B105="G마켓",ROUNDDOWN(MIN(IF($D$12&gt;=1,MIN($D$12,G105),G105*$D$12),IF($E$12="",9E+99,$E$12)),0),ROUNDUP(MIN(IF($D$12&gt;=1,MIN($D$12,G105),G105*$D$12),IF($E$12="",9E+99,$E$12)),0))))</f>
        <v/>
      </c>
      <c r="L105" s="20">
        <f>IF(G105="","",IF(OR($D$13="",$H$13="X",G105&lt;N($C$13)),0,IF(B105="G마켓",ROUNDDOWN(MIN(IF($D$13&gt;=1,MIN($D$13,G105),G105*$D$13),IF($E$13="",9E+99,$E$13)),0),ROUNDUP(MIN(IF($D$13&gt;=1,MIN($D$13,G105),G105*$D$13),IF($E$13="",9E+99,$E$13)),0))))</f>
        <v/>
      </c>
      <c r="M105" s="20">
        <f>IF(G105="","",IF(OR($D$14="",$H$14="X",G105&lt;N($C$14)),0,IF(B105="G마켓",ROUNDDOWN(MIN(IF($D$14&gt;=1,MIN($D$14,G105),G105*$D$14),IF($E$14="",9E+99,$E$14)),0),ROUNDUP(MIN(IF($D$14&gt;=1,MIN($D$14,G105),G105*$D$14),IF($E$14="",9E+99,$E$14)),0))))</f>
        <v/>
      </c>
      <c r="N105" s="19">
        <f>IF(G105="","",G105-MAX(I105:M105))</f>
        <v/>
      </c>
      <c r="O105" s="20">
        <f>IF(N105="","",IF(OR($D$18="",$H$18="X",N105&lt;N($C$18)),0,IF(B105="G마켓",ROUNDDOWN(MIN(IF($D$18&gt;=1,MIN($D$18,N105),N105*$D$18),IF($E$18="",9E+99,$E$18)),0),ROUNDUP(MIN(IF($D$18&gt;=1,MIN($D$18,N105),N105*$D$18),IF($E$18="",9E+99,$E$18)),0))))</f>
        <v/>
      </c>
      <c r="P105" s="20">
        <f>IF(N105="","",IF(OR($D$19="",$H$19="X",N105&lt;N($C$19)),0,IF(B105="G마켓",ROUNDDOWN(MIN(IF($D$19&gt;=1,MIN($D$19,N105),N105*$D$19),IF($E$19="",9E+99,$E$19)),0),ROUNDUP(MIN(IF($D$19&gt;=1,MIN($D$19,N105),N105*$D$19),IF($E$19="",9E+99,$E$19)),0))))</f>
        <v/>
      </c>
      <c r="Q105" s="20">
        <f>IF(N105="","",IF(OR($D$20="",$H$20="X",N105&lt;N($C$20)),0,IF(B105="G마켓",ROUNDDOWN(MIN(IF($D$20&gt;=1,MIN($D$20,N105),N105*$D$20),IF($E$20="",9E+99,$E$20)),0),ROUNDUP(MIN(IF($D$20&gt;=1,MIN($D$20,N105),N105*$D$20),IF($E$20="",9E+99,$E$20)),0))))</f>
        <v/>
      </c>
      <c r="R105" s="20">
        <f>IF(N105="","",IF(OR($D$21="",$H$21="X",N105&lt;N($C$21)),0,IF(B105="G마켓",ROUNDDOWN(MIN(IF($D$21&gt;=1,MIN($D$21,N105),N105*$D$21),IF($E$21="",9E+99,$E$21)),0),ROUNDUP(MIN(IF($D$21&gt;=1,MIN($D$21,N105),N105*$D$21),IF($E$21="",9E+99,$E$21)),0))))</f>
        <v/>
      </c>
      <c r="S105" s="19">
        <f>IF(G105="","",N105-MAX(O105:R105))</f>
        <v/>
      </c>
      <c r="T105" s="20">
        <f>IF(S105="","",IF(OR($D$25="",S105&lt;N($C$25)),0,IF(B105="G마켓",ROUNDDOWN(MIN(IF($D$25&gt;=1,MIN($D$25,S105),S105*$D$25),IF($E$25="",9E+99,$E$25)),0),ROUNDUP(MIN(IF($D$25&gt;=1,MIN($D$25,S105),S105*$D$25),IF($E$25="",9E+99,$E$25)),0))))</f>
        <v/>
      </c>
      <c r="U105" s="20">
        <f>IF(S105="","",IF(OR($D$26="",S105&lt;N($C$26)),0,IF(B105="G마켓",ROUNDDOWN(MIN(IF($D$26&gt;=1,MIN($D$26,S105),S105*$D$26),IF($E$26="",9E+99,$E$26)),0),ROUNDUP(MIN(IF($D$26&gt;=1,MIN($D$26,S105),S105*$D$26),IF($E$26="",9E+99,$E$26)),0))))</f>
        <v/>
      </c>
      <c r="V105" s="20">
        <f>IF(S105="","",IF(OR($D$27="",S105&lt;N($C$27)),0,IF(B105="G마켓",ROUNDDOWN(MIN(IF($D$27&gt;=1,MIN($D$27,S105),S105*$D$27),IF($E$27="",9E+99,$E$27)),0),ROUNDUP(MIN(IF($D$27&gt;=1,MIN($D$27,S105),S105*$D$27),IF($E$27="",9E+99,$E$27)),0))))</f>
        <v/>
      </c>
      <c r="W105" s="19">
        <f>IF(G105="","",MAX(T105:V105))</f>
        <v/>
      </c>
      <c r="X105" s="21">
        <f>IF(G105="","",S105-W105)</f>
        <v/>
      </c>
      <c r="Y105" s="19">
        <f>IF(G105="","",IF(B105="G마켓",ROUNDDOWN(MAX(I105*N($G$10),J105*N($G$11),K105*N($G$12),L105*N($G$13),M105*N($G$14))+MAX(O105*N($G$18),P105*N($G$19),Q105*N($G$20),R105*N($G$21))+MAX(T105*N($G$25),U105*N($G$26),V105*N($G$27)),0),ROUNDUP(MAX(I105*N($G$10),J105*N($G$11),K105*N($G$12),L105*N($G$13),M105*N($G$14))+MAX(O105*N($G$18),P105*N($G$19),Q105*N($G$20),R105*N($G$21))+MAX(T105*N($G$25),U105*N($G$26),V105*N($G$27)),0)))</f>
        <v/>
      </c>
      <c r="Z105" s="21">
        <f>IF(G105="","",IF(B105="G마켓",ROUNDDOWN(G105-G105*$Q$6-Y105,0),ROUNDUP(G105-G105*$Q$6-Y105,0)))</f>
        <v/>
      </c>
    </row>
    <row r="106">
      <c r="B106" s="7" t="n"/>
      <c r="C106" s="7" t="n"/>
      <c r="D106" s="22" t="n"/>
      <c r="E106" s="23" t="n"/>
      <c r="F106" s="23" t="n"/>
      <c r="G106" s="19">
        <f>IF(E106="","",E106-N(F106))</f>
        <v/>
      </c>
      <c r="I106" s="20">
        <f>IF(G106="","",IF(OR($D$10="",$H$10="X",G106&lt;N($C$10)),0,IF(B106="G마켓",ROUNDDOWN(MIN(IF($D$10&gt;=1,MIN($D$10,G106),G106*$D$10),IF($E$10="",9E+99,$E$10)),0),ROUNDUP(MIN(IF($D$10&gt;=1,MIN($D$10,G106),G106*$D$10),IF($E$10="",9E+99,$E$10)),0))))</f>
        <v/>
      </c>
      <c r="J106" s="20">
        <f>IF(G106="","",IF(OR($D$11="",$H$11="X",G106&lt;N($C$11)),0,IF(B106="G마켓",ROUNDDOWN(MIN(IF($D$11&gt;=1,MIN($D$11,G106),G106*$D$11),IF($E$11="",9E+99,$E$11)),0),ROUNDUP(MIN(IF($D$11&gt;=1,MIN($D$11,G106),G106*$D$11),IF($E$11="",9E+99,$E$11)),0))))</f>
        <v/>
      </c>
      <c r="K106" s="20">
        <f>IF(G106="","",IF(OR($D$12="",$H$12="X",G106&lt;N($C$12)),0,IF(B106="G마켓",ROUNDDOWN(MIN(IF($D$12&gt;=1,MIN($D$12,G106),G106*$D$12),IF($E$12="",9E+99,$E$12)),0),ROUNDUP(MIN(IF($D$12&gt;=1,MIN($D$12,G106),G106*$D$12),IF($E$12="",9E+99,$E$12)),0))))</f>
        <v/>
      </c>
      <c r="L106" s="20">
        <f>IF(G106="","",IF(OR($D$13="",$H$13="X",G106&lt;N($C$13)),0,IF(B106="G마켓",ROUNDDOWN(MIN(IF($D$13&gt;=1,MIN($D$13,G106),G106*$D$13),IF($E$13="",9E+99,$E$13)),0),ROUNDUP(MIN(IF($D$13&gt;=1,MIN($D$13,G106),G106*$D$13),IF($E$13="",9E+99,$E$13)),0))))</f>
        <v/>
      </c>
      <c r="M106" s="20">
        <f>IF(G106="","",IF(OR($D$14="",$H$14="X",G106&lt;N($C$14)),0,IF(B106="G마켓",ROUNDDOWN(MIN(IF($D$14&gt;=1,MIN($D$14,G106),G106*$D$14),IF($E$14="",9E+99,$E$14)),0),ROUNDUP(MIN(IF($D$14&gt;=1,MIN($D$14,G106),G106*$D$14),IF($E$14="",9E+99,$E$14)),0))))</f>
        <v/>
      </c>
      <c r="N106" s="19">
        <f>IF(G106="","",G106-MAX(I106:M106))</f>
        <v/>
      </c>
      <c r="O106" s="20">
        <f>IF(N106="","",IF(OR($D$18="",$H$18="X",N106&lt;N($C$18)),0,IF(B106="G마켓",ROUNDDOWN(MIN(IF($D$18&gt;=1,MIN($D$18,N106),N106*$D$18),IF($E$18="",9E+99,$E$18)),0),ROUNDUP(MIN(IF($D$18&gt;=1,MIN($D$18,N106),N106*$D$18),IF($E$18="",9E+99,$E$18)),0))))</f>
        <v/>
      </c>
      <c r="P106" s="20">
        <f>IF(N106="","",IF(OR($D$19="",$H$19="X",N106&lt;N($C$19)),0,IF(B106="G마켓",ROUNDDOWN(MIN(IF($D$19&gt;=1,MIN($D$19,N106),N106*$D$19),IF($E$19="",9E+99,$E$19)),0),ROUNDUP(MIN(IF($D$19&gt;=1,MIN($D$19,N106),N106*$D$19),IF($E$19="",9E+99,$E$19)),0))))</f>
        <v/>
      </c>
      <c r="Q106" s="20">
        <f>IF(N106="","",IF(OR($D$20="",$H$20="X",N106&lt;N($C$20)),0,IF(B106="G마켓",ROUNDDOWN(MIN(IF($D$20&gt;=1,MIN($D$20,N106),N106*$D$20),IF($E$20="",9E+99,$E$20)),0),ROUNDUP(MIN(IF($D$20&gt;=1,MIN($D$20,N106),N106*$D$20),IF($E$20="",9E+99,$E$20)),0))))</f>
        <v/>
      </c>
      <c r="R106" s="20">
        <f>IF(N106="","",IF(OR($D$21="",$H$21="X",N106&lt;N($C$21)),0,IF(B106="G마켓",ROUNDDOWN(MIN(IF($D$21&gt;=1,MIN($D$21,N106),N106*$D$21),IF($E$21="",9E+99,$E$21)),0),ROUNDUP(MIN(IF($D$21&gt;=1,MIN($D$21,N106),N106*$D$21),IF($E$21="",9E+99,$E$21)),0))))</f>
        <v/>
      </c>
      <c r="S106" s="19">
        <f>IF(G106="","",N106-MAX(O106:R106))</f>
        <v/>
      </c>
      <c r="T106" s="20">
        <f>IF(S106="","",IF(OR($D$25="",S106&lt;N($C$25)),0,IF(B106="G마켓",ROUNDDOWN(MIN(IF($D$25&gt;=1,MIN($D$25,S106),S106*$D$25),IF($E$25="",9E+99,$E$25)),0),ROUNDUP(MIN(IF($D$25&gt;=1,MIN($D$25,S106),S106*$D$25),IF($E$25="",9E+99,$E$25)),0))))</f>
        <v/>
      </c>
      <c r="U106" s="20">
        <f>IF(S106="","",IF(OR($D$26="",S106&lt;N($C$26)),0,IF(B106="G마켓",ROUNDDOWN(MIN(IF($D$26&gt;=1,MIN($D$26,S106),S106*$D$26),IF($E$26="",9E+99,$E$26)),0),ROUNDUP(MIN(IF($D$26&gt;=1,MIN($D$26,S106),S106*$D$26),IF($E$26="",9E+99,$E$26)),0))))</f>
        <v/>
      </c>
      <c r="V106" s="20">
        <f>IF(S106="","",IF(OR($D$27="",S106&lt;N($C$27)),0,IF(B106="G마켓",ROUNDDOWN(MIN(IF($D$27&gt;=1,MIN($D$27,S106),S106*$D$27),IF($E$27="",9E+99,$E$27)),0),ROUNDUP(MIN(IF($D$27&gt;=1,MIN($D$27,S106),S106*$D$27),IF($E$27="",9E+99,$E$27)),0))))</f>
        <v/>
      </c>
      <c r="W106" s="19">
        <f>IF(G106="","",MAX(T106:V106))</f>
        <v/>
      </c>
      <c r="X106" s="21">
        <f>IF(G106="","",S106-W106)</f>
        <v/>
      </c>
      <c r="Y106" s="19">
        <f>IF(G106="","",IF(B106="G마켓",ROUNDDOWN(MAX(I106*N($G$10),J106*N($G$11),K106*N($G$12),L106*N($G$13),M106*N($G$14))+MAX(O106*N($G$18),P106*N($G$19),Q106*N($G$20),R106*N($G$21))+MAX(T106*N($G$25),U106*N($G$26),V106*N($G$27)),0),ROUNDUP(MAX(I106*N($G$10),J106*N($G$11),K106*N($G$12),L106*N($G$13),M106*N($G$14))+MAX(O106*N($G$18),P106*N($G$19),Q106*N($G$20),R106*N($G$21))+MAX(T106*N($G$25),U106*N($G$26),V106*N($G$27)),0)))</f>
        <v/>
      </c>
      <c r="Z106" s="21">
        <f>IF(G106="","",IF(B106="G마켓",ROUNDDOWN(G106-G106*$Q$6-Y106,0),ROUNDUP(G106-G106*$Q$6-Y106,0)))</f>
        <v/>
      </c>
    </row>
    <row r="107">
      <c r="B107" s="7" t="n"/>
      <c r="C107" s="7" t="n"/>
      <c r="D107" s="22" t="n"/>
      <c r="E107" s="23" t="n"/>
      <c r="F107" s="23" t="n"/>
      <c r="G107" s="19">
        <f>IF(E107="","",E107-N(F107))</f>
        <v/>
      </c>
      <c r="I107" s="20">
        <f>IF(G107="","",IF(OR($D$10="",$H$10="X",G107&lt;N($C$10)),0,IF(B107="G마켓",ROUNDDOWN(MIN(IF($D$10&gt;=1,MIN($D$10,G107),G107*$D$10),IF($E$10="",9E+99,$E$10)),0),ROUNDUP(MIN(IF($D$10&gt;=1,MIN($D$10,G107),G107*$D$10),IF($E$10="",9E+99,$E$10)),0))))</f>
        <v/>
      </c>
      <c r="J107" s="20">
        <f>IF(G107="","",IF(OR($D$11="",$H$11="X",G107&lt;N($C$11)),0,IF(B107="G마켓",ROUNDDOWN(MIN(IF($D$11&gt;=1,MIN($D$11,G107),G107*$D$11),IF($E$11="",9E+99,$E$11)),0),ROUNDUP(MIN(IF($D$11&gt;=1,MIN($D$11,G107),G107*$D$11),IF($E$11="",9E+99,$E$11)),0))))</f>
        <v/>
      </c>
      <c r="K107" s="20">
        <f>IF(G107="","",IF(OR($D$12="",$H$12="X",G107&lt;N($C$12)),0,IF(B107="G마켓",ROUNDDOWN(MIN(IF($D$12&gt;=1,MIN($D$12,G107),G107*$D$12),IF($E$12="",9E+99,$E$12)),0),ROUNDUP(MIN(IF($D$12&gt;=1,MIN($D$12,G107),G107*$D$12),IF($E$12="",9E+99,$E$12)),0))))</f>
        <v/>
      </c>
      <c r="L107" s="20">
        <f>IF(G107="","",IF(OR($D$13="",$H$13="X",G107&lt;N($C$13)),0,IF(B107="G마켓",ROUNDDOWN(MIN(IF($D$13&gt;=1,MIN($D$13,G107),G107*$D$13),IF($E$13="",9E+99,$E$13)),0),ROUNDUP(MIN(IF($D$13&gt;=1,MIN($D$13,G107),G107*$D$13),IF($E$13="",9E+99,$E$13)),0))))</f>
        <v/>
      </c>
      <c r="M107" s="20">
        <f>IF(G107="","",IF(OR($D$14="",$H$14="X",G107&lt;N($C$14)),0,IF(B107="G마켓",ROUNDDOWN(MIN(IF($D$14&gt;=1,MIN($D$14,G107),G107*$D$14),IF($E$14="",9E+99,$E$14)),0),ROUNDUP(MIN(IF($D$14&gt;=1,MIN($D$14,G107),G107*$D$14),IF($E$14="",9E+99,$E$14)),0))))</f>
        <v/>
      </c>
      <c r="N107" s="19">
        <f>IF(G107="","",G107-MAX(I107:M107))</f>
        <v/>
      </c>
      <c r="O107" s="20">
        <f>IF(N107="","",IF(OR($D$18="",$H$18="X",N107&lt;N($C$18)),0,IF(B107="G마켓",ROUNDDOWN(MIN(IF($D$18&gt;=1,MIN($D$18,N107),N107*$D$18),IF($E$18="",9E+99,$E$18)),0),ROUNDUP(MIN(IF($D$18&gt;=1,MIN($D$18,N107),N107*$D$18),IF($E$18="",9E+99,$E$18)),0))))</f>
        <v/>
      </c>
      <c r="P107" s="20">
        <f>IF(N107="","",IF(OR($D$19="",$H$19="X",N107&lt;N($C$19)),0,IF(B107="G마켓",ROUNDDOWN(MIN(IF($D$19&gt;=1,MIN($D$19,N107),N107*$D$19),IF($E$19="",9E+99,$E$19)),0),ROUNDUP(MIN(IF($D$19&gt;=1,MIN($D$19,N107),N107*$D$19),IF($E$19="",9E+99,$E$19)),0))))</f>
        <v/>
      </c>
      <c r="Q107" s="20">
        <f>IF(N107="","",IF(OR($D$20="",$H$20="X",N107&lt;N($C$20)),0,IF(B107="G마켓",ROUNDDOWN(MIN(IF($D$20&gt;=1,MIN($D$20,N107),N107*$D$20),IF($E$20="",9E+99,$E$20)),0),ROUNDUP(MIN(IF($D$20&gt;=1,MIN($D$20,N107),N107*$D$20),IF($E$20="",9E+99,$E$20)),0))))</f>
        <v/>
      </c>
      <c r="R107" s="20">
        <f>IF(N107="","",IF(OR($D$21="",$H$21="X",N107&lt;N($C$21)),0,IF(B107="G마켓",ROUNDDOWN(MIN(IF($D$21&gt;=1,MIN($D$21,N107),N107*$D$21),IF($E$21="",9E+99,$E$21)),0),ROUNDUP(MIN(IF($D$21&gt;=1,MIN($D$21,N107),N107*$D$21),IF($E$21="",9E+99,$E$21)),0))))</f>
        <v/>
      </c>
      <c r="S107" s="19">
        <f>IF(G107="","",N107-MAX(O107:R107))</f>
        <v/>
      </c>
      <c r="T107" s="20">
        <f>IF(S107="","",IF(OR($D$25="",S107&lt;N($C$25)),0,IF(B107="G마켓",ROUNDDOWN(MIN(IF($D$25&gt;=1,MIN($D$25,S107),S107*$D$25),IF($E$25="",9E+99,$E$25)),0),ROUNDUP(MIN(IF($D$25&gt;=1,MIN($D$25,S107),S107*$D$25),IF($E$25="",9E+99,$E$25)),0))))</f>
        <v/>
      </c>
      <c r="U107" s="20">
        <f>IF(S107="","",IF(OR($D$26="",S107&lt;N($C$26)),0,IF(B107="G마켓",ROUNDDOWN(MIN(IF($D$26&gt;=1,MIN($D$26,S107),S107*$D$26),IF($E$26="",9E+99,$E$26)),0),ROUNDUP(MIN(IF($D$26&gt;=1,MIN($D$26,S107),S107*$D$26),IF($E$26="",9E+99,$E$26)),0))))</f>
        <v/>
      </c>
      <c r="V107" s="20">
        <f>IF(S107="","",IF(OR($D$27="",S107&lt;N($C$27)),0,IF(B107="G마켓",ROUNDDOWN(MIN(IF($D$27&gt;=1,MIN($D$27,S107),S107*$D$27),IF($E$27="",9E+99,$E$27)),0),ROUNDUP(MIN(IF($D$27&gt;=1,MIN($D$27,S107),S107*$D$27),IF($E$27="",9E+99,$E$27)),0))))</f>
        <v/>
      </c>
      <c r="W107" s="19">
        <f>IF(G107="","",MAX(T107:V107))</f>
        <v/>
      </c>
      <c r="X107" s="21">
        <f>IF(G107="","",S107-W107)</f>
        <v/>
      </c>
      <c r="Y107" s="19">
        <f>IF(G107="","",IF(B107="G마켓",ROUNDDOWN(MAX(I107*N($G$10),J107*N($G$11),K107*N($G$12),L107*N($G$13),M107*N($G$14))+MAX(O107*N($G$18),P107*N($G$19),Q107*N($G$20),R107*N($G$21))+MAX(T107*N($G$25),U107*N($G$26),V107*N($G$27)),0),ROUNDUP(MAX(I107*N($G$10),J107*N($G$11),K107*N($G$12),L107*N($G$13),M107*N($G$14))+MAX(O107*N($G$18),P107*N($G$19),Q107*N($G$20),R107*N($G$21))+MAX(T107*N($G$25),U107*N($G$26),V107*N($G$27)),0)))</f>
        <v/>
      </c>
      <c r="Z107" s="21">
        <f>IF(G107="","",IF(B107="G마켓",ROUNDDOWN(G107-G107*$Q$6-Y107,0),ROUNDUP(G107-G107*$Q$6-Y107,0)))</f>
        <v/>
      </c>
    </row>
    <row r="108">
      <c r="B108" s="7" t="n"/>
      <c r="C108" s="7" t="n"/>
      <c r="D108" s="22" t="n"/>
      <c r="E108" s="23" t="n"/>
      <c r="F108" s="23" t="n"/>
      <c r="G108" s="19">
        <f>IF(E108="","",E108-N(F108))</f>
        <v/>
      </c>
      <c r="I108" s="20">
        <f>IF(G108="","",IF(OR($D$10="",$H$10="X",G108&lt;N($C$10)),0,IF(B108="G마켓",ROUNDDOWN(MIN(IF($D$10&gt;=1,MIN($D$10,G108),G108*$D$10),IF($E$10="",9E+99,$E$10)),0),ROUNDUP(MIN(IF($D$10&gt;=1,MIN($D$10,G108),G108*$D$10),IF($E$10="",9E+99,$E$10)),0))))</f>
        <v/>
      </c>
      <c r="J108" s="20">
        <f>IF(G108="","",IF(OR($D$11="",$H$11="X",G108&lt;N($C$11)),0,IF(B108="G마켓",ROUNDDOWN(MIN(IF($D$11&gt;=1,MIN($D$11,G108),G108*$D$11),IF($E$11="",9E+99,$E$11)),0),ROUNDUP(MIN(IF($D$11&gt;=1,MIN($D$11,G108),G108*$D$11),IF($E$11="",9E+99,$E$11)),0))))</f>
        <v/>
      </c>
      <c r="K108" s="20">
        <f>IF(G108="","",IF(OR($D$12="",$H$12="X",G108&lt;N($C$12)),0,IF(B108="G마켓",ROUNDDOWN(MIN(IF($D$12&gt;=1,MIN($D$12,G108),G108*$D$12),IF($E$12="",9E+99,$E$12)),0),ROUNDUP(MIN(IF($D$12&gt;=1,MIN($D$12,G108),G108*$D$12),IF($E$12="",9E+99,$E$12)),0))))</f>
        <v/>
      </c>
      <c r="L108" s="20">
        <f>IF(G108="","",IF(OR($D$13="",$H$13="X",G108&lt;N($C$13)),0,IF(B108="G마켓",ROUNDDOWN(MIN(IF($D$13&gt;=1,MIN($D$13,G108),G108*$D$13),IF($E$13="",9E+99,$E$13)),0),ROUNDUP(MIN(IF($D$13&gt;=1,MIN($D$13,G108),G108*$D$13),IF($E$13="",9E+99,$E$13)),0))))</f>
        <v/>
      </c>
      <c r="M108" s="20">
        <f>IF(G108="","",IF(OR($D$14="",$H$14="X",G108&lt;N($C$14)),0,IF(B108="G마켓",ROUNDDOWN(MIN(IF($D$14&gt;=1,MIN($D$14,G108),G108*$D$14),IF($E$14="",9E+99,$E$14)),0),ROUNDUP(MIN(IF($D$14&gt;=1,MIN($D$14,G108),G108*$D$14),IF($E$14="",9E+99,$E$14)),0))))</f>
        <v/>
      </c>
      <c r="N108" s="19">
        <f>IF(G108="","",G108-MAX(I108:M108))</f>
        <v/>
      </c>
      <c r="O108" s="20">
        <f>IF(N108="","",IF(OR($D$18="",$H$18="X",N108&lt;N($C$18)),0,IF(B108="G마켓",ROUNDDOWN(MIN(IF($D$18&gt;=1,MIN($D$18,N108),N108*$D$18),IF($E$18="",9E+99,$E$18)),0),ROUNDUP(MIN(IF($D$18&gt;=1,MIN($D$18,N108),N108*$D$18),IF($E$18="",9E+99,$E$18)),0))))</f>
        <v/>
      </c>
      <c r="P108" s="20">
        <f>IF(N108="","",IF(OR($D$19="",$H$19="X",N108&lt;N($C$19)),0,IF(B108="G마켓",ROUNDDOWN(MIN(IF($D$19&gt;=1,MIN($D$19,N108),N108*$D$19),IF($E$19="",9E+99,$E$19)),0),ROUNDUP(MIN(IF($D$19&gt;=1,MIN($D$19,N108),N108*$D$19),IF($E$19="",9E+99,$E$19)),0))))</f>
        <v/>
      </c>
      <c r="Q108" s="20">
        <f>IF(N108="","",IF(OR($D$20="",$H$20="X",N108&lt;N($C$20)),0,IF(B108="G마켓",ROUNDDOWN(MIN(IF($D$20&gt;=1,MIN($D$20,N108),N108*$D$20),IF($E$20="",9E+99,$E$20)),0),ROUNDUP(MIN(IF($D$20&gt;=1,MIN($D$20,N108),N108*$D$20),IF($E$20="",9E+99,$E$20)),0))))</f>
        <v/>
      </c>
      <c r="R108" s="20">
        <f>IF(N108="","",IF(OR($D$21="",$H$21="X",N108&lt;N($C$21)),0,IF(B108="G마켓",ROUNDDOWN(MIN(IF($D$21&gt;=1,MIN($D$21,N108),N108*$D$21),IF($E$21="",9E+99,$E$21)),0),ROUNDUP(MIN(IF($D$21&gt;=1,MIN($D$21,N108),N108*$D$21),IF($E$21="",9E+99,$E$21)),0))))</f>
        <v/>
      </c>
      <c r="S108" s="19">
        <f>IF(G108="","",N108-MAX(O108:R108))</f>
        <v/>
      </c>
      <c r="T108" s="20">
        <f>IF(S108="","",IF(OR($D$25="",S108&lt;N($C$25)),0,IF(B108="G마켓",ROUNDDOWN(MIN(IF($D$25&gt;=1,MIN($D$25,S108),S108*$D$25),IF($E$25="",9E+99,$E$25)),0),ROUNDUP(MIN(IF($D$25&gt;=1,MIN($D$25,S108),S108*$D$25),IF($E$25="",9E+99,$E$25)),0))))</f>
        <v/>
      </c>
      <c r="U108" s="20">
        <f>IF(S108="","",IF(OR($D$26="",S108&lt;N($C$26)),0,IF(B108="G마켓",ROUNDDOWN(MIN(IF($D$26&gt;=1,MIN($D$26,S108),S108*$D$26),IF($E$26="",9E+99,$E$26)),0),ROUNDUP(MIN(IF($D$26&gt;=1,MIN($D$26,S108),S108*$D$26),IF($E$26="",9E+99,$E$26)),0))))</f>
        <v/>
      </c>
      <c r="V108" s="20">
        <f>IF(S108="","",IF(OR($D$27="",S108&lt;N($C$27)),0,IF(B108="G마켓",ROUNDDOWN(MIN(IF($D$27&gt;=1,MIN($D$27,S108),S108*$D$27),IF($E$27="",9E+99,$E$27)),0),ROUNDUP(MIN(IF($D$27&gt;=1,MIN($D$27,S108),S108*$D$27),IF($E$27="",9E+99,$E$27)),0))))</f>
        <v/>
      </c>
      <c r="W108" s="19">
        <f>IF(G108="","",MAX(T108:V108))</f>
        <v/>
      </c>
      <c r="X108" s="21">
        <f>IF(G108="","",S108-W108)</f>
        <v/>
      </c>
      <c r="Y108" s="19">
        <f>IF(G108="","",IF(B108="G마켓",ROUNDDOWN(MAX(I108*N($G$10),J108*N($G$11),K108*N($G$12),L108*N($G$13),M108*N($G$14))+MAX(O108*N($G$18),P108*N($G$19),Q108*N($G$20),R108*N($G$21))+MAX(T108*N($G$25),U108*N($G$26),V108*N($G$27)),0),ROUNDUP(MAX(I108*N($G$10),J108*N($G$11),K108*N($G$12),L108*N($G$13),M108*N($G$14))+MAX(O108*N($G$18),P108*N($G$19),Q108*N($G$20),R108*N($G$21))+MAX(T108*N($G$25),U108*N($G$26),V108*N($G$27)),0)))</f>
        <v/>
      </c>
      <c r="Z108" s="21">
        <f>IF(G108="","",IF(B108="G마켓",ROUNDDOWN(G108-G108*$Q$6-Y108,0),ROUNDUP(G108-G108*$Q$6-Y108,0)))</f>
        <v/>
      </c>
    </row>
    <row r="109">
      <c r="B109" s="7" t="n"/>
      <c r="C109" s="7" t="n"/>
      <c r="D109" s="22" t="n"/>
      <c r="E109" s="23" t="n"/>
      <c r="F109" s="23" t="n"/>
      <c r="G109" s="19">
        <f>IF(E109="","",E109-N(F109))</f>
        <v/>
      </c>
      <c r="I109" s="20">
        <f>IF(G109="","",IF(OR($D$10="",$H$10="X",G109&lt;N($C$10)),0,IF(B109="G마켓",ROUNDDOWN(MIN(IF($D$10&gt;=1,MIN($D$10,G109),G109*$D$10),IF($E$10="",9E+99,$E$10)),0),ROUNDUP(MIN(IF($D$10&gt;=1,MIN($D$10,G109),G109*$D$10),IF($E$10="",9E+99,$E$10)),0))))</f>
        <v/>
      </c>
      <c r="J109" s="20">
        <f>IF(G109="","",IF(OR($D$11="",$H$11="X",G109&lt;N($C$11)),0,IF(B109="G마켓",ROUNDDOWN(MIN(IF($D$11&gt;=1,MIN($D$11,G109),G109*$D$11),IF($E$11="",9E+99,$E$11)),0),ROUNDUP(MIN(IF($D$11&gt;=1,MIN($D$11,G109),G109*$D$11),IF($E$11="",9E+99,$E$11)),0))))</f>
        <v/>
      </c>
      <c r="K109" s="20">
        <f>IF(G109="","",IF(OR($D$12="",$H$12="X",G109&lt;N($C$12)),0,IF(B109="G마켓",ROUNDDOWN(MIN(IF($D$12&gt;=1,MIN($D$12,G109),G109*$D$12),IF($E$12="",9E+99,$E$12)),0),ROUNDUP(MIN(IF($D$12&gt;=1,MIN($D$12,G109),G109*$D$12),IF($E$12="",9E+99,$E$12)),0))))</f>
        <v/>
      </c>
      <c r="L109" s="20">
        <f>IF(G109="","",IF(OR($D$13="",$H$13="X",G109&lt;N($C$13)),0,IF(B109="G마켓",ROUNDDOWN(MIN(IF($D$13&gt;=1,MIN($D$13,G109),G109*$D$13),IF($E$13="",9E+99,$E$13)),0),ROUNDUP(MIN(IF($D$13&gt;=1,MIN($D$13,G109),G109*$D$13),IF($E$13="",9E+99,$E$13)),0))))</f>
        <v/>
      </c>
      <c r="M109" s="20">
        <f>IF(G109="","",IF(OR($D$14="",$H$14="X",G109&lt;N($C$14)),0,IF(B109="G마켓",ROUNDDOWN(MIN(IF($D$14&gt;=1,MIN($D$14,G109),G109*$D$14),IF($E$14="",9E+99,$E$14)),0),ROUNDUP(MIN(IF($D$14&gt;=1,MIN($D$14,G109),G109*$D$14),IF($E$14="",9E+99,$E$14)),0))))</f>
        <v/>
      </c>
      <c r="N109" s="19">
        <f>IF(G109="","",G109-MAX(I109:M109))</f>
        <v/>
      </c>
      <c r="O109" s="20">
        <f>IF(N109="","",IF(OR($D$18="",$H$18="X",N109&lt;N($C$18)),0,IF(B109="G마켓",ROUNDDOWN(MIN(IF($D$18&gt;=1,MIN($D$18,N109),N109*$D$18),IF($E$18="",9E+99,$E$18)),0),ROUNDUP(MIN(IF($D$18&gt;=1,MIN($D$18,N109),N109*$D$18),IF($E$18="",9E+99,$E$18)),0))))</f>
        <v/>
      </c>
      <c r="P109" s="20">
        <f>IF(N109="","",IF(OR($D$19="",$H$19="X",N109&lt;N($C$19)),0,IF(B109="G마켓",ROUNDDOWN(MIN(IF($D$19&gt;=1,MIN($D$19,N109),N109*$D$19),IF($E$19="",9E+99,$E$19)),0),ROUNDUP(MIN(IF($D$19&gt;=1,MIN($D$19,N109),N109*$D$19),IF($E$19="",9E+99,$E$19)),0))))</f>
        <v/>
      </c>
      <c r="Q109" s="20">
        <f>IF(N109="","",IF(OR($D$20="",$H$20="X",N109&lt;N($C$20)),0,IF(B109="G마켓",ROUNDDOWN(MIN(IF($D$20&gt;=1,MIN($D$20,N109),N109*$D$20),IF($E$20="",9E+99,$E$20)),0),ROUNDUP(MIN(IF($D$20&gt;=1,MIN($D$20,N109),N109*$D$20),IF($E$20="",9E+99,$E$20)),0))))</f>
        <v/>
      </c>
      <c r="R109" s="20">
        <f>IF(N109="","",IF(OR($D$21="",$H$21="X",N109&lt;N($C$21)),0,IF(B109="G마켓",ROUNDDOWN(MIN(IF($D$21&gt;=1,MIN($D$21,N109),N109*$D$21),IF($E$21="",9E+99,$E$21)),0),ROUNDUP(MIN(IF($D$21&gt;=1,MIN($D$21,N109),N109*$D$21),IF($E$21="",9E+99,$E$21)),0))))</f>
        <v/>
      </c>
      <c r="S109" s="19">
        <f>IF(G109="","",N109-MAX(O109:R109))</f>
        <v/>
      </c>
      <c r="T109" s="20">
        <f>IF(S109="","",IF(OR($D$25="",S109&lt;N($C$25)),0,IF(B109="G마켓",ROUNDDOWN(MIN(IF($D$25&gt;=1,MIN($D$25,S109),S109*$D$25),IF($E$25="",9E+99,$E$25)),0),ROUNDUP(MIN(IF($D$25&gt;=1,MIN($D$25,S109),S109*$D$25),IF($E$25="",9E+99,$E$25)),0))))</f>
        <v/>
      </c>
      <c r="U109" s="20">
        <f>IF(S109="","",IF(OR($D$26="",S109&lt;N($C$26)),0,IF(B109="G마켓",ROUNDDOWN(MIN(IF($D$26&gt;=1,MIN($D$26,S109),S109*$D$26),IF($E$26="",9E+99,$E$26)),0),ROUNDUP(MIN(IF($D$26&gt;=1,MIN($D$26,S109),S109*$D$26),IF($E$26="",9E+99,$E$26)),0))))</f>
        <v/>
      </c>
      <c r="V109" s="20">
        <f>IF(S109="","",IF(OR($D$27="",S109&lt;N($C$27)),0,IF(B109="G마켓",ROUNDDOWN(MIN(IF($D$27&gt;=1,MIN($D$27,S109),S109*$D$27),IF($E$27="",9E+99,$E$27)),0),ROUNDUP(MIN(IF($D$27&gt;=1,MIN($D$27,S109),S109*$D$27),IF($E$27="",9E+99,$E$27)),0))))</f>
        <v/>
      </c>
      <c r="W109" s="19">
        <f>IF(G109="","",MAX(T109:V109))</f>
        <v/>
      </c>
      <c r="X109" s="21">
        <f>IF(G109="","",S109-W109)</f>
        <v/>
      </c>
      <c r="Y109" s="19">
        <f>IF(G109="","",IF(B109="G마켓",ROUNDDOWN(MAX(I109*N($G$10),J109*N($G$11),K109*N($G$12),L109*N($G$13),M109*N($G$14))+MAX(O109*N($G$18),P109*N($G$19),Q109*N($G$20),R109*N($G$21))+MAX(T109*N($G$25),U109*N($G$26),V109*N($G$27)),0),ROUNDUP(MAX(I109*N($G$10),J109*N($G$11),K109*N($G$12),L109*N($G$13),M109*N($G$14))+MAX(O109*N($G$18),P109*N($G$19),Q109*N($G$20),R109*N($G$21))+MAX(T109*N($G$25),U109*N($G$26),V109*N($G$27)),0)))</f>
        <v/>
      </c>
      <c r="Z109" s="21">
        <f>IF(G109="","",IF(B109="G마켓",ROUNDDOWN(G109-G109*$Q$6-Y109,0),ROUNDUP(G109-G109*$Q$6-Y109,0)))</f>
        <v/>
      </c>
    </row>
    <row r="110">
      <c r="B110" s="7" t="n"/>
      <c r="C110" s="7" t="n"/>
      <c r="D110" s="22" t="n"/>
      <c r="E110" s="23" t="n"/>
      <c r="F110" s="23" t="n"/>
      <c r="G110" s="19">
        <f>IF(E110="","",E110-N(F110))</f>
        <v/>
      </c>
      <c r="I110" s="20">
        <f>IF(G110="","",IF(OR($D$10="",$H$10="X",G110&lt;N($C$10)),0,IF(B110="G마켓",ROUNDDOWN(MIN(IF($D$10&gt;=1,MIN($D$10,G110),G110*$D$10),IF($E$10="",9E+99,$E$10)),0),ROUNDUP(MIN(IF($D$10&gt;=1,MIN($D$10,G110),G110*$D$10),IF($E$10="",9E+99,$E$10)),0))))</f>
        <v/>
      </c>
      <c r="J110" s="20">
        <f>IF(G110="","",IF(OR($D$11="",$H$11="X",G110&lt;N($C$11)),0,IF(B110="G마켓",ROUNDDOWN(MIN(IF($D$11&gt;=1,MIN($D$11,G110),G110*$D$11),IF($E$11="",9E+99,$E$11)),0),ROUNDUP(MIN(IF($D$11&gt;=1,MIN($D$11,G110),G110*$D$11),IF($E$11="",9E+99,$E$11)),0))))</f>
        <v/>
      </c>
      <c r="K110" s="20">
        <f>IF(G110="","",IF(OR($D$12="",$H$12="X",G110&lt;N($C$12)),0,IF(B110="G마켓",ROUNDDOWN(MIN(IF($D$12&gt;=1,MIN($D$12,G110),G110*$D$12),IF($E$12="",9E+99,$E$12)),0),ROUNDUP(MIN(IF($D$12&gt;=1,MIN($D$12,G110),G110*$D$12),IF($E$12="",9E+99,$E$12)),0))))</f>
        <v/>
      </c>
      <c r="L110" s="20">
        <f>IF(G110="","",IF(OR($D$13="",$H$13="X",G110&lt;N($C$13)),0,IF(B110="G마켓",ROUNDDOWN(MIN(IF($D$13&gt;=1,MIN($D$13,G110),G110*$D$13),IF($E$13="",9E+99,$E$13)),0),ROUNDUP(MIN(IF($D$13&gt;=1,MIN($D$13,G110),G110*$D$13),IF($E$13="",9E+99,$E$13)),0))))</f>
        <v/>
      </c>
      <c r="M110" s="20">
        <f>IF(G110="","",IF(OR($D$14="",$H$14="X",G110&lt;N($C$14)),0,IF(B110="G마켓",ROUNDDOWN(MIN(IF($D$14&gt;=1,MIN($D$14,G110),G110*$D$14),IF($E$14="",9E+99,$E$14)),0),ROUNDUP(MIN(IF($D$14&gt;=1,MIN($D$14,G110),G110*$D$14),IF($E$14="",9E+99,$E$14)),0))))</f>
        <v/>
      </c>
      <c r="N110" s="19">
        <f>IF(G110="","",G110-MAX(I110:M110))</f>
        <v/>
      </c>
      <c r="O110" s="20">
        <f>IF(N110="","",IF(OR($D$18="",$H$18="X",N110&lt;N($C$18)),0,IF(B110="G마켓",ROUNDDOWN(MIN(IF($D$18&gt;=1,MIN($D$18,N110),N110*$D$18),IF($E$18="",9E+99,$E$18)),0),ROUNDUP(MIN(IF($D$18&gt;=1,MIN($D$18,N110),N110*$D$18),IF($E$18="",9E+99,$E$18)),0))))</f>
        <v/>
      </c>
      <c r="P110" s="20">
        <f>IF(N110="","",IF(OR($D$19="",$H$19="X",N110&lt;N($C$19)),0,IF(B110="G마켓",ROUNDDOWN(MIN(IF($D$19&gt;=1,MIN($D$19,N110),N110*$D$19),IF($E$19="",9E+99,$E$19)),0),ROUNDUP(MIN(IF($D$19&gt;=1,MIN($D$19,N110),N110*$D$19),IF($E$19="",9E+99,$E$19)),0))))</f>
        <v/>
      </c>
      <c r="Q110" s="20">
        <f>IF(N110="","",IF(OR($D$20="",$H$20="X",N110&lt;N($C$20)),0,IF(B110="G마켓",ROUNDDOWN(MIN(IF($D$20&gt;=1,MIN($D$20,N110),N110*$D$20),IF($E$20="",9E+99,$E$20)),0),ROUNDUP(MIN(IF($D$20&gt;=1,MIN($D$20,N110),N110*$D$20),IF($E$20="",9E+99,$E$20)),0))))</f>
        <v/>
      </c>
      <c r="R110" s="20">
        <f>IF(N110="","",IF(OR($D$21="",$H$21="X",N110&lt;N($C$21)),0,IF(B110="G마켓",ROUNDDOWN(MIN(IF($D$21&gt;=1,MIN($D$21,N110),N110*$D$21),IF($E$21="",9E+99,$E$21)),0),ROUNDUP(MIN(IF($D$21&gt;=1,MIN($D$21,N110),N110*$D$21),IF($E$21="",9E+99,$E$21)),0))))</f>
        <v/>
      </c>
      <c r="S110" s="19">
        <f>IF(G110="","",N110-MAX(O110:R110))</f>
        <v/>
      </c>
      <c r="T110" s="20">
        <f>IF(S110="","",IF(OR($D$25="",S110&lt;N($C$25)),0,IF(B110="G마켓",ROUNDDOWN(MIN(IF($D$25&gt;=1,MIN($D$25,S110),S110*$D$25),IF($E$25="",9E+99,$E$25)),0),ROUNDUP(MIN(IF($D$25&gt;=1,MIN($D$25,S110),S110*$D$25),IF($E$25="",9E+99,$E$25)),0))))</f>
        <v/>
      </c>
      <c r="U110" s="20">
        <f>IF(S110="","",IF(OR($D$26="",S110&lt;N($C$26)),0,IF(B110="G마켓",ROUNDDOWN(MIN(IF($D$26&gt;=1,MIN($D$26,S110),S110*$D$26),IF($E$26="",9E+99,$E$26)),0),ROUNDUP(MIN(IF($D$26&gt;=1,MIN($D$26,S110),S110*$D$26),IF($E$26="",9E+99,$E$26)),0))))</f>
        <v/>
      </c>
      <c r="V110" s="20">
        <f>IF(S110="","",IF(OR($D$27="",S110&lt;N($C$27)),0,IF(B110="G마켓",ROUNDDOWN(MIN(IF($D$27&gt;=1,MIN($D$27,S110),S110*$D$27),IF($E$27="",9E+99,$E$27)),0),ROUNDUP(MIN(IF($D$27&gt;=1,MIN($D$27,S110),S110*$D$27),IF($E$27="",9E+99,$E$27)),0))))</f>
        <v/>
      </c>
      <c r="W110" s="19">
        <f>IF(G110="","",MAX(T110:V110))</f>
        <v/>
      </c>
      <c r="X110" s="21">
        <f>IF(G110="","",S110-W110)</f>
        <v/>
      </c>
      <c r="Y110" s="19">
        <f>IF(G110="","",IF(B110="G마켓",ROUNDDOWN(MAX(I110*N($G$10),J110*N($G$11),K110*N($G$12),L110*N($G$13),M110*N($G$14))+MAX(O110*N($G$18),P110*N($G$19),Q110*N($G$20),R110*N($G$21))+MAX(T110*N($G$25),U110*N($G$26),V110*N($G$27)),0),ROUNDUP(MAX(I110*N($G$10),J110*N($G$11),K110*N($G$12),L110*N($G$13),M110*N($G$14))+MAX(O110*N($G$18),P110*N($G$19),Q110*N($G$20),R110*N($G$21))+MAX(T110*N($G$25),U110*N($G$26),V110*N($G$27)),0)))</f>
        <v/>
      </c>
      <c r="Z110" s="21">
        <f>IF(G110="","",IF(B110="G마켓",ROUNDDOWN(G110-G110*$Q$6-Y110,0),ROUNDUP(G110-G110*$Q$6-Y110,0)))</f>
        <v/>
      </c>
    </row>
    <row r="111">
      <c r="B111" s="7" t="n"/>
      <c r="C111" s="7" t="n"/>
      <c r="D111" s="22" t="n"/>
      <c r="E111" s="23" t="n"/>
      <c r="F111" s="23" t="n"/>
      <c r="G111" s="19">
        <f>IF(E111="","",E111-N(F111))</f>
        <v/>
      </c>
      <c r="I111" s="20">
        <f>IF(G111="","",IF(OR($D$10="",$H$10="X",G111&lt;N($C$10)),0,IF(B111="G마켓",ROUNDDOWN(MIN(IF($D$10&gt;=1,MIN($D$10,G111),G111*$D$10),IF($E$10="",9E+99,$E$10)),0),ROUNDUP(MIN(IF($D$10&gt;=1,MIN($D$10,G111),G111*$D$10),IF($E$10="",9E+99,$E$10)),0))))</f>
        <v/>
      </c>
      <c r="J111" s="20">
        <f>IF(G111="","",IF(OR($D$11="",$H$11="X",G111&lt;N($C$11)),0,IF(B111="G마켓",ROUNDDOWN(MIN(IF($D$11&gt;=1,MIN($D$11,G111),G111*$D$11),IF($E$11="",9E+99,$E$11)),0),ROUNDUP(MIN(IF($D$11&gt;=1,MIN($D$11,G111),G111*$D$11),IF($E$11="",9E+99,$E$11)),0))))</f>
        <v/>
      </c>
      <c r="K111" s="20">
        <f>IF(G111="","",IF(OR($D$12="",$H$12="X",G111&lt;N($C$12)),0,IF(B111="G마켓",ROUNDDOWN(MIN(IF($D$12&gt;=1,MIN($D$12,G111),G111*$D$12),IF($E$12="",9E+99,$E$12)),0),ROUNDUP(MIN(IF($D$12&gt;=1,MIN($D$12,G111),G111*$D$12),IF($E$12="",9E+99,$E$12)),0))))</f>
        <v/>
      </c>
      <c r="L111" s="20">
        <f>IF(G111="","",IF(OR($D$13="",$H$13="X",G111&lt;N($C$13)),0,IF(B111="G마켓",ROUNDDOWN(MIN(IF($D$13&gt;=1,MIN($D$13,G111),G111*$D$13),IF($E$13="",9E+99,$E$13)),0),ROUNDUP(MIN(IF($D$13&gt;=1,MIN($D$13,G111),G111*$D$13),IF($E$13="",9E+99,$E$13)),0))))</f>
        <v/>
      </c>
      <c r="M111" s="20">
        <f>IF(G111="","",IF(OR($D$14="",$H$14="X",G111&lt;N($C$14)),0,IF(B111="G마켓",ROUNDDOWN(MIN(IF($D$14&gt;=1,MIN($D$14,G111),G111*$D$14),IF($E$14="",9E+99,$E$14)),0),ROUNDUP(MIN(IF($D$14&gt;=1,MIN($D$14,G111),G111*$D$14),IF($E$14="",9E+99,$E$14)),0))))</f>
        <v/>
      </c>
      <c r="N111" s="19">
        <f>IF(G111="","",G111-MAX(I111:M111))</f>
        <v/>
      </c>
      <c r="O111" s="20">
        <f>IF(N111="","",IF(OR($D$18="",$H$18="X",N111&lt;N($C$18)),0,IF(B111="G마켓",ROUNDDOWN(MIN(IF($D$18&gt;=1,MIN($D$18,N111),N111*$D$18),IF($E$18="",9E+99,$E$18)),0),ROUNDUP(MIN(IF($D$18&gt;=1,MIN($D$18,N111),N111*$D$18),IF($E$18="",9E+99,$E$18)),0))))</f>
        <v/>
      </c>
      <c r="P111" s="20">
        <f>IF(N111="","",IF(OR($D$19="",$H$19="X",N111&lt;N($C$19)),0,IF(B111="G마켓",ROUNDDOWN(MIN(IF($D$19&gt;=1,MIN($D$19,N111),N111*$D$19),IF($E$19="",9E+99,$E$19)),0),ROUNDUP(MIN(IF($D$19&gt;=1,MIN($D$19,N111),N111*$D$19),IF($E$19="",9E+99,$E$19)),0))))</f>
        <v/>
      </c>
      <c r="Q111" s="20">
        <f>IF(N111="","",IF(OR($D$20="",$H$20="X",N111&lt;N($C$20)),0,IF(B111="G마켓",ROUNDDOWN(MIN(IF($D$20&gt;=1,MIN($D$20,N111),N111*$D$20),IF($E$20="",9E+99,$E$20)),0),ROUNDUP(MIN(IF($D$20&gt;=1,MIN($D$20,N111),N111*$D$20),IF($E$20="",9E+99,$E$20)),0))))</f>
        <v/>
      </c>
      <c r="R111" s="20">
        <f>IF(N111="","",IF(OR($D$21="",$H$21="X",N111&lt;N($C$21)),0,IF(B111="G마켓",ROUNDDOWN(MIN(IF($D$21&gt;=1,MIN($D$21,N111),N111*$D$21),IF($E$21="",9E+99,$E$21)),0),ROUNDUP(MIN(IF($D$21&gt;=1,MIN($D$21,N111),N111*$D$21),IF($E$21="",9E+99,$E$21)),0))))</f>
        <v/>
      </c>
      <c r="S111" s="19">
        <f>IF(G111="","",N111-MAX(O111:R111))</f>
        <v/>
      </c>
      <c r="T111" s="20">
        <f>IF(S111="","",IF(OR($D$25="",S111&lt;N($C$25)),0,IF(B111="G마켓",ROUNDDOWN(MIN(IF($D$25&gt;=1,MIN($D$25,S111),S111*$D$25),IF($E$25="",9E+99,$E$25)),0),ROUNDUP(MIN(IF($D$25&gt;=1,MIN($D$25,S111),S111*$D$25),IF($E$25="",9E+99,$E$25)),0))))</f>
        <v/>
      </c>
      <c r="U111" s="20">
        <f>IF(S111="","",IF(OR($D$26="",S111&lt;N($C$26)),0,IF(B111="G마켓",ROUNDDOWN(MIN(IF($D$26&gt;=1,MIN($D$26,S111),S111*$D$26),IF($E$26="",9E+99,$E$26)),0),ROUNDUP(MIN(IF($D$26&gt;=1,MIN($D$26,S111),S111*$D$26),IF($E$26="",9E+99,$E$26)),0))))</f>
        <v/>
      </c>
      <c r="V111" s="20">
        <f>IF(S111="","",IF(OR($D$27="",S111&lt;N($C$27)),0,IF(B111="G마켓",ROUNDDOWN(MIN(IF($D$27&gt;=1,MIN($D$27,S111),S111*$D$27),IF($E$27="",9E+99,$E$27)),0),ROUNDUP(MIN(IF($D$27&gt;=1,MIN($D$27,S111),S111*$D$27),IF($E$27="",9E+99,$E$27)),0))))</f>
        <v/>
      </c>
      <c r="W111" s="19">
        <f>IF(G111="","",MAX(T111:V111))</f>
        <v/>
      </c>
      <c r="X111" s="21">
        <f>IF(G111="","",S111-W111)</f>
        <v/>
      </c>
      <c r="Y111" s="19">
        <f>IF(G111="","",IF(B111="G마켓",ROUNDDOWN(MAX(I111*N($G$10),J111*N($G$11),K111*N($G$12),L111*N($G$13),M111*N($G$14))+MAX(O111*N($G$18),P111*N($G$19),Q111*N($G$20),R111*N($G$21))+MAX(T111*N($G$25),U111*N($G$26),V111*N($G$27)),0),ROUNDUP(MAX(I111*N($G$10),J111*N($G$11),K111*N($G$12),L111*N($G$13),M111*N($G$14))+MAX(O111*N($G$18),P111*N($G$19),Q111*N($G$20),R111*N($G$21))+MAX(T111*N($G$25),U111*N($G$26),V111*N($G$27)),0)))</f>
        <v/>
      </c>
      <c r="Z111" s="21">
        <f>IF(G111="","",IF(B111="G마켓",ROUNDDOWN(G111-G111*$Q$6-Y111,0),ROUNDUP(G111-G111*$Q$6-Y111,0)))</f>
        <v/>
      </c>
    </row>
    <row r="112">
      <c r="B112" s="7" t="n"/>
      <c r="C112" s="7" t="n"/>
      <c r="D112" s="22" t="n"/>
      <c r="E112" s="23" t="n"/>
      <c r="F112" s="23" t="n"/>
      <c r="G112" s="19">
        <f>IF(E112="","",E112-N(F112))</f>
        <v/>
      </c>
      <c r="I112" s="20">
        <f>IF(G112="","",IF(OR($D$10="",$H$10="X",G112&lt;N($C$10)),0,IF(B112="G마켓",ROUNDDOWN(MIN(IF($D$10&gt;=1,MIN($D$10,G112),G112*$D$10),IF($E$10="",9E+99,$E$10)),0),ROUNDUP(MIN(IF($D$10&gt;=1,MIN($D$10,G112),G112*$D$10),IF($E$10="",9E+99,$E$10)),0))))</f>
        <v/>
      </c>
      <c r="J112" s="20">
        <f>IF(G112="","",IF(OR($D$11="",$H$11="X",G112&lt;N($C$11)),0,IF(B112="G마켓",ROUNDDOWN(MIN(IF($D$11&gt;=1,MIN($D$11,G112),G112*$D$11),IF($E$11="",9E+99,$E$11)),0),ROUNDUP(MIN(IF($D$11&gt;=1,MIN($D$11,G112),G112*$D$11),IF($E$11="",9E+99,$E$11)),0))))</f>
        <v/>
      </c>
      <c r="K112" s="20">
        <f>IF(G112="","",IF(OR($D$12="",$H$12="X",G112&lt;N($C$12)),0,IF(B112="G마켓",ROUNDDOWN(MIN(IF($D$12&gt;=1,MIN($D$12,G112),G112*$D$12),IF($E$12="",9E+99,$E$12)),0),ROUNDUP(MIN(IF($D$12&gt;=1,MIN($D$12,G112),G112*$D$12),IF($E$12="",9E+99,$E$12)),0))))</f>
        <v/>
      </c>
      <c r="L112" s="20">
        <f>IF(G112="","",IF(OR($D$13="",$H$13="X",G112&lt;N($C$13)),0,IF(B112="G마켓",ROUNDDOWN(MIN(IF($D$13&gt;=1,MIN($D$13,G112),G112*$D$13),IF($E$13="",9E+99,$E$13)),0),ROUNDUP(MIN(IF($D$13&gt;=1,MIN($D$13,G112),G112*$D$13),IF($E$13="",9E+99,$E$13)),0))))</f>
        <v/>
      </c>
      <c r="M112" s="20">
        <f>IF(G112="","",IF(OR($D$14="",$H$14="X",G112&lt;N($C$14)),0,IF(B112="G마켓",ROUNDDOWN(MIN(IF($D$14&gt;=1,MIN($D$14,G112),G112*$D$14),IF($E$14="",9E+99,$E$14)),0),ROUNDUP(MIN(IF($D$14&gt;=1,MIN($D$14,G112),G112*$D$14),IF($E$14="",9E+99,$E$14)),0))))</f>
        <v/>
      </c>
      <c r="N112" s="19">
        <f>IF(G112="","",G112-MAX(I112:M112))</f>
        <v/>
      </c>
      <c r="O112" s="20">
        <f>IF(N112="","",IF(OR($D$18="",$H$18="X",N112&lt;N($C$18)),0,IF(B112="G마켓",ROUNDDOWN(MIN(IF($D$18&gt;=1,MIN($D$18,N112),N112*$D$18),IF($E$18="",9E+99,$E$18)),0),ROUNDUP(MIN(IF($D$18&gt;=1,MIN($D$18,N112),N112*$D$18),IF($E$18="",9E+99,$E$18)),0))))</f>
        <v/>
      </c>
      <c r="P112" s="20">
        <f>IF(N112="","",IF(OR($D$19="",$H$19="X",N112&lt;N($C$19)),0,IF(B112="G마켓",ROUNDDOWN(MIN(IF($D$19&gt;=1,MIN($D$19,N112),N112*$D$19),IF($E$19="",9E+99,$E$19)),0),ROUNDUP(MIN(IF($D$19&gt;=1,MIN($D$19,N112),N112*$D$19),IF($E$19="",9E+99,$E$19)),0))))</f>
        <v/>
      </c>
      <c r="Q112" s="20">
        <f>IF(N112="","",IF(OR($D$20="",$H$20="X",N112&lt;N($C$20)),0,IF(B112="G마켓",ROUNDDOWN(MIN(IF($D$20&gt;=1,MIN($D$20,N112),N112*$D$20),IF($E$20="",9E+99,$E$20)),0),ROUNDUP(MIN(IF($D$20&gt;=1,MIN($D$20,N112),N112*$D$20),IF($E$20="",9E+99,$E$20)),0))))</f>
        <v/>
      </c>
      <c r="R112" s="20">
        <f>IF(N112="","",IF(OR($D$21="",$H$21="X",N112&lt;N($C$21)),0,IF(B112="G마켓",ROUNDDOWN(MIN(IF($D$21&gt;=1,MIN($D$21,N112),N112*$D$21),IF($E$21="",9E+99,$E$21)),0),ROUNDUP(MIN(IF($D$21&gt;=1,MIN($D$21,N112),N112*$D$21),IF($E$21="",9E+99,$E$21)),0))))</f>
        <v/>
      </c>
      <c r="S112" s="19">
        <f>IF(G112="","",N112-MAX(O112:R112))</f>
        <v/>
      </c>
      <c r="T112" s="20">
        <f>IF(S112="","",IF(OR($D$25="",S112&lt;N($C$25)),0,IF(B112="G마켓",ROUNDDOWN(MIN(IF($D$25&gt;=1,MIN($D$25,S112),S112*$D$25),IF($E$25="",9E+99,$E$25)),0),ROUNDUP(MIN(IF($D$25&gt;=1,MIN($D$25,S112),S112*$D$25),IF($E$25="",9E+99,$E$25)),0))))</f>
        <v/>
      </c>
      <c r="U112" s="20">
        <f>IF(S112="","",IF(OR($D$26="",S112&lt;N($C$26)),0,IF(B112="G마켓",ROUNDDOWN(MIN(IF($D$26&gt;=1,MIN($D$26,S112),S112*$D$26),IF($E$26="",9E+99,$E$26)),0),ROUNDUP(MIN(IF($D$26&gt;=1,MIN($D$26,S112),S112*$D$26),IF($E$26="",9E+99,$E$26)),0))))</f>
        <v/>
      </c>
      <c r="V112" s="20">
        <f>IF(S112="","",IF(OR($D$27="",S112&lt;N($C$27)),0,IF(B112="G마켓",ROUNDDOWN(MIN(IF($D$27&gt;=1,MIN($D$27,S112),S112*$D$27),IF($E$27="",9E+99,$E$27)),0),ROUNDUP(MIN(IF($D$27&gt;=1,MIN($D$27,S112),S112*$D$27),IF($E$27="",9E+99,$E$27)),0))))</f>
        <v/>
      </c>
      <c r="W112" s="19">
        <f>IF(G112="","",MAX(T112:V112))</f>
        <v/>
      </c>
      <c r="X112" s="21">
        <f>IF(G112="","",S112-W112)</f>
        <v/>
      </c>
      <c r="Y112" s="19">
        <f>IF(G112="","",IF(B112="G마켓",ROUNDDOWN(MAX(I112*N($G$10),J112*N($G$11),K112*N($G$12),L112*N($G$13),M112*N($G$14))+MAX(O112*N($G$18),P112*N($G$19),Q112*N($G$20),R112*N($G$21))+MAX(T112*N($G$25),U112*N($G$26),V112*N($G$27)),0),ROUNDUP(MAX(I112*N($G$10),J112*N($G$11),K112*N($G$12),L112*N($G$13),M112*N($G$14))+MAX(O112*N($G$18),P112*N($G$19),Q112*N($G$20),R112*N($G$21))+MAX(T112*N($G$25),U112*N($G$26),V112*N($G$27)),0)))</f>
        <v/>
      </c>
      <c r="Z112" s="21">
        <f>IF(G112="","",IF(B112="G마켓",ROUNDDOWN(G112-G112*$Q$6-Y112,0),ROUNDUP(G112-G112*$Q$6-Y112,0)))</f>
        <v/>
      </c>
    </row>
    <row r="113">
      <c r="B113" s="7" t="n"/>
      <c r="C113" s="7" t="n"/>
      <c r="D113" s="22" t="n"/>
      <c r="E113" s="23" t="n"/>
      <c r="F113" s="23" t="n"/>
      <c r="G113" s="19">
        <f>IF(E113="","",E113-N(F113))</f>
        <v/>
      </c>
      <c r="I113" s="20">
        <f>IF(G113="","",IF(OR($D$10="",$H$10="X",G113&lt;N($C$10)),0,IF(B113="G마켓",ROUNDDOWN(MIN(IF($D$10&gt;=1,MIN($D$10,G113),G113*$D$10),IF($E$10="",9E+99,$E$10)),0),ROUNDUP(MIN(IF($D$10&gt;=1,MIN($D$10,G113),G113*$D$10),IF($E$10="",9E+99,$E$10)),0))))</f>
        <v/>
      </c>
      <c r="J113" s="20">
        <f>IF(G113="","",IF(OR($D$11="",$H$11="X",G113&lt;N($C$11)),0,IF(B113="G마켓",ROUNDDOWN(MIN(IF($D$11&gt;=1,MIN($D$11,G113),G113*$D$11),IF($E$11="",9E+99,$E$11)),0),ROUNDUP(MIN(IF($D$11&gt;=1,MIN($D$11,G113),G113*$D$11),IF($E$11="",9E+99,$E$11)),0))))</f>
        <v/>
      </c>
      <c r="K113" s="20">
        <f>IF(G113="","",IF(OR($D$12="",$H$12="X",G113&lt;N($C$12)),0,IF(B113="G마켓",ROUNDDOWN(MIN(IF($D$12&gt;=1,MIN($D$12,G113),G113*$D$12),IF($E$12="",9E+99,$E$12)),0),ROUNDUP(MIN(IF($D$12&gt;=1,MIN($D$12,G113),G113*$D$12),IF($E$12="",9E+99,$E$12)),0))))</f>
        <v/>
      </c>
      <c r="L113" s="20">
        <f>IF(G113="","",IF(OR($D$13="",$H$13="X",G113&lt;N($C$13)),0,IF(B113="G마켓",ROUNDDOWN(MIN(IF($D$13&gt;=1,MIN($D$13,G113),G113*$D$13),IF($E$13="",9E+99,$E$13)),0),ROUNDUP(MIN(IF($D$13&gt;=1,MIN($D$13,G113),G113*$D$13),IF($E$13="",9E+99,$E$13)),0))))</f>
        <v/>
      </c>
      <c r="M113" s="20">
        <f>IF(G113="","",IF(OR($D$14="",$H$14="X",G113&lt;N($C$14)),0,IF(B113="G마켓",ROUNDDOWN(MIN(IF($D$14&gt;=1,MIN($D$14,G113),G113*$D$14),IF($E$14="",9E+99,$E$14)),0),ROUNDUP(MIN(IF($D$14&gt;=1,MIN($D$14,G113),G113*$D$14),IF($E$14="",9E+99,$E$14)),0))))</f>
        <v/>
      </c>
      <c r="N113" s="19">
        <f>IF(G113="","",G113-MAX(I113:M113))</f>
        <v/>
      </c>
      <c r="O113" s="20">
        <f>IF(N113="","",IF(OR($D$18="",$H$18="X",N113&lt;N($C$18)),0,IF(B113="G마켓",ROUNDDOWN(MIN(IF($D$18&gt;=1,MIN($D$18,N113),N113*$D$18),IF($E$18="",9E+99,$E$18)),0),ROUNDUP(MIN(IF($D$18&gt;=1,MIN($D$18,N113),N113*$D$18),IF($E$18="",9E+99,$E$18)),0))))</f>
        <v/>
      </c>
      <c r="P113" s="20">
        <f>IF(N113="","",IF(OR($D$19="",$H$19="X",N113&lt;N($C$19)),0,IF(B113="G마켓",ROUNDDOWN(MIN(IF($D$19&gt;=1,MIN($D$19,N113),N113*$D$19),IF($E$19="",9E+99,$E$19)),0),ROUNDUP(MIN(IF($D$19&gt;=1,MIN($D$19,N113),N113*$D$19),IF($E$19="",9E+99,$E$19)),0))))</f>
        <v/>
      </c>
      <c r="Q113" s="20">
        <f>IF(N113="","",IF(OR($D$20="",$H$20="X",N113&lt;N($C$20)),0,IF(B113="G마켓",ROUNDDOWN(MIN(IF($D$20&gt;=1,MIN($D$20,N113),N113*$D$20),IF($E$20="",9E+99,$E$20)),0),ROUNDUP(MIN(IF($D$20&gt;=1,MIN($D$20,N113),N113*$D$20),IF($E$20="",9E+99,$E$20)),0))))</f>
        <v/>
      </c>
      <c r="R113" s="20">
        <f>IF(N113="","",IF(OR($D$21="",$H$21="X",N113&lt;N($C$21)),0,IF(B113="G마켓",ROUNDDOWN(MIN(IF($D$21&gt;=1,MIN($D$21,N113),N113*$D$21),IF($E$21="",9E+99,$E$21)),0),ROUNDUP(MIN(IF($D$21&gt;=1,MIN($D$21,N113),N113*$D$21),IF($E$21="",9E+99,$E$21)),0))))</f>
        <v/>
      </c>
      <c r="S113" s="19">
        <f>IF(G113="","",N113-MAX(O113:R113))</f>
        <v/>
      </c>
      <c r="T113" s="20">
        <f>IF(S113="","",IF(OR($D$25="",S113&lt;N($C$25)),0,IF(B113="G마켓",ROUNDDOWN(MIN(IF($D$25&gt;=1,MIN($D$25,S113),S113*$D$25),IF($E$25="",9E+99,$E$25)),0),ROUNDUP(MIN(IF($D$25&gt;=1,MIN($D$25,S113),S113*$D$25),IF($E$25="",9E+99,$E$25)),0))))</f>
        <v/>
      </c>
      <c r="U113" s="20">
        <f>IF(S113="","",IF(OR($D$26="",S113&lt;N($C$26)),0,IF(B113="G마켓",ROUNDDOWN(MIN(IF($D$26&gt;=1,MIN($D$26,S113),S113*$D$26),IF($E$26="",9E+99,$E$26)),0),ROUNDUP(MIN(IF($D$26&gt;=1,MIN($D$26,S113),S113*$D$26),IF($E$26="",9E+99,$E$26)),0))))</f>
        <v/>
      </c>
      <c r="V113" s="20">
        <f>IF(S113="","",IF(OR($D$27="",S113&lt;N($C$27)),0,IF(B113="G마켓",ROUNDDOWN(MIN(IF($D$27&gt;=1,MIN($D$27,S113),S113*$D$27),IF($E$27="",9E+99,$E$27)),0),ROUNDUP(MIN(IF($D$27&gt;=1,MIN($D$27,S113),S113*$D$27),IF($E$27="",9E+99,$E$27)),0))))</f>
        <v/>
      </c>
      <c r="W113" s="19">
        <f>IF(G113="","",MAX(T113:V113))</f>
        <v/>
      </c>
      <c r="X113" s="21">
        <f>IF(G113="","",S113-W113)</f>
        <v/>
      </c>
      <c r="Y113" s="19">
        <f>IF(G113="","",IF(B113="G마켓",ROUNDDOWN(MAX(I113*N($G$10),J113*N($G$11),K113*N($G$12),L113*N($G$13),M113*N($G$14))+MAX(O113*N($G$18),P113*N($G$19),Q113*N($G$20),R113*N($G$21))+MAX(T113*N($G$25),U113*N($G$26),V113*N($G$27)),0),ROUNDUP(MAX(I113*N($G$10),J113*N($G$11),K113*N($G$12),L113*N($G$13),M113*N($G$14))+MAX(O113*N($G$18),P113*N($G$19),Q113*N($G$20),R113*N($G$21))+MAX(T113*N($G$25),U113*N($G$26),V113*N($G$27)),0)))</f>
        <v/>
      </c>
      <c r="Z113" s="21">
        <f>IF(G113="","",IF(B113="G마켓",ROUNDDOWN(G113-G113*$Q$6-Y113,0),ROUNDUP(G113-G113*$Q$6-Y113,0)))</f>
        <v/>
      </c>
    </row>
    <row r="114">
      <c r="B114" s="7" t="n"/>
      <c r="C114" s="7" t="n"/>
      <c r="D114" s="22" t="n"/>
      <c r="E114" s="23" t="n"/>
      <c r="F114" s="23" t="n"/>
      <c r="G114" s="19">
        <f>IF(E114="","",E114-N(F114))</f>
        <v/>
      </c>
      <c r="I114" s="20">
        <f>IF(G114="","",IF(OR($D$10="",$H$10="X",G114&lt;N($C$10)),0,IF(B114="G마켓",ROUNDDOWN(MIN(IF($D$10&gt;=1,MIN($D$10,G114),G114*$D$10),IF($E$10="",9E+99,$E$10)),0),ROUNDUP(MIN(IF($D$10&gt;=1,MIN($D$10,G114),G114*$D$10),IF($E$10="",9E+99,$E$10)),0))))</f>
        <v/>
      </c>
      <c r="J114" s="20">
        <f>IF(G114="","",IF(OR($D$11="",$H$11="X",G114&lt;N($C$11)),0,IF(B114="G마켓",ROUNDDOWN(MIN(IF($D$11&gt;=1,MIN($D$11,G114),G114*$D$11),IF($E$11="",9E+99,$E$11)),0),ROUNDUP(MIN(IF($D$11&gt;=1,MIN($D$11,G114),G114*$D$11),IF($E$11="",9E+99,$E$11)),0))))</f>
        <v/>
      </c>
      <c r="K114" s="20">
        <f>IF(G114="","",IF(OR($D$12="",$H$12="X",G114&lt;N($C$12)),0,IF(B114="G마켓",ROUNDDOWN(MIN(IF($D$12&gt;=1,MIN($D$12,G114),G114*$D$12),IF($E$12="",9E+99,$E$12)),0),ROUNDUP(MIN(IF($D$12&gt;=1,MIN($D$12,G114),G114*$D$12),IF($E$12="",9E+99,$E$12)),0))))</f>
        <v/>
      </c>
      <c r="L114" s="20">
        <f>IF(G114="","",IF(OR($D$13="",$H$13="X",G114&lt;N($C$13)),0,IF(B114="G마켓",ROUNDDOWN(MIN(IF($D$13&gt;=1,MIN($D$13,G114),G114*$D$13),IF($E$13="",9E+99,$E$13)),0),ROUNDUP(MIN(IF($D$13&gt;=1,MIN($D$13,G114),G114*$D$13),IF($E$13="",9E+99,$E$13)),0))))</f>
        <v/>
      </c>
      <c r="M114" s="20">
        <f>IF(G114="","",IF(OR($D$14="",$H$14="X",G114&lt;N($C$14)),0,IF(B114="G마켓",ROUNDDOWN(MIN(IF($D$14&gt;=1,MIN($D$14,G114),G114*$D$14),IF($E$14="",9E+99,$E$14)),0),ROUNDUP(MIN(IF($D$14&gt;=1,MIN($D$14,G114),G114*$D$14),IF($E$14="",9E+99,$E$14)),0))))</f>
        <v/>
      </c>
      <c r="N114" s="19">
        <f>IF(G114="","",G114-MAX(I114:M114))</f>
        <v/>
      </c>
      <c r="O114" s="20">
        <f>IF(N114="","",IF(OR($D$18="",$H$18="X",N114&lt;N($C$18)),0,IF(B114="G마켓",ROUNDDOWN(MIN(IF($D$18&gt;=1,MIN($D$18,N114),N114*$D$18),IF($E$18="",9E+99,$E$18)),0),ROUNDUP(MIN(IF($D$18&gt;=1,MIN($D$18,N114),N114*$D$18),IF($E$18="",9E+99,$E$18)),0))))</f>
        <v/>
      </c>
      <c r="P114" s="20">
        <f>IF(N114="","",IF(OR($D$19="",$H$19="X",N114&lt;N($C$19)),0,IF(B114="G마켓",ROUNDDOWN(MIN(IF($D$19&gt;=1,MIN($D$19,N114),N114*$D$19),IF($E$19="",9E+99,$E$19)),0),ROUNDUP(MIN(IF($D$19&gt;=1,MIN($D$19,N114),N114*$D$19),IF($E$19="",9E+99,$E$19)),0))))</f>
        <v/>
      </c>
      <c r="Q114" s="20">
        <f>IF(N114="","",IF(OR($D$20="",$H$20="X",N114&lt;N($C$20)),0,IF(B114="G마켓",ROUNDDOWN(MIN(IF($D$20&gt;=1,MIN($D$20,N114),N114*$D$20),IF($E$20="",9E+99,$E$20)),0),ROUNDUP(MIN(IF($D$20&gt;=1,MIN($D$20,N114),N114*$D$20),IF($E$20="",9E+99,$E$20)),0))))</f>
        <v/>
      </c>
      <c r="R114" s="20">
        <f>IF(N114="","",IF(OR($D$21="",$H$21="X",N114&lt;N($C$21)),0,IF(B114="G마켓",ROUNDDOWN(MIN(IF($D$21&gt;=1,MIN($D$21,N114),N114*$D$21),IF($E$21="",9E+99,$E$21)),0),ROUNDUP(MIN(IF($D$21&gt;=1,MIN($D$21,N114),N114*$D$21),IF($E$21="",9E+99,$E$21)),0))))</f>
        <v/>
      </c>
      <c r="S114" s="19">
        <f>IF(G114="","",N114-MAX(O114:R114))</f>
        <v/>
      </c>
      <c r="T114" s="20">
        <f>IF(S114="","",IF(OR($D$25="",S114&lt;N($C$25)),0,IF(B114="G마켓",ROUNDDOWN(MIN(IF($D$25&gt;=1,MIN($D$25,S114),S114*$D$25),IF($E$25="",9E+99,$E$25)),0),ROUNDUP(MIN(IF($D$25&gt;=1,MIN($D$25,S114),S114*$D$25),IF($E$25="",9E+99,$E$25)),0))))</f>
        <v/>
      </c>
      <c r="U114" s="20">
        <f>IF(S114="","",IF(OR($D$26="",S114&lt;N($C$26)),0,IF(B114="G마켓",ROUNDDOWN(MIN(IF($D$26&gt;=1,MIN($D$26,S114),S114*$D$26),IF($E$26="",9E+99,$E$26)),0),ROUNDUP(MIN(IF($D$26&gt;=1,MIN($D$26,S114),S114*$D$26),IF($E$26="",9E+99,$E$26)),0))))</f>
        <v/>
      </c>
      <c r="V114" s="20">
        <f>IF(S114="","",IF(OR($D$27="",S114&lt;N($C$27)),0,IF(B114="G마켓",ROUNDDOWN(MIN(IF($D$27&gt;=1,MIN($D$27,S114),S114*$D$27),IF($E$27="",9E+99,$E$27)),0),ROUNDUP(MIN(IF($D$27&gt;=1,MIN($D$27,S114),S114*$D$27),IF($E$27="",9E+99,$E$27)),0))))</f>
        <v/>
      </c>
      <c r="W114" s="19">
        <f>IF(G114="","",MAX(T114:V114))</f>
        <v/>
      </c>
      <c r="X114" s="21">
        <f>IF(G114="","",S114-W114)</f>
        <v/>
      </c>
      <c r="Y114" s="19">
        <f>IF(G114="","",IF(B114="G마켓",ROUNDDOWN(MAX(I114*N($G$10),J114*N($G$11),K114*N($G$12),L114*N($G$13),M114*N($G$14))+MAX(O114*N($G$18),P114*N($G$19),Q114*N($G$20),R114*N($G$21))+MAX(T114*N($G$25),U114*N($G$26),V114*N($G$27)),0),ROUNDUP(MAX(I114*N($G$10),J114*N($G$11),K114*N($G$12),L114*N($G$13),M114*N($G$14))+MAX(O114*N($G$18),P114*N($G$19),Q114*N($G$20),R114*N($G$21))+MAX(T114*N($G$25),U114*N($G$26),V114*N($G$27)),0)))</f>
        <v/>
      </c>
      <c r="Z114" s="21">
        <f>IF(G114="","",IF(B114="G마켓",ROUNDDOWN(G114-G114*$Q$6-Y114,0),ROUNDUP(G114-G114*$Q$6-Y114,0)))</f>
        <v/>
      </c>
    </row>
    <row r="115">
      <c r="B115" s="7" t="n"/>
      <c r="C115" s="7" t="n"/>
      <c r="D115" s="22" t="n"/>
      <c r="E115" s="23" t="n"/>
      <c r="F115" s="23" t="n"/>
      <c r="G115" s="19">
        <f>IF(E115="","",E115-N(F115))</f>
        <v/>
      </c>
      <c r="I115" s="20">
        <f>IF(G115="","",IF(OR($D$10="",$H$10="X",G115&lt;N($C$10)),0,IF(B115="G마켓",ROUNDDOWN(MIN(IF($D$10&gt;=1,MIN($D$10,G115),G115*$D$10),IF($E$10="",9E+99,$E$10)),0),ROUNDUP(MIN(IF($D$10&gt;=1,MIN($D$10,G115),G115*$D$10),IF($E$10="",9E+99,$E$10)),0))))</f>
        <v/>
      </c>
      <c r="J115" s="20">
        <f>IF(G115="","",IF(OR($D$11="",$H$11="X",G115&lt;N($C$11)),0,IF(B115="G마켓",ROUNDDOWN(MIN(IF($D$11&gt;=1,MIN($D$11,G115),G115*$D$11),IF($E$11="",9E+99,$E$11)),0),ROUNDUP(MIN(IF($D$11&gt;=1,MIN($D$11,G115),G115*$D$11),IF($E$11="",9E+99,$E$11)),0))))</f>
        <v/>
      </c>
      <c r="K115" s="20">
        <f>IF(G115="","",IF(OR($D$12="",$H$12="X",G115&lt;N($C$12)),0,IF(B115="G마켓",ROUNDDOWN(MIN(IF($D$12&gt;=1,MIN($D$12,G115),G115*$D$12),IF($E$12="",9E+99,$E$12)),0),ROUNDUP(MIN(IF($D$12&gt;=1,MIN($D$12,G115),G115*$D$12),IF($E$12="",9E+99,$E$12)),0))))</f>
        <v/>
      </c>
      <c r="L115" s="20">
        <f>IF(G115="","",IF(OR($D$13="",$H$13="X",G115&lt;N($C$13)),0,IF(B115="G마켓",ROUNDDOWN(MIN(IF($D$13&gt;=1,MIN($D$13,G115),G115*$D$13),IF($E$13="",9E+99,$E$13)),0),ROUNDUP(MIN(IF($D$13&gt;=1,MIN($D$13,G115),G115*$D$13),IF($E$13="",9E+99,$E$13)),0))))</f>
        <v/>
      </c>
      <c r="M115" s="20">
        <f>IF(G115="","",IF(OR($D$14="",$H$14="X",G115&lt;N($C$14)),0,IF(B115="G마켓",ROUNDDOWN(MIN(IF($D$14&gt;=1,MIN($D$14,G115),G115*$D$14),IF($E$14="",9E+99,$E$14)),0),ROUNDUP(MIN(IF($D$14&gt;=1,MIN($D$14,G115),G115*$D$14),IF($E$14="",9E+99,$E$14)),0))))</f>
        <v/>
      </c>
      <c r="N115" s="19">
        <f>IF(G115="","",G115-MAX(I115:M115))</f>
        <v/>
      </c>
      <c r="O115" s="20">
        <f>IF(N115="","",IF(OR($D$18="",$H$18="X",N115&lt;N($C$18)),0,IF(B115="G마켓",ROUNDDOWN(MIN(IF($D$18&gt;=1,MIN($D$18,N115),N115*$D$18),IF($E$18="",9E+99,$E$18)),0),ROUNDUP(MIN(IF($D$18&gt;=1,MIN($D$18,N115),N115*$D$18),IF($E$18="",9E+99,$E$18)),0))))</f>
        <v/>
      </c>
      <c r="P115" s="20">
        <f>IF(N115="","",IF(OR($D$19="",$H$19="X",N115&lt;N($C$19)),0,IF(B115="G마켓",ROUNDDOWN(MIN(IF($D$19&gt;=1,MIN($D$19,N115),N115*$D$19),IF($E$19="",9E+99,$E$19)),0),ROUNDUP(MIN(IF($D$19&gt;=1,MIN($D$19,N115),N115*$D$19),IF($E$19="",9E+99,$E$19)),0))))</f>
        <v/>
      </c>
      <c r="Q115" s="20">
        <f>IF(N115="","",IF(OR($D$20="",$H$20="X",N115&lt;N($C$20)),0,IF(B115="G마켓",ROUNDDOWN(MIN(IF($D$20&gt;=1,MIN($D$20,N115),N115*$D$20),IF($E$20="",9E+99,$E$20)),0),ROUNDUP(MIN(IF($D$20&gt;=1,MIN($D$20,N115),N115*$D$20),IF($E$20="",9E+99,$E$20)),0))))</f>
        <v/>
      </c>
      <c r="R115" s="20">
        <f>IF(N115="","",IF(OR($D$21="",$H$21="X",N115&lt;N($C$21)),0,IF(B115="G마켓",ROUNDDOWN(MIN(IF($D$21&gt;=1,MIN($D$21,N115),N115*$D$21),IF($E$21="",9E+99,$E$21)),0),ROUNDUP(MIN(IF($D$21&gt;=1,MIN($D$21,N115),N115*$D$21),IF($E$21="",9E+99,$E$21)),0))))</f>
        <v/>
      </c>
      <c r="S115" s="19">
        <f>IF(G115="","",N115-MAX(O115:R115))</f>
        <v/>
      </c>
      <c r="T115" s="20">
        <f>IF(S115="","",IF(OR($D$25="",S115&lt;N($C$25)),0,IF(B115="G마켓",ROUNDDOWN(MIN(IF($D$25&gt;=1,MIN($D$25,S115),S115*$D$25),IF($E$25="",9E+99,$E$25)),0),ROUNDUP(MIN(IF($D$25&gt;=1,MIN($D$25,S115),S115*$D$25),IF($E$25="",9E+99,$E$25)),0))))</f>
        <v/>
      </c>
      <c r="U115" s="20">
        <f>IF(S115="","",IF(OR($D$26="",S115&lt;N($C$26)),0,IF(B115="G마켓",ROUNDDOWN(MIN(IF($D$26&gt;=1,MIN($D$26,S115),S115*$D$26),IF($E$26="",9E+99,$E$26)),0),ROUNDUP(MIN(IF($D$26&gt;=1,MIN($D$26,S115),S115*$D$26),IF($E$26="",9E+99,$E$26)),0))))</f>
        <v/>
      </c>
      <c r="V115" s="20">
        <f>IF(S115="","",IF(OR($D$27="",S115&lt;N($C$27)),0,IF(B115="G마켓",ROUNDDOWN(MIN(IF($D$27&gt;=1,MIN($D$27,S115),S115*$D$27),IF($E$27="",9E+99,$E$27)),0),ROUNDUP(MIN(IF($D$27&gt;=1,MIN($D$27,S115),S115*$D$27),IF($E$27="",9E+99,$E$27)),0))))</f>
        <v/>
      </c>
      <c r="W115" s="19">
        <f>IF(G115="","",MAX(T115:V115))</f>
        <v/>
      </c>
      <c r="X115" s="21">
        <f>IF(G115="","",S115-W115)</f>
        <v/>
      </c>
      <c r="Y115" s="19">
        <f>IF(G115="","",IF(B115="G마켓",ROUNDDOWN(MAX(I115*N($G$10),J115*N($G$11),K115*N($G$12),L115*N($G$13),M115*N($G$14))+MAX(O115*N($G$18),P115*N($G$19),Q115*N($G$20),R115*N($G$21))+MAX(T115*N($G$25),U115*N($G$26),V115*N($G$27)),0),ROUNDUP(MAX(I115*N($G$10),J115*N($G$11),K115*N($G$12),L115*N($G$13),M115*N($G$14))+MAX(O115*N($G$18),P115*N($G$19),Q115*N($G$20),R115*N($G$21))+MAX(T115*N($G$25),U115*N($G$26),V115*N($G$27)),0)))</f>
        <v/>
      </c>
      <c r="Z115" s="21">
        <f>IF(G115="","",IF(B115="G마켓",ROUNDDOWN(G115-G115*$Q$6-Y115,0),ROUNDUP(G115-G115*$Q$6-Y115,0)))</f>
        <v/>
      </c>
    </row>
    <row r="116">
      <c r="B116" s="7" t="n"/>
      <c r="C116" s="7" t="n"/>
      <c r="D116" s="22" t="n"/>
      <c r="E116" s="23" t="n"/>
      <c r="F116" s="23" t="n"/>
      <c r="G116" s="19">
        <f>IF(E116="","",E116-N(F116))</f>
        <v/>
      </c>
      <c r="I116" s="20">
        <f>IF(G116="","",IF(OR($D$10="",$H$10="X",G116&lt;N($C$10)),0,IF(B116="G마켓",ROUNDDOWN(MIN(IF($D$10&gt;=1,MIN($D$10,G116),G116*$D$10),IF($E$10="",9E+99,$E$10)),0),ROUNDUP(MIN(IF($D$10&gt;=1,MIN($D$10,G116),G116*$D$10),IF($E$10="",9E+99,$E$10)),0))))</f>
        <v/>
      </c>
      <c r="J116" s="20">
        <f>IF(G116="","",IF(OR($D$11="",$H$11="X",G116&lt;N($C$11)),0,IF(B116="G마켓",ROUNDDOWN(MIN(IF($D$11&gt;=1,MIN($D$11,G116),G116*$D$11),IF($E$11="",9E+99,$E$11)),0),ROUNDUP(MIN(IF($D$11&gt;=1,MIN($D$11,G116),G116*$D$11),IF($E$11="",9E+99,$E$11)),0))))</f>
        <v/>
      </c>
      <c r="K116" s="20">
        <f>IF(G116="","",IF(OR($D$12="",$H$12="X",G116&lt;N($C$12)),0,IF(B116="G마켓",ROUNDDOWN(MIN(IF($D$12&gt;=1,MIN($D$12,G116),G116*$D$12),IF($E$12="",9E+99,$E$12)),0),ROUNDUP(MIN(IF($D$12&gt;=1,MIN($D$12,G116),G116*$D$12),IF($E$12="",9E+99,$E$12)),0))))</f>
        <v/>
      </c>
      <c r="L116" s="20">
        <f>IF(G116="","",IF(OR($D$13="",$H$13="X",G116&lt;N($C$13)),0,IF(B116="G마켓",ROUNDDOWN(MIN(IF($D$13&gt;=1,MIN($D$13,G116),G116*$D$13),IF($E$13="",9E+99,$E$13)),0),ROUNDUP(MIN(IF($D$13&gt;=1,MIN($D$13,G116),G116*$D$13),IF($E$13="",9E+99,$E$13)),0))))</f>
        <v/>
      </c>
      <c r="M116" s="20">
        <f>IF(G116="","",IF(OR($D$14="",$H$14="X",G116&lt;N($C$14)),0,IF(B116="G마켓",ROUNDDOWN(MIN(IF($D$14&gt;=1,MIN($D$14,G116),G116*$D$14),IF($E$14="",9E+99,$E$14)),0),ROUNDUP(MIN(IF($D$14&gt;=1,MIN($D$14,G116),G116*$D$14),IF($E$14="",9E+99,$E$14)),0))))</f>
        <v/>
      </c>
      <c r="N116" s="19">
        <f>IF(G116="","",G116-MAX(I116:M116))</f>
        <v/>
      </c>
      <c r="O116" s="20">
        <f>IF(N116="","",IF(OR($D$18="",$H$18="X",N116&lt;N($C$18)),0,IF(B116="G마켓",ROUNDDOWN(MIN(IF($D$18&gt;=1,MIN($D$18,N116),N116*$D$18),IF($E$18="",9E+99,$E$18)),0),ROUNDUP(MIN(IF($D$18&gt;=1,MIN($D$18,N116),N116*$D$18),IF($E$18="",9E+99,$E$18)),0))))</f>
        <v/>
      </c>
      <c r="P116" s="20">
        <f>IF(N116="","",IF(OR($D$19="",$H$19="X",N116&lt;N($C$19)),0,IF(B116="G마켓",ROUNDDOWN(MIN(IF($D$19&gt;=1,MIN($D$19,N116),N116*$D$19),IF($E$19="",9E+99,$E$19)),0),ROUNDUP(MIN(IF($D$19&gt;=1,MIN($D$19,N116),N116*$D$19),IF($E$19="",9E+99,$E$19)),0))))</f>
        <v/>
      </c>
      <c r="Q116" s="20">
        <f>IF(N116="","",IF(OR($D$20="",$H$20="X",N116&lt;N($C$20)),0,IF(B116="G마켓",ROUNDDOWN(MIN(IF($D$20&gt;=1,MIN($D$20,N116),N116*$D$20),IF($E$20="",9E+99,$E$20)),0),ROUNDUP(MIN(IF($D$20&gt;=1,MIN($D$20,N116),N116*$D$20),IF($E$20="",9E+99,$E$20)),0))))</f>
        <v/>
      </c>
      <c r="R116" s="20">
        <f>IF(N116="","",IF(OR($D$21="",$H$21="X",N116&lt;N($C$21)),0,IF(B116="G마켓",ROUNDDOWN(MIN(IF($D$21&gt;=1,MIN($D$21,N116),N116*$D$21),IF($E$21="",9E+99,$E$21)),0),ROUNDUP(MIN(IF($D$21&gt;=1,MIN($D$21,N116),N116*$D$21),IF($E$21="",9E+99,$E$21)),0))))</f>
        <v/>
      </c>
      <c r="S116" s="19">
        <f>IF(G116="","",N116-MAX(O116:R116))</f>
        <v/>
      </c>
      <c r="T116" s="20">
        <f>IF(S116="","",IF(OR($D$25="",S116&lt;N($C$25)),0,IF(B116="G마켓",ROUNDDOWN(MIN(IF($D$25&gt;=1,MIN($D$25,S116),S116*$D$25),IF($E$25="",9E+99,$E$25)),0),ROUNDUP(MIN(IF($D$25&gt;=1,MIN($D$25,S116),S116*$D$25),IF($E$25="",9E+99,$E$25)),0))))</f>
        <v/>
      </c>
      <c r="U116" s="20">
        <f>IF(S116="","",IF(OR($D$26="",S116&lt;N($C$26)),0,IF(B116="G마켓",ROUNDDOWN(MIN(IF($D$26&gt;=1,MIN($D$26,S116),S116*$D$26),IF($E$26="",9E+99,$E$26)),0),ROUNDUP(MIN(IF($D$26&gt;=1,MIN($D$26,S116),S116*$D$26),IF($E$26="",9E+99,$E$26)),0))))</f>
        <v/>
      </c>
      <c r="V116" s="20">
        <f>IF(S116="","",IF(OR($D$27="",S116&lt;N($C$27)),0,IF(B116="G마켓",ROUNDDOWN(MIN(IF($D$27&gt;=1,MIN($D$27,S116),S116*$D$27),IF($E$27="",9E+99,$E$27)),0),ROUNDUP(MIN(IF($D$27&gt;=1,MIN($D$27,S116),S116*$D$27),IF($E$27="",9E+99,$E$27)),0))))</f>
        <v/>
      </c>
      <c r="W116" s="19">
        <f>IF(G116="","",MAX(T116:V116))</f>
        <v/>
      </c>
      <c r="X116" s="21">
        <f>IF(G116="","",S116-W116)</f>
        <v/>
      </c>
      <c r="Y116" s="19">
        <f>IF(G116="","",IF(B116="G마켓",ROUNDDOWN(MAX(I116*N($G$10),J116*N($G$11),K116*N($G$12),L116*N($G$13),M116*N($G$14))+MAX(O116*N($G$18),P116*N($G$19),Q116*N($G$20),R116*N($G$21))+MAX(T116*N($G$25),U116*N($G$26),V116*N($G$27)),0),ROUNDUP(MAX(I116*N($G$10),J116*N($G$11),K116*N($G$12),L116*N($G$13),M116*N($G$14))+MAX(O116*N($G$18),P116*N($G$19),Q116*N($G$20),R116*N($G$21))+MAX(T116*N($G$25),U116*N($G$26),V116*N($G$27)),0)))</f>
        <v/>
      </c>
      <c r="Z116" s="21">
        <f>IF(G116="","",IF(B116="G마켓",ROUNDDOWN(G116-G116*$Q$6-Y116,0),ROUNDUP(G116-G116*$Q$6-Y116,0)))</f>
        <v/>
      </c>
    </row>
    <row r="117">
      <c r="B117" s="7" t="n"/>
      <c r="C117" s="7" t="n"/>
      <c r="D117" s="22" t="n"/>
      <c r="E117" s="23" t="n"/>
      <c r="F117" s="23" t="n"/>
      <c r="G117" s="19">
        <f>IF(E117="","",E117-N(F117))</f>
        <v/>
      </c>
      <c r="I117" s="20">
        <f>IF(G117="","",IF(OR($D$10="",$H$10="X",G117&lt;N($C$10)),0,IF(B117="G마켓",ROUNDDOWN(MIN(IF($D$10&gt;=1,MIN($D$10,G117),G117*$D$10),IF($E$10="",9E+99,$E$10)),0),ROUNDUP(MIN(IF($D$10&gt;=1,MIN($D$10,G117),G117*$D$10),IF($E$10="",9E+99,$E$10)),0))))</f>
        <v/>
      </c>
      <c r="J117" s="20">
        <f>IF(G117="","",IF(OR($D$11="",$H$11="X",G117&lt;N($C$11)),0,IF(B117="G마켓",ROUNDDOWN(MIN(IF($D$11&gt;=1,MIN($D$11,G117),G117*$D$11),IF($E$11="",9E+99,$E$11)),0),ROUNDUP(MIN(IF($D$11&gt;=1,MIN($D$11,G117),G117*$D$11),IF($E$11="",9E+99,$E$11)),0))))</f>
        <v/>
      </c>
      <c r="K117" s="20">
        <f>IF(G117="","",IF(OR($D$12="",$H$12="X",G117&lt;N($C$12)),0,IF(B117="G마켓",ROUNDDOWN(MIN(IF($D$12&gt;=1,MIN($D$12,G117),G117*$D$12),IF($E$12="",9E+99,$E$12)),0),ROUNDUP(MIN(IF($D$12&gt;=1,MIN($D$12,G117),G117*$D$12),IF($E$12="",9E+99,$E$12)),0))))</f>
        <v/>
      </c>
      <c r="L117" s="20">
        <f>IF(G117="","",IF(OR($D$13="",$H$13="X",G117&lt;N($C$13)),0,IF(B117="G마켓",ROUNDDOWN(MIN(IF($D$13&gt;=1,MIN($D$13,G117),G117*$D$13),IF($E$13="",9E+99,$E$13)),0),ROUNDUP(MIN(IF($D$13&gt;=1,MIN($D$13,G117),G117*$D$13),IF($E$13="",9E+99,$E$13)),0))))</f>
        <v/>
      </c>
      <c r="M117" s="20">
        <f>IF(G117="","",IF(OR($D$14="",$H$14="X",G117&lt;N($C$14)),0,IF(B117="G마켓",ROUNDDOWN(MIN(IF($D$14&gt;=1,MIN($D$14,G117),G117*$D$14),IF($E$14="",9E+99,$E$14)),0),ROUNDUP(MIN(IF($D$14&gt;=1,MIN($D$14,G117),G117*$D$14),IF($E$14="",9E+99,$E$14)),0))))</f>
        <v/>
      </c>
      <c r="N117" s="19">
        <f>IF(G117="","",G117-MAX(I117:M117))</f>
        <v/>
      </c>
      <c r="O117" s="20">
        <f>IF(N117="","",IF(OR($D$18="",$H$18="X",N117&lt;N($C$18)),0,IF(B117="G마켓",ROUNDDOWN(MIN(IF($D$18&gt;=1,MIN($D$18,N117),N117*$D$18),IF($E$18="",9E+99,$E$18)),0),ROUNDUP(MIN(IF($D$18&gt;=1,MIN($D$18,N117),N117*$D$18),IF($E$18="",9E+99,$E$18)),0))))</f>
        <v/>
      </c>
      <c r="P117" s="20">
        <f>IF(N117="","",IF(OR($D$19="",$H$19="X",N117&lt;N($C$19)),0,IF(B117="G마켓",ROUNDDOWN(MIN(IF($D$19&gt;=1,MIN($D$19,N117),N117*$D$19),IF($E$19="",9E+99,$E$19)),0),ROUNDUP(MIN(IF($D$19&gt;=1,MIN($D$19,N117),N117*$D$19),IF($E$19="",9E+99,$E$19)),0))))</f>
        <v/>
      </c>
      <c r="Q117" s="20">
        <f>IF(N117="","",IF(OR($D$20="",$H$20="X",N117&lt;N($C$20)),0,IF(B117="G마켓",ROUNDDOWN(MIN(IF($D$20&gt;=1,MIN($D$20,N117),N117*$D$20),IF($E$20="",9E+99,$E$20)),0),ROUNDUP(MIN(IF($D$20&gt;=1,MIN($D$20,N117),N117*$D$20),IF($E$20="",9E+99,$E$20)),0))))</f>
        <v/>
      </c>
      <c r="R117" s="20">
        <f>IF(N117="","",IF(OR($D$21="",$H$21="X",N117&lt;N($C$21)),0,IF(B117="G마켓",ROUNDDOWN(MIN(IF($D$21&gt;=1,MIN($D$21,N117),N117*$D$21),IF($E$21="",9E+99,$E$21)),0),ROUNDUP(MIN(IF($D$21&gt;=1,MIN($D$21,N117),N117*$D$21),IF($E$21="",9E+99,$E$21)),0))))</f>
        <v/>
      </c>
      <c r="S117" s="19">
        <f>IF(G117="","",N117-MAX(O117:R117))</f>
        <v/>
      </c>
      <c r="T117" s="20">
        <f>IF(S117="","",IF(OR($D$25="",S117&lt;N($C$25)),0,IF(B117="G마켓",ROUNDDOWN(MIN(IF($D$25&gt;=1,MIN($D$25,S117),S117*$D$25),IF($E$25="",9E+99,$E$25)),0),ROUNDUP(MIN(IF($D$25&gt;=1,MIN($D$25,S117),S117*$D$25),IF($E$25="",9E+99,$E$25)),0))))</f>
        <v/>
      </c>
      <c r="U117" s="20">
        <f>IF(S117="","",IF(OR($D$26="",S117&lt;N($C$26)),0,IF(B117="G마켓",ROUNDDOWN(MIN(IF($D$26&gt;=1,MIN($D$26,S117),S117*$D$26),IF($E$26="",9E+99,$E$26)),0),ROUNDUP(MIN(IF($D$26&gt;=1,MIN($D$26,S117),S117*$D$26),IF($E$26="",9E+99,$E$26)),0))))</f>
        <v/>
      </c>
      <c r="V117" s="20">
        <f>IF(S117="","",IF(OR($D$27="",S117&lt;N($C$27)),0,IF(B117="G마켓",ROUNDDOWN(MIN(IF($D$27&gt;=1,MIN($D$27,S117),S117*$D$27),IF($E$27="",9E+99,$E$27)),0),ROUNDUP(MIN(IF($D$27&gt;=1,MIN($D$27,S117),S117*$D$27),IF($E$27="",9E+99,$E$27)),0))))</f>
        <v/>
      </c>
      <c r="W117" s="19">
        <f>IF(G117="","",MAX(T117:V117))</f>
        <v/>
      </c>
      <c r="X117" s="21">
        <f>IF(G117="","",S117-W117)</f>
        <v/>
      </c>
      <c r="Y117" s="19">
        <f>IF(G117="","",IF(B117="G마켓",ROUNDDOWN(MAX(I117*N($G$10),J117*N($G$11),K117*N($G$12),L117*N($G$13),M117*N($G$14))+MAX(O117*N($G$18),P117*N($G$19),Q117*N($G$20),R117*N($G$21))+MAX(T117*N($G$25),U117*N($G$26),V117*N($G$27)),0),ROUNDUP(MAX(I117*N($G$10),J117*N($G$11),K117*N($G$12),L117*N($G$13),M117*N($G$14))+MAX(O117*N($G$18),P117*N($G$19),Q117*N($G$20),R117*N($G$21))+MAX(T117*N($G$25),U117*N($G$26),V117*N($G$27)),0)))</f>
        <v/>
      </c>
      <c r="Z117" s="21">
        <f>IF(G117="","",IF(B117="G마켓",ROUNDDOWN(G117-G117*$Q$6-Y117,0),ROUNDUP(G117-G117*$Q$6-Y117,0)))</f>
        <v/>
      </c>
    </row>
    <row r="118">
      <c r="B118" s="7" t="n"/>
      <c r="C118" s="7" t="n"/>
      <c r="D118" s="22" t="n"/>
      <c r="E118" s="23" t="n"/>
      <c r="F118" s="23" t="n"/>
      <c r="G118" s="19">
        <f>IF(E118="","",E118-N(F118))</f>
        <v/>
      </c>
      <c r="I118" s="20">
        <f>IF(G118="","",IF(OR($D$10="",$H$10="X",G118&lt;N($C$10)),0,IF(B118="G마켓",ROUNDDOWN(MIN(IF($D$10&gt;=1,MIN($D$10,G118),G118*$D$10),IF($E$10="",9E+99,$E$10)),0),ROUNDUP(MIN(IF($D$10&gt;=1,MIN($D$10,G118),G118*$D$10),IF($E$10="",9E+99,$E$10)),0))))</f>
        <v/>
      </c>
      <c r="J118" s="20">
        <f>IF(G118="","",IF(OR($D$11="",$H$11="X",G118&lt;N($C$11)),0,IF(B118="G마켓",ROUNDDOWN(MIN(IF($D$11&gt;=1,MIN($D$11,G118),G118*$D$11),IF($E$11="",9E+99,$E$11)),0),ROUNDUP(MIN(IF($D$11&gt;=1,MIN($D$11,G118),G118*$D$11),IF($E$11="",9E+99,$E$11)),0))))</f>
        <v/>
      </c>
      <c r="K118" s="20">
        <f>IF(G118="","",IF(OR($D$12="",$H$12="X",G118&lt;N($C$12)),0,IF(B118="G마켓",ROUNDDOWN(MIN(IF($D$12&gt;=1,MIN($D$12,G118),G118*$D$12),IF($E$12="",9E+99,$E$12)),0),ROUNDUP(MIN(IF($D$12&gt;=1,MIN($D$12,G118),G118*$D$12),IF($E$12="",9E+99,$E$12)),0))))</f>
        <v/>
      </c>
      <c r="L118" s="20">
        <f>IF(G118="","",IF(OR($D$13="",$H$13="X",G118&lt;N($C$13)),0,IF(B118="G마켓",ROUNDDOWN(MIN(IF($D$13&gt;=1,MIN($D$13,G118),G118*$D$13),IF($E$13="",9E+99,$E$13)),0),ROUNDUP(MIN(IF($D$13&gt;=1,MIN($D$13,G118),G118*$D$13),IF($E$13="",9E+99,$E$13)),0))))</f>
        <v/>
      </c>
      <c r="M118" s="20">
        <f>IF(G118="","",IF(OR($D$14="",$H$14="X",G118&lt;N($C$14)),0,IF(B118="G마켓",ROUNDDOWN(MIN(IF($D$14&gt;=1,MIN($D$14,G118),G118*$D$14),IF($E$14="",9E+99,$E$14)),0),ROUNDUP(MIN(IF($D$14&gt;=1,MIN($D$14,G118),G118*$D$14),IF($E$14="",9E+99,$E$14)),0))))</f>
        <v/>
      </c>
      <c r="N118" s="19">
        <f>IF(G118="","",G118-MAX(I118:M118))</f>
        <v/>
      </c>
      <c r="O118" s="20">
        <f>IF(N118="","",IF(OR($D$18="",$H$18="X",N118&lt;N($C$18)),0,IF(B118="G마켓",ROUNDDOWN(MIN(IF($D$18&gt;=1,MIN($D$18,N118),N118*$D$18),IF($E$18="",9E+99,$E$18)),0),ROUNDUP(MIN(IF($D$18&gt;=1,MIN($D$18,N118),N118*$D$18),IF($E$18="",9E+99,$E$18)),0))))</f>
        <v/>
      </c>
      <c r="P118" s="20">
        <f>IF(N118="","",IF(OR($D$19="",$H$19="X",N118&lt;N($C$19)),0,IF(B118="G마켓",ROUNDDOWN(MIN(IF($D$19&gt;=1,MIN($D$19,N118),N118*$D$19),IF($E$19="",9E+99,$E$19)),0),ROUNDUP(MIN(IF($D$19&gt;=1,MIN($D$19,N118),N118*$D$19),IF($E$19="",9E+99,$E$19)),0))))</f>
        <v/>
      </c>
      <c r="Q118" s="20">
        <f>IF(N118="","",IF(OR($D$20="",$H$20="X",N118&lt;N($C$20)),0,IF(B118="G마켓",ROUNDDOWN(MIN(IF($D$20&gt;=1,MIN($D$20,N118),N118*$D$20),IF($E$20="",9E+99,$E$20)),0),ROUNDUP(MIN(IF($D$20&gt;=1,MIN($D$20,N118),N118*$D$20),IF($E$20="",9E+99,$E$20)),0))))</f>
        <v/>
      </c>
      <c r="R118" s="20">
        <f>IF(N118="","",IF(OR($D$21="",$H$21="X",N118&lt;N($C$21)),0,IF(B118="G마켓",ROUNDDOWN(MIN(IF($D$21&gt;=1,MIN($D$21,N118),N118*$D$21),IF($E$21="",9E+99,$E$21)),0),ROUNDUP(MIN(IF($D$21&gt;=1,MIN($D$21,N118),N118*$D$21),IF($E$21="",9E+99,$E$21)),0))))</f>
        <v/>
      </c>
      <c r="S118" s="19">
        <f>IF(G118="","",N118-MAX(O118:R118))</f>
        <v/>
      </c>
      <c r="T118" s="20">
        <f>IF(S118="","",IF(OR($D$25="",S118&lt;N($C$25)),0,IF(B118="G마켓",ROUNDDOWN(MIN(IF($D$25&gt;=1,MIN($D$25,S118),S118*$D$25),IF($E$25="",9E+99,$E$25)),0),ROUNDUP(MIN(IF($D$25&gt;=1,MIN($D$25,S118),S118*$D$25),IF($E$25="",9E+99,$E$25)),0))))</f>
        <v/>
      </c>
      <c r="U118" s="20">
        <f>IF(S118="","",IF(OR($D$26="",S118&lt;N($C$26)),0,IF(B118="G마켓",ROUNDDOWN(MIN(IF($D$26&gt;=1,MIN($D$26,S118),S118*$D$26),IF($E$26="",9E+99,$E$26)),0),ROUNDUP(MIN(IF($D$26&gt;=1,MIN($D$26,S118),S118*$D$26),IF($E$26="",9E+99,$E$26)),0))))</f>
        <v/>
      </c>
      <c r="V118" s="20">
        <f>IF(S118="","",IF(OR($D$27="",S118&lt;N($C$27)),0,IF(B118="G마켓",ROUNDDOWN(MIN(IF($D$27&gt;=1,MIN($D$27,S118),S118*$D$27),IF($E$27="",9E+99,$E$27)),0),ROUNDUP(MIN(IF($D$27&gt;=1,MIN($D$27,S118),S118*$D$27),IF($E$27="",9E+99,$E$27)),0))))</f>
        <v/>
      </c>
      <c r="W118" s="19">
        <f>IF(G118="","",MAX(T118:V118))</f>
        <v/>
      </c>
      <c r="X118" s="21">
        <f>IF(G118="","",S118-W118)</f>
        <v/>
      </c>
      <c r="Y118" s="19">
        <f>IF(G118="","",IF(B118="G마켓",ROUNDDOWN(MAX(I118*N($G$10),J118*N($G$11),K118*N($G$12),L118*N($G$13),M118*N($G$14))+MAX(O118*N($G$18),P118*N($G$19),Q118*N($G$20),R118*N($G$21))+MAX(T118*N($G$25),U118*N($G$26),V118*N($G$27)),0),ROUNDUP(MAX(I118*N($G$10),J118*N($G$11),K118*N($G$12),L118*N($G$13),M118*N($G$14))+MAX(O118*N($G$18),P118*N($G$19),Q118*N($G$20),R118*N($G$21))+MAX(T118*N($G$25),U118*N($G$26),V118*N($G$27)),0)))</f>
        <v/>
      </c>
      <c r="Z118" s="21">
        <f>IF(G118="","",IF(B118="G마켓",ROUNDDOWN(G118-G118*$Q$6-Y118,0),ROUNDUP(G118-G118*$Q$6-Y118,0)))</f>
        <v/>
      </c>
    </row>
    <row r="119">
      <c r="B119" s="7" t="n"/>
      <c r="C119" s="7" t="n"/>
      <c r="D119" s="22" t="n"/>
      <c r="E119" s="23" t="n"/>
      <c r="F119" s="23" t="n"/>
      <c r="G119" s="19">
        <f>IF(E119="","",E119-N(F119))</f>
        <v/>
      </c>
      <c r="I119" s="20">
        <f>IF(G119="","",IF(OR($D$10="",$H$10="X",G119&lt;N($C$10)),0,IF(B119="G마켓",ROUNDDOWN(MIN(IF($D$10&gt;=1,MIN($D$10,G119),G119*$D$10),IF($E$10="",9E+99,$E$10)),0),ROUNDUP(MIN(IF($D$10&gt;=1,MIN($D$10,G119),G119*$D$10),IF($E$10="",9E+99,$E$10)),0))))</f>
        <v/>
      </c>
      <c r="J119" s="20">
        <f>IF(G119="","",IF(OR($D$11="",$H$11="X",G119&lt;N($C$11)),0,IF(B119="G마켓",ROUNDDOWN(MIN(IF($D$11&gt;=1,MIN($D$11,G119),G119*$D$11),IF($E$11="",9E+99,$E$11)),0),ROUNDUP(MIN(IF($D$11&gt;=1,MIN($D$11,G119),G119*$D$11),IF($E$11="",9E+99,$E$11)),0))))</f>
        <v/>
      </c>
      <c r="K119" s="20">
        <f>IF(G119="","",IF(OR($D$12="",$H$12="X",G119&lt;N($C$12)),0,IF(B119="G마켓",ROUNDDOWN(MIN(IF($D$12&gt;=1,MIN($D$12,G119),G119*$D$12),IF($E$12="",9E+99,$E$12)),0),ROUNDUP(MIN(IF($D$12&gt;=1,MIN($D$12,G119),G119*$D$12),IF($E$12="",9E+99,$E$12)),0))))</f>
        <v/>
      </c>
      <c r="L119" s="20">
        <f>IF(G119="","",IF(OR($D$13="",$H$13="X",G119&lt;N($C$13)),0,IF(B119="G마켓",ROUNDDOWN(MIN(IF($D$13&gt;=1,MIN($D$13,G119),G119*$D$13),IF($E$13="",9E+99,$E$13)),0),ROUNDUP(MIN(IF($D$13&gt;=1,MIN($D$13,G119),G119*$D$13),IF($E$13="",9E+99,$E$13)),0))))</f>
        <v/>
      </c>
      <c r="M119" s="20">
        <f>IF(G119="","",IF(OR($D$14="",$H$14="X",G119&lt;N($C$14)),0,IF(B119="G마켓",ROUNDDOWN(MIN(IF($D$14&gt;=1,MIN($D$14,G119),G119*$D$14),IF($E$14="",9E+99,$E$14)),0),ROUNDUP(MIN(IF($D$14&gt;=1,MIN($D$14,G119),G119*$D$14),IF($E$14="",9E+99,$E$14)),0))))</f>
        <v/>
      </c>
      <c r="N119" s="19">
        <f>IF(G119="","",G119-MAX(I119:M119))</f>
        <v/>
      </c>
      <c r="O119" s="20">
        <f>IF(N119="","",IF(OR($D$18="",$H$18="X",N119&lt;N($C$18)),0,IF(B119="G마켓",ROUNDDOWN(MIN(IF($D$18&gt;=1,MIN($D$18,N119),N119*$D$18),IF($E$18="",9E+99,$E$18)),0),ROUNDUP(MIN(IF($D$18&gt;=1,MIN($D$18,N119),N119*$D$18),IF($E$18="",9E+99,$E$18)),0))))</f>
        <v/>
      </c>
      <c r="P119" s="20">
        <f>IF(N119="","",IF(OR($D$19="",$H$19="X",N119&lt;N($C$19)),0,IF(B119="G마켓",ROUNDDOWN(MIN(IF($D$19&gt;=1,MIN($D$19,N119),N119*$D$19),IF($E$19="",9E+99,$E$19)),0),ROUNDUP(MIN(IF($D$19&gt;=1,MIN($D$19,N119),N119*$D$19),IF($E$19="",9E+99,$E$19)),0))))</f>
        <v/>
      </c>
      <c r="Q119" s="20">
        <f>IF(N119="","",IF(OR($D$20="",$H$20="X",N119&lt;N($C$20)),0,IF(B119="G마켓",ROUNDDOWN(MIN(IF($D$20&gt;=1,MIN($D$20,N119),N119*$D$20),IF($E$20="",9E+99,$E$20)),0),ROUNDUP(MIN(IF($D$20&gt;=1,MIN($D$20,N119),N119*$D$20),IF($E$20="",9E+99,$E$20)),0))))</f>
        <v/>
      </c>
      <c r="R119" s="20">
        <f>IF(N119="","",IF(OR($D$21="",$H$21="X",N119&lt;N($C$21)),0,IF(B119="G마켓",ROUNDDOWN(MIN(IF($D$21&gt;=1,MIN($D$21,N119),N119*$D$21),IF($E$21="",9E+99,$E$21)),0),ROUNDUP(MIN(IF($D$21&gt;=1,MIN($D$21,N119),N119*$D$21),IF($E$21="",9E+99,$E$21)),0))))</f>
        <v/>
      </c>
      <c r="S119" s="19">
        <f>IF(G119="","",N119-MAX(O119:R119))</f>
        <v/>
      </c>
      <c r="T119" s="20">
        <f>IF(S119="","",IF(OR($D$25="",S119&lt;N($C$25)),0,IF(B119="G마켓",ROUNDDOWN(MIN(IF($D$25&gt;=1,MIN($D$25,S119),S119*$D$25),IF($E$25="",9E+99,$E$25)),0),ROUNDUP(MIN(IF($D$25&gt;=1,MIN($D$25,S119),S119*$D$25),IF($E$25="",9E+99,$E$25)),0))))</f>
        <v/>
      </c>
      <c r="U119" s="20">
        <f>IF(S119="","",IF(OR($D$26="",S119&lt;N($C$26)),0,IF(B119="G마켓",ROUNDDOWN(MIN(IF($D$26&gt;=1,MIN($D$26,S119),S119*$D$26),IF($E$26="",9E+99,$E$26)),0),ROUNDUP(MIN(IF($D$26&gt;=1,MIN($D$26,S119),S119*$D$26),IF($E$26="",9E+99,$E$26)),0))))</f>
        <v/>
      </c>
      <c r="V119" s="20">
        <f>IF(S119="","",IF(OR($D$27="",S119&lt;N($C$27)),0,IF(B119="G마켓",ROUNDDOWN(MIN(IF($D$27&gt;=1,MIN($D$27,S119),S119*$D$27),IF($E$27="",9E+99,$E$27)),0),ROUNDUP(MIN(IF($D$27&gt;=1,MIN($D$27,S119),S119*$D$27),IF($E$27="",9E+99,$E$27)),0))))</f>
        <v/>
      </c>
      <c r="W119" s="19">
        <f>IF(G119="","",MAX(T119:V119))</f>
        <v/>
      </c>
      <c r="X119" s="21">
        <f>IF(G119="","",S119-W119)</f>
        <v/>
      </c>
      <c r="Y119" s="19">
        <f>IF(G119="","",IF(B119="G마켓",ROUNDDOWN(MAX(I119*N($G$10),J119*N($G$11),K119*N($G$12),L119*N($G$13),M119*N($G$14))+MAX(O119*N($G$18),P119*N($G$19),Q119*N($G$20),R119*N($G$21))+MAX(T119*N($G$25),U119*N($G$26),V119*N($G$27)),0),ROUNDUP(MAX(I119*N($G$10),J119*N($G$11),K119*N($G$12),L119*N($G$13),M119*N($G$14))+MAX(O119*N($G$18),P119*N($G$19),Q119*N($G$20),R119*N($G$21))+MAX(T119*N($G$25),U119*N($G$26),V119*N($G$27)),0)))</f>
        <v/>
      </c>
      <c r="Z119" s="21">
        <f>IF(G119="","",IF(B119="G마켓",ROUNDDOWN(G119-G119*$Q$6-Y119,0),ROUNDUP(G119-G119*$Q$6-Y119,0)))</f>
        <v/>
      </c>
    </row>
    <row r="120">
      <c r="B120" s="7" t="n"/>
      <c r="C120" s="7" t="n"/>
      <c r="D120" s="22" t="n"/>
      <c r="E120" s="23" t="n"/>
      <c r="F120" s="23" t="n"/>
      <c r="G120" s="19">
        <f>IF(E120="","",E120-N(F120))</f>
        <v/>
      </c>
      <c r="I120" s="20">
        <f>IF(G120="","",IF(OR($D$10="",$H$10="X",G120&lt;N($C$10)),0,IF(B120="G마켓",ROUNDDOWN(MIN(IF($D$10&gt;=1,MIN($D$10,G120),G120*$D$10),IF($E$10="",9E+99,$E$10)),0),ROUNDUP(MIN(IF($D$10&gt;=1,MIN($D$10,G120),G120*$D$10),IF($E$10="",9E+99,$E$10)),0))))</f>
        <v/>
      </c>
      <c r="J120" s="20">
        <f>IF(G120="","",IF(OR($D$11="",$H$11="X",G120&lt;N($C$11)),0,IF(B120="G마켓",ROUNDDOWN(MIN(IF($D$11&gt;=1,MIN($D$11,G120),G120*$D$11),IF($E$11="",9E+99,$E$11)),0),ROUNDUP(MIN(IF($D$11&gt;=1,MIN($D$11,G120),G120*$D$11),IF($E$11="",9E+99,$E$11)),0))))</f>
        <v/>
      </c>
      <c r="K120" s="20">
        <f>IF(G120="","",IF(OR($D$12="",$H$12="X",G120&lt;N($C$12)),0,IF(B120="G마켓",ROUNDDOWN(MIN(IF($D$12&gt;=1,MIN($D$12,G120),G120*$D$12),IF($E$12="",9E+99,$E$12)),0),ROUNDUP(MIN(IF($D$12&gt;=1,MIN($D$12,G120),G120*$D$12),IF($E$12="",9E+99,$E$12)),0))))</f>
        <v/>
      </c>
      <c r="L120" s="20">
        <f>IF(G120="","",IF(OR($D$13="",$H$13="X",G120&lt;N($C$13)),0,IF(B120="G마켓",ROUNDDOWN(MIN(IF($D$13&gt;=1,MIN($D$13,G120),G120*$D$13),IF($E$13="",9E+99,$E$13)),0),ROUNDUP(MIN(IF($D$13&gt;=1,MIN($D$13,G120),G120*$D$13),IF($E$13="",9E+99,$E$13)),0))))</f>
        <v/>
      </c>
      <c r="M120" s="20">
        <f>IF(G120="","",IF(OR($D$14="",$H$14="X",G120&lt;N($C$14)),0,IF(B120="G마켓",ROUNDDOWN(MIN(IF($D$14&gt;=1,MIN($D$14,G120),G120*$D$14),IF($E$14="",9E+99,$E$14)),0),ROUNDUP(MIN(IF($D$14&gt;=1,MIN($D$14,G120),G120*$D$14),IF($E$14="",9E+99,$E$14)),0))))</f>
        <v/>
      </c>
      <c r="N120" s="19">
        <f>IF(G120="","",G120-MAX(I120:M120))</f>
        <v/>
      </c>
      <c r="O120" s="20">
        <f>IF(N120="","",IF(OR($D$18="",$H$18="X",N120&lt;N($C$18)),0,IF(B120="G마켓",ROUNDDOWN(MIN(IF($D$18&gt;=1,MIN($D$18,N120),N120*$D$18),IF($E$18="",9E+99,$E$18)),0),ROUNDUP(MIN(IF($D$18&gt;=1,MIN($D$18,N120),N120*$D$18),IF($E$18="",9E+99,$E$18)),0))))</f>
        <v/>
      </c>
      <c r="P120" s="20">
        <f>IF(N120="","",IF(OR($D$19="",$H$19="X",N120&lt;N($C$19)),0,IF(B120="G마켓",ROUNDDOWN(MIN(IF($D$19&gt;=1,MIN($D$19,N120),N120*$D$19),IF($E$19="",9E+99,$E$19)),0),ROUNDUP(MIN(IF($D$19&gt;=1,MIN($D$19,N120),N120*$D$19),IF($E$19="",9E+99,$E$19)),0))))</f>
        <v/>
      </c>
      <c r="Q120" s="20">
        <f>IF(N120="","",IF(OR($D$20="",$H$20="X",N120&lt;N($C$20)),0,IF(B120="G마켓",ROUNDDOWN(MIN(IF($D$20&gt;=1,MIN($D$20,N120),N120*$D$20),IF($E$20="",9E+99,$E$20)),0),ROUNDUP(MIN(IF($D$20&gt;=1,MIN($D$20,N120),N120*$D$20),IF($E$20="",9E+99,$E$20)),0))))</f>
        <v/>
      </c>
      <c r="R120" s="20">
        <f>IF(N120="","",IF(OR($D$21="",$H$21="X",N120&lt;N($C$21)),0,IF(B120="G마켓",ROUNDDOWN(MIN(IF($D$21&gt;=1,MIN($D$21,N120),N120*$D$21),IF($E$21="",9E+99,$E$21)),0),ROUNDUP(MIN(IF($D$21&gt;=1,MIN($D$21,N120),N120*$D$21),IF($E$21="",9E+99,$E$21)),0))))</f>
        <v/>
      </c>
      <c r="S120" s="19">
        <f>IF(G120="","",N120-MAX(O120:R120))</f>
        <v/>
      </c>
      <c r="T120" s="20">
        <f>IF(S120="","",IF(OR($D$25="",S120&lt;N($C$25)),0,IF(B120="G마켓",ROUNDDOWN(MIN(IF($D$25&gt;=1,MIN($D$25,S120),S120*$D$25),IF($E$25="",9E+99,$E$25)),0),ROUNDUP(MIN(IF($D$25&gt;=1,MIN($D$25,S120),S120*$D$25),IF($E$25="",9E+99,$E$25)),0))))</f>
        <v/>
      </c>
      <c r="U120" s="20">
        <f>IF(S120="","",IF(OR($D$26="",S120&lt;N($C$26)),0,IF(B120="G마켓",ROUNDDOWN(MIN(IF($D$26&gt;=1,MIN($D$26,S120),S120*$D$26),IF($E$26="",9E+99,$E$26)),0),ROUNDUP(MIN(IF($D$26&gt;=1,MIN($D$26,S120),S120*$D$26),IF($E$26="",9E+99,$E$26)),0))))</f>
        <v/>
      </c>
      <c r="V120" s="20">
        <f>IF(S120="","",IF(OR($D$27="",S120&lt;N($C$27)),0,IF(B120="G마켓",ROUNDDOWN(MIN(IF($D$27&gt;=1,MIN($D$27,S120),S120*$D$27),IF($E$27="",9E+99,$E$27)),0),ROUNDUP(MIN(IF($D$27&gt;=1,MIN($D$27,S120),S120*$D$27),IF($E$27="",9E+99,$E$27)),0))))</f>
        <v/>
      </c>
      <c r="W120" s="19">
        <f>IF(G120="","",MAX(T120:V120))</f>
        <v/>
      </c>
      <c r="X120" s="21">
        <f>IF(G120="","",S120-W120)</f>
        <v/>
      </c>
      <c r="Y120" s="19">
        <f>IF(G120="","",IF(B120="G마켓",ROUNDDOWN(MAX(I120*N($G$10),J120*N($G$11),K120*N($G$12),L120*N($G$13),M120*N($G$14))+MAX(O120*N($G$18),P120*N($G$19),Q120*N($G$20),R120*N($G$21))+MAX(T120*N($G$25),U120*N($G$26),V120*N($G$27)),0),ROUNDUP(MAX(I120*N($G$10),J120*N($G$11),K120*N($G$12),L120*N($G$13),M120*N($G$14))+MAX(O120*N($G$18),P120*N($G$19),Q120*N($G$20),R120*N($G$21))+MAX(T120*N($G$25),U120*N($G$26),V120*N($G$27)),0)))</f>
        <v/>
      </c>
      <c r="Z120" s="21">
        <f>IF(G120="","",IF(B120="G마켓",ROUNDDOWN(G120-G120*$Q$6-Y120,0),ROUNDUP(G120-G120*$Q$6-Y120,0)))</f>
        <v/>
      </c>
    </row>
    <row r="121">
      <c r="B121" s="7" t="n"/>
      <c r="C121" s="7" t="n"/>
      <c r="D121" s="22" t="n"/>
      <c r="E121" s="23" t="n"/>
      <c r="F121" s="23" t="n"/>
      <c r="G121" s="19">
        <f>IF(E121="","",E121-N(F121))</f>
        <v/>
      </c>
      <c r="I121" s="20">
        <f>IF(G121="","",IF(OR($D$10="",$H$10="X",G121&lt;N($C$10)),0,IF(B121="G마켓",ROUNDDOWN(MIN(IF($D$10&gt;=1,MIN($D$10,G121),G121*$D$10),IF($E$10="",9E+99,$E$10)),0),ROUNDUP(MIN(IF($D$10&gt;=1,MIN($D$10,G121),G121*$D$10),IF($E$10="",9E+99,$E$10)),0))))</f>
        <v/>
      </c>
      <c r="J121" s="20">
        <f>IF(G121="","",IF(OR($D$11="",$H$11="X",G121&lt;N($C$11)),0,IF(B121="G마켓",ROUNDDOWN(MIN(IF($D$11&gt;=1,MIN($D$11,G121),G121*$D$11),IF($E$11="",9E+99,$E$11)),0),ROUNDUP(MIN(IF($D$11&gt;=1,MIN($D$11,G121),G121*$D$11),IF($E$11="",9E+99,$E$11)),0))))</f>
        <v/>
      </c>
      <c r="K121" s="20">
        <f>IF(G121="","",IF(OR($D$12="",$H$12="X",G121&lt;N($C$12)),0,IF(B121="G마켓",ROUNDDOWN(MIN(IF($D$12&gt;=1,MIN($D$12,G121),G121*$D$12),IF($E$12="",9E+99,$E$12)),0),ROUNDUP(MIN(IF($D$12&gt;=1,MIN($D$12,G121),G121*$D$12),IF($E$12="",9E+99,$E$12)),0))))</f>
        <v/>
      </c>
      <c r="L121" s="20">
        <f>IF(G121="","",IF(OR($D$13="",$H$13="X",G121&lt;N($C$13)),0,IF(B121="G마켓",ROUNDDOWN(MIN(IF($D$13&gt;=1,MIN($D$13,G121),G121*$D$13),IF($E$13="",9E+99,$E$13)),0),ROUNDUP(MIN(IF($D$13&gt;=1,MIN($D$13,G121),G121*$D$13),IF($E$13="",9E+99,$E$13)),0))))</f>
        <v/>
      </c>
      <c r="M121" s="20">
        <f>IF(G121="","",IF(OR($D$14="",$H$14="X",G121&lt;N($C$14)),0,IF(B121="G마켓",ROUNDDOWN(MIN(IF($D$14&gt;=1,MIN($D$14,G121),G121*$D$14),IF($E$14="",9E+99,$E$14)),0),ROUNDUP(MIN(IF($D$14&gt;=1,MIN($D$14,G121),G121*$D$14),IF($E$14="",9E+99,$E$14)),0))))</f>
        <v/>
      </c>
      <c r="N121" s="19">
        <f>IF(G121="","",G121-MAX(I121:M121))</f>
        <v/>
      </c>
      <c r="O121" s="20">
        <f>IF(N121="","",IF(OR($D$18="",$H$18="X",N121&lt;N($C$18)),0,IF(B121="G마켓",ROUNDDOWN(MIN(IF($D$18&gt;=1,MIN($D$18,N121),N121*$D$18),IF($E$18="",9E+99,$E$18)),0),ROUNDUP(MIN(IF($D$18&gt;=1,MIN($D$18,N121),N121*$D$18),IF($E$18="",9E+99,$E$18)),0))))</f>
        <v/>
      </c>
      <c r="P121" s="20">
        <f>IF(N121="","",IF(OR($D$19="",$H$19="X",N121&lt;N($C$19)),0,IF(B121="G마켓",ROUNDDOWN(MIN(IF($D$19&gt;=1,MIN($D$19,N121),N121*$D$19),IF($E$19="",9E+99,$E$19)),0),ROUNDUP(MIN(IF($D$19&gt;=1,MIN($D$19,N121),N121*$D$19),IF($E$19="",9E+99,$E$19)),0))))</f>
        <v/>
      </c>
      <c r="Q121" s="20">
        <f>IF(N121="","",IF(OR($D$20="",$H$20="X",N121&lt;N($C$20)),0,IF(B121="G마켓",ROUNDDOWN(MIN(IF($D$20&gt;=1,MIN($D$20,N121),N121*$D$20),IF($E$20="",9E+99,$E$20)),0),ROUNDUP(MIN(IF($D$20&gt;=1,MIN($D$20,N121),N121*$D$20),IF($E$20="",9E+99,$E$20)),0))))</f>
        <v/>
      </c>
      <c r="R121" s="20">
        <f>IF(N121="","",IF(OR($D$21="",$H$21="X",N121&lt;N($C$21)),0,IF(B121="G마켓",ROUNDDOWN(MIN(IF($D$21&gt;=1,MIN($D$21,N121),N121*$D$21),IF($E$21="",9E+99,$E$21)),0),ROUNDUP(MIN(IF($D$21&gt;=1,MIN($D$21,N121),N121*$D$21),IF($E$21="",9E+99,$E$21)),0))))</f>
        <v/>
      </c>
      <c r="S121" s="19">
        <f>IF(G121="","",N121-MAX(O121:R121))</f>
        <v/>
      </c>
      <c r="T121" s="20">
        <f>IF(S121="","",IF(OR($D$25="",S121&lt;N($C$25)),0,IF(B121="G마켓",ROUNDDOWN(MIN(IF($D$25&gt;=1,MIN($D$25,S121),S121*$D$25),IF($E$25="",9E+99,$E$25)),0),ROUNDUP(MIN(IF($D$25&gt;=1,MIN($D$25,S121),S121*$D$25),IF($E$25="",9E+99,$E$25)),0))))</f>
        <v/>
      </c>
      <c r="U121" s="20">
        <f>IF(S121="","",IF(OR($D$26="",S121&lt;N($C$26)),0,IF(B121="G마켓",ROUNDDOWN(MIN(IF($D$26&gt;=1,MIN($D$26,S121),S121*$D$26),IF($E$26="",9E+99,$E$26)),0),ROUNDUP(MIN(IF($D$26&gt;=1,MIN($D$26,S121),S121*$D$26),IF($E$26="",9E+99,$E$26)),0))))</f>
        <v/>
      </c>
      <c r="V121" s="20">
        <f>IF(S121="","",IF(OR($D$27="",S121&lt;N($C$27)),0,IF(B121="G마켓",ROUNDDOWN(MIN(IF($D$27&gt;=1,MIN($D$27,S121),S121*$D$27),IF($E$27="",9E+99,$E$27)),0),ROUNDUP(MIN(IF($D$27&gt;=1,MIN($D$27,S121),S121*$D$27),IF($E$27="",9E+99,$E$27)),0))))</f>
        <v/>
      </c>
      <c r="W121" s="19">
        <f>IF(G121="","",MAX(T121:V121))</f>
        <v/>
      </c>
      <c r="X121" s="21">
        <f>IF(G121="","",S121-W121)</f>
        <v/>
      </c>
      <c r="Y121" s="19">
        <f>IF(G121="","",IF(B121="G마켓",ROUNDDOWN(MAX(I121*N($G$10),J121*N($G$11),K121*N($G$12),L121*N($G$13),M121*N($G$14))+MAX(O121*N($G$18),P121*N($G$19),Q121*N($G$20),R121*N($G$21))+MAX(T121*N($G$25),U121*N($G$26),V121*N($G$27)),0),ROUNDUP(MAX(I121*N($G$10),J121*N($G$11),K121*N($G$12),L121*N($G$13),M121*N($G$14))+MAX(O121*N($G$18),P121*N($G$19),Q121*N($G$20),R121*N($G$21))+MAX(T121*N($G$25),U121*N($G$26),V121*N($G$27)),0)))</f>
        <v/>
      </c>
      <c r="Z121" s="21">
        <f>IF(G121="","",IF(B121="G마켓",ROUNDDOWN(G121-G121*$Q$6-Y121,0),ROUNDUP(G121-G121*$Q$6-Y121,0)))</f>
        <v/>
      </c>
    </row>
    <row r="122">
      <c r="B122" s="7" t="n"/>
      <c r="C122" s="7" t="n"/>
      <c r="D122" s="22" t="n"/>
      <c r="E122" s="23" t="n"/>
      <c r="F122" s="23" t="n"/>
      <c r="G122" s="19">
        <f>IF(E122="","",E122-N(F122))</f>
        <v/>
      </c>
      <c r="I122" s="20">
        <f>IF(G122="","",IF(OR($D$10="",$H$10="X",G122&lt;N($C$10)),0,IF(B122="G마켓",ROUNDDOWN(MIN(IF($D$10&gt;=1,MIN($D$10,G122),G122*$D$10),IF($E$10="",9E+99,$E$10)),0),ROUNDUP(MIN(IF($D$10&gt;=1,MIN($D$10,G122),G122*$D$10),IF($E$10="",9E+99,$E$10)),0))))</f>
        <v/>
      </c>
      <c r="J122" s="20">
        <f>IF(G122="","",IF(OR($D$11="",$H$11="X",G122&lt;N($C$11)),0,IF(B122="G마켓",ROUNDDOWN(MIN(IF($D$11&gt;=1,MIN($D$11,G122),G122*$D$11),IF($E$11="",9E+99,$E$11)),0),ROUNDUP(MIN(IF($D$11&gt;=1,MIN($D$11,G122),G122*$D$11),IF($E$11="",9E+99,$E$11)),0))))</f>
        <v/>
      </c>
      <c r="K122" s="20">
        <f>IF(G122="","",IF(OR($D$12="",$H$12="X",G122&lt;N($C$12)),0,IF(B122="G마켓",ROUNDDOWN(MIN(IF($D$12&gt;=1,MIN($D$12,G122),G122*$D$12),IF($E$12="",9E+99,$E$12)),0),ROUNDUP(MIN(IF($D$12&gt;=1,MIN($D$12,G122),G122*$D$12),IF($E$12="",9E+99,$E$12)),0))))</f>
        <v/>
      </c>
      <c r="L122" s="20">
        <f>IF(G122="","",IF(OR($D$13="",$H$13="X",G122&lt;N($C$13)),0,IF(B122="G마켓",ROUNDDOWN(MIN(IF($D$13&gt;=1,MIN($D$13,G122),G122*$D$13),IF($E$13="",9E+99,$E$13)),0),ROUNDUP(MIN(IF($D$13&gt;=1,MIN($D$13,G122),G122*$D$13),IF($E$13="",9E+99,$E$13)),0))))</f>
        <v/>
      </c>
      <c r="M122" s="20">
        <f>IF(G122="","",IF(OR($D$14="",$H$14="X",G122&lt;N($C$14)),0,IF(B122="G마켓",ROUNDDOWN(MIN(IF($D$14&gt;=1,MIN($D$14,G122),G122*$D$14),IF($E$14="",9E+99,$E$14)),0),ROUNDUP(MIN(IF($D$14&gt;=1,MIN($D$14,G122),G122*$D$14),IF($E$14="",9E+99,$E$14)),0))))</f>
        <v/>
      </c>
      <c r="N122" s="19">
        <f>IF(G122="","",G122-MAX(I122:M122))</f>
        <v/>
      </c>
      <c r="O122" s="20">
        <f>IF(N122="","",IF(OR($D$18="",$H$18="X",N122&lt;N($C$18)),0,IF(B122="G마켓",ROUNDDOWN(MIN(IF($D$18&gt;=1,MIN($D$18,N122),N122*$D$18),IF($E$18="",9E+99,$E$18)),0),ROUNDUP(MIN(IF($D$18&gt;=1,MIN($D$18,N122),N122*$D$18),IF($E$18="",9E+99,$E$18)),0))))</f>
        <v/>
      </c>
      <c r="P122" s="20">
        <f>IF(N122="","",IF(OR($D$19="",$H$19="X",N122&lt;N($C$19)),0,IF(B122="G마켓",ROUNDDOWN(MIN(IF($D$19&gt;=1,MIN($D$19,N122),N122*$D$19),IF($E$19="",9E+99,$E$19)),0),ROUNDUP(MIN(IF($D$19&gt;=1,MIN($D$19,N122),N122*$D$19),IF($E$19="",9E+99,$E$19)),0))))</f>
        <v/>
      </c>
      <c r="Q122" s="20">
        <f>IF(N122="","",IF(OR($D$20="",$H$20="X",N122&lt;N($C$20)),0,IF(B122="G마켓",ROUNDDOWN(MIN(IF($D$20&gt;=1,MIN($D$20,N122),N122*$D$20),IF($E$20="",9E+99,$E$20)),0),ROUNDUP(MIN(IF($D$20&gt;=1,MIN($D$20,N122),N122*$D$20),IF($E$20="",9E+99,$E$20)),0))))</f>
        <v/>
      </c>
      <c r="R122" s="20">
        <f>IF(N122="","",IF(OR($D$21="",$H$21="X",N122&lt;N($C$21)),0,IF(B122="G마켓",ROUNDDOWN(MIN(IF($D$21&gt;=1,MIN($D$21,N122),N122*$D$21),IF($E$21="",9E+99,$E$21)),0),ROUNDUP(MIN(IF($D$21&gt;=1,MIN($D$21,N122),N122*$D$21),IF($E$21="",9E+99,$E$21)),0))))</f>
        <v/>
      </c>
      <c r="S122" s="19">
        <f>IF(G122="","",N122-MAX(O122:R122))</f>
        <v/>
      </c>
      <c r="T122" s="20">
        <f>IF(S122="","",IF(OR($D$25="",S122&lt;N($C$25)),0,IF(B122="G마켓",ROUNDDOWN(MIN(IF($D$25&gt;=1,MIN($D$25,S122),S122*$D$25),IF($E$25="",9E+99,$E$25)),0),ROUNDUP(MIN(IF($D$25&gt;=1,MIN($D$25,S122),S122*$D$25),IF($E$25="",9E+99,$E$25)),0))))</f>
        <v/>
      </c>
      <c r="U122" s="20">
        <f>IF(S122="","",IF(OR($D$26="",S122&lt;N($C$26)),0,IF(B122="G마켓",ROUNDDOWN(MIN(IF($D$26&gt;=1,MIN($D$26,S122),S122*$D$26),IF($E$26="",9E+99,$E$26)),0),ROUNDUP(MIN(IF($D$26&gt;=1,MIN($D$26,S122),S122*$D$26),IF($E$26="",9E+99,$E$26)),0))))</f>
        <v/>
      </c>
      <c r="V122" s="20">
        <f>IF(S122="","",IF(OR($D$27="",S122&lt;N($C$27)),0,IF(B122="G마켓",ROUNDDOWN(MIN(IF($D$27&gt;=1,MIN($D$27,S122),S122*$D$27),IF($E$27="",9E+99,$E$27)),0),ROUNDUP(MIN(IF($D$27&gt;=1,MIN($D$27,S122),S122*$D$27),IF($E$27="",9E+99,$E$27)),0))))</f>
        <v/>
      </c>
      <c r="W122" s="19">
        <f>IF(G122="","",MAX(T122:V122))</f>
        <v/>
      </c>
      <c r="X122" s="21">
        <f>IF(G122="","",S122-W122)</f>
        <v/>
      </c>
      <c r="Y122" s="19">
        <f>IF(G122="","",IF(B122="G마켓",ROUNDDOWN(MAX(I122*N($G$10),J122*N($G$11),K122*N($G$12),L122*N($G$13),M122*N($G$14))+MAX(O122*N($G$18),P122*N($G$19),Q122*N($G$20),R122*N($G$21))+MAX(T122*N($G$25),U122*N($G$26),V122*N($G$27)),0),ROUNDUP(MAX(I122*N($G$10),J122*N($G$11),K122*N($G$12),L122*N($G$13),M122*N($G$14))+MAX(O122*N($G$18),P122*N($G$19),Q122*N($G$20),R122*N($G$21))+MAX(T122*N($G$25),U122*N($G$26),V122*N($G$27)),0)))</f>
        <v/>
      </c>
      <c r="Z122" s="21">
        <f>IF(G122="","",IF(B122="G마켓",ROUNDDOWN(G122-G122*$Q$6-Y122,0),ROUNDUP(G122-G122*$Q$6-Y122,0)))</f>
        <v/>
      </c>
    </row>
    <row r="123">
      <c r="B123" s="7" t="n"/>
      <c r="C123" s="7" t="n"/>
      <c r="D123" s="22" t="n"/>
      <c r="E123" s="23" t="n"/>
      <c r="F123" s="23" t="n"/>
      <c r="G123" s="19">
        <f>IF(E123="","",E123-N(F123))</f>
        <v/>
      </c>
      <c r="I123" s="20">
        <f>IF(G123="","",IF(OR($D$10="",$H$10="X",G123&lt;N($C$10)),0,IF(B123="G마켓",ROUNDDOWN(MIN(IF($D$10&gt;=1,MIN($D$10,G123),G123*$D$10),IF($E$10="",9E+99,$E$10)),0),ROUNDUP(MIN(IF($D$10&gt;=1,MIN($D$10,G123),G123*$D$10),IF($E$10="",9E+99,$E$10)),0))))</f>
        <v/>
      </c>
      <c r="J123" s="20">
        <f>IF(G123="","",IF(OR($D$11="",$H$11="X",G123&lt;N($C$11)),0,IF(B123="G마켓",ROUNDDOWN(MIN(IF($D$11&gt;=1,MIN($D$11,G123),G123*$D$11),IF($E$11="",9E+99,$E$11)),0),ROUNDUP(MIN(IF($D$11&gt;=1,MIN($D$11,G123),G123*$D$11),IF($E$11="",9E+99,$E$11)),0))))</f>
        <v/>
      </c>
      <c r="K123" s="20">
        <f>IF(G123="","",IF(OR($D$12="",$H$12="X",G123&lt;N($C$12)),0,IF(B123="G마켓",ROUNDDOWN(MIN(IF($D$12&gt;=1,MIN($D$12,G123),G123*$D$12),IF($E$12="",9E+99,$E$12)),0),ROUNDUP(MIN(IF($D$12&gt;=1,MIN($D$12,G123),G123*$D$12),IF($E$12="",9E+99,$E$12)),0))))</f>
        <v/>
      </c>
      <c r="L123" s="20">
        <f>IF(G123="","",IF(OR($D$13="",$H$13="X",G123&lt;N($C$13)),0,IF(B123="G마켓",ROUNDDOWN(MIN(IF($D$13&gt;=1,MIN($D$13,G123),G123*$D$13),IF($E$13="",9E+99,$E$13)),0),ROUNDUP(MIN(IF($D$13&gt;=1,MIN($D$13,G123),G123*$D$13),IF($E$13="",9E+99,$E$13)),0))))</f>
        <v/>
      </c>
      <c r="M123" s="20">
        <f>IF(G123="","",IF(OR($D$14="",$H$14="X",G123&lt;N($C$14)),0,IF(B123="G마켓",ROUNDDOWN(MIN(IF($D$14&gt;=1,MIN($D$14,G123),G123*$D$14),IF($E$14="",9E+99,$E$14)),0),ROUNDUP(MIN(IF($D$14&gt;=1,MIN($D$14,G123),G123*$D$14),IF($E$14="",9E+99,$E$14)),0))))</f>
        <v/>
      </c>
      <c r="N123" s="19">
        <f>IF(G123="","",G123-MAX(I123:M123))</f>
        <v/>
      </c>
      <c r="O123" s="20">
        <f>IF(N123="","",IF(OR($D$18="",$H$18="X",N123&lt;N($C$18)),0,IF(B123="G마켓",ROUNDDOWN(MIN(IF($D$18&gt;=1,MIN($D$18,N123),N123*$D$18),IF($E$18="",9E+99,$E$18)),0),ROUNDUP(MIN(IF($D$18&gt;=1,MIN($D$18,N123),N123*$D$18),IF($E$18="",9E+99,$E$18)),0))))</f>
        <v/>
      </c>
      <c r="P123" s="20">
        <f>IF(N123="","",IF(OR($D$19="",$H$19="X",N123&lt;N($C$19)),0,IF(B123="G마켓",ROUNDDOWN(MIN(IF($D$19&gt;=1,MIN($D$19,N123),N123*$D$19),IF($E$19="",9E+99,$E$19)),0),ROUNDUP(MIN(IF($D$19&gt;=1,MIN($D$19,N123),N123*$D$19),IF($E$19="",9E+99,$E$19)),0))))</f>
        <v/>
      </c>
      <c r="Q123" s="20">
        <f>IF(N123="","",IF(OR($D$20="",$H$20="X",N123&lt;N($C$20)),0,IF(B123="G마켓",ROUNDDOWN(MIN(IF($D$20&gt;=1,MIN($D$20,N123),N123*$D$20),IF($E$20="",9E+99,$E$20)),0),ROUNDUP(MIN(IF($D$20&gt;=1,MIN($D$20,N123),N123*$D$20),IF($E$20="",9E+99,$E$20)),0))))</f>
        <v/>
      </c>
      <c r="R123" s="20">
        <f>IF(N123="","",IF(OR($D$21="",$H$21="X",N123&lt;N($C$21)),0,IF(B123="G마켓",ROUNDDOWN(MIN(IF($D$21&gt;=1,MIN($D$21,N123),N123*$D$21),IF($E$21="",9E+99,$E$21)),0),ROUNDUP(MIN(IF($D$21&gt;=1,MIN($D$21,N123),N123*$D$21),IF($E$21="",9E+99,$E$21)),0))))</f>
        <v/>
      </c>
      <c r="S123" s="19">
        <f>IF(G123="","",N123-MAX(O123:R123))</f>
        <v/>
      </c>
      <c r="T123" s="20">
        <f>IF(S123="","",IF(OR($D$25="",S123&lt;N($C$25)),0,IF(B123="G마켓",ROUNDDOWN(MIN(IF($D$25&gt;=1,MIN($D$25,S123),S123*$D$25),IF($E$25="",9E+99,$E$25)),0),ROUNDUP(MIN(IF($D$25&gt;=1,MIN($D$25,S123),S123*$D$25),IF($E$25="",9E+99,$E$25)),0))))</f>
        <v/>
      </c>
      <c r="U123" s="20">
        <f>IF(S123="","",IF(OR($D$26="",S123&lt;N($C$26)),0,IF(B123="G마켓",ROUNDDOWN(MIN(IF($D$26&gt;=1,MIN($D$26,S123),S123*$D$26),IF($E$26="",9E+99,$E$26)),0),ROUNDUP(MIN(IF($D$26&gt;=1,MIN($D$26,S123),S123*$D$26),IF($E$26="",9E+99,$E$26)),0))))</f>
        <v/>
      </c>
      <c r="V123" s="20">
        <f>IF(S123="","",IF(OR($D$27="",S123&lt;N($C$27)),0,IF(B123="G마켓",ROUNDDOWN(MIN(IF($D$27&gt;=1,MIN($D$27,S123),S123*$D$27),IF($E$27="",9E+99,$E$27)),0),ROUNDUP(MIN(IF($D$27&gt;=1,MIN($D$27,S123),S123*$D$27),IF($E$27="",9E+99,$E$27)),0))))</f>
        <v/>
      </c>
      <c r="W123" s="19">
        <f>IF(G123="","",MAX(T123:V123))</f>
        <v/>
      </c>
      <c r="X123" s="21">
        <f>IF(G123="","",S123-W123)</f>
        <v/>
      </c>
      <c r="Y123" s="19">
        <f>IF(G123="","",IF(B123="G마켓",ROUNDDOWN(MAX(I123*N($G$10),J123*N($G$11),K123*N($G$12),L123*N($G$13),M123*N($G$14))+MAX(O123*N($G$18),P123*N($G$19),Q123*N($G$20),R123*N($G$21))+MAX(T123*N($G$25),U123*N($G$26),V123*N($G$27)),0),ROUNDUP(MAX(I123*N($G$10),J123*N($G$11),K123*N($G$12),L123*N($G$13),M123*N($G$14))+MAX(O123*N($G$18),P123*N($G$19),Q123*N($G$20),R123*N($G$21))+MAX(T123*N($G$25),U123*N($G$26),V123*N($G$27)),0)))</f>
        <v/>
      </c>
      <c r="Z123" s="21">
        <f>IF(G123="","",IF(B123="G마켓",ROUNDDOWN(G123-G123*$Q$6-Y123,0),ROUNDUP(G123-G123*$Q$6-Y123,0)))</f>
        <v/>
      </c>
    </row>
    <row r="124">
      <c r="B124" s="7" t="n"/>
      <c r="C124" s="7" t="n"/>
      <c r="D124" s="22" t="n"/>
      <c r="E124" s="23" t="n"/>
      <c r="F124" s="23" t="n"/>
      <c r="G124" s="19">
        <f>IF(E124="","",E124-N(F124))</f>
        <v/>
      </c>
      <c r="I124" s="20">
        <f>IF(G124="","",IF(OR($D$10="",$H$10="X",G124&lt;N($C$10)),0,IF(B124="G마켓",ROUNDDOWN(MIN(IF($D$10&gt;=1,MIN($D$10,G124),G124*$D$10),IF($E$10="",9E+99,$E$10)),0),ROUNDUP(MIN(IF($D$10&gt;=1,MIN($D$10,G124),G124*$D$10),IF($E$10="",9E+99,$E$10)),0))))</f>
        <v/>
      </c>
      <c r="J124" s="20">
        <f>IF(G124="","",IF(OR($D$11="",$H$11="X",G124&lt;N($C$11)),0,IF(B124="G마켓",ROUNDDOWN(MIN(IF($D$11&gt;=1,MIN($D$11,G124),G124*$D$11),IF($E$11="",9E+99,$E$11)),0),ROUNDUP(MIN(IF($D$11&gt;=1,MIN($D$11,G124),G124*$D$11),IF($E$11="",9E+99,$E$11)),0))))</f>
        <v/>
      </c>
      <c r="K124" s="20">
        <f>IF(G124="","",IF(OR($D$12="",$H$12="X",G124&lt;N($C$12)),0,IF(B124="G마켓",ROUNDDOWN(MIN(IF($D$12&gt;=1,MIN($D$12,G124),G124*$D$12),IF($E$12="",9E+99,$E$12)),0),ROUNDUP(MIN(IF($D$12&gt;=1,MIN($D$12,G124),G124*$D$12),IF($E$12="",9E+99,$E$12)),0))))</f>
        <v/>
      </c>
      <c r="L124" s="20">
        <f>IF(G124="","",IF(OR($D$13="",$H$13="X",G124&lt;N($C$13)),0,IF(B124="G마켓",ROUNDDOWN(MIN(IF($D$13&gt;=1,MIN($D$13,G124),G124*$D$13),IF($E$13="",9E+99,$E$13)),0),ROUNDUP(MIN(IF($D$13&gt;=1,MIN($D$13,G124),G124*$D$13),IF($E$13="",9E+99,$E$13)),0))))</f>
        <v/>
      </c>
      <c r="M124" s="20">
        <f>IF(G124="","",IF(OR($D$14="",$H$14="X",G124&lt;N($C$14)),0,IF(B124="G마켓",ROUNDDOWN(MIN(IF($D$14&gt;=1,MIN($D$14,G124),G124*$D$14),IF($E$14="",9E+99,$E$14)),0),ROUNDUP(MIN(IF($D$14&gt;=1,MIN($D$14,G124),G124*$D$14),IF($E$14="",9E+99,$E$14)),0))))</f>
        <v/>
      </c>
      <c r="N124" s="19">
        <f>IF(G124="","",G124-MAX(I124:M124))</f>
        <v/>
      </c>
      <c r="O124" s="20">
        <f>IF(N124="","",IF(OR($D$18="",$H$18="X",N124&lt;N($C$18)),0,IF(B124="G마켓",ROUNDDOWN(MIN(IF($D$18&gt;=1,MIN($D$18,N124),N124*$D$18),IF($E$18="",9E+99,$E$18)),0),ROUNDUP(MIN(IF($D$18&gt;=1,MIN($D$18,N124),N124*$D$18),IF($E$18="",9E+99,$E$18)),0))))</f>
        <v/>
      </c>
      <c r="P124" s="20">
        <f>IF(N124="","",IF(OR($D$19="",$H$19="X",N124&lt;N($C$19)),0,IF(B124="G마켓",ROUNDDOWN(MIN(IF($D$19&gt;=1,MIN($D$19,N124),N124*$D$19),IF($E$19="",9E+99,$E$19)),0),ROUNDUP(MIN(IF($D$19&gt;=1,MIN($D$19,N124),N124*$D$19),IF($E$19="",9E+99,$E$19)),0))))</f>
        <v/>
      </c>
      <c r="Q124" s="20">
        <f>IF(N124="","",IF(OR($D$20="",$H$20="X",N124&lt;N($C$20)),0,IF(B124="G마켓",ROUNDDOWN(MIN(IF($D$20&gt;=1,MIN($D$20,N124),N124*$D$20),IF($E$20="",9E+99,$E$20)),0),ROUNDUP(MIN(IF($D$20&gt;=1,MIN($D$20,N124),N124*$D$20),IF($E$20="",9E+99,$E$20)),0))))</f>
        <v/>
      </c>
      <c r="R124" s="20">
        <f>IF(N124="","",IF(OR($D$21="",$H$21="X",N124&lt;N($C$21)),0,IF(B124="G마켓",ROUNDDOWN(MIN(IF($D$21&gt;=1,MIN($D$21,N124),N124*$D$21),IF($E$21="",9E+99,$E$21)),0),ROUNDUP(MIN(IF($D$21&gt;=1,MIN($D$21,N124),N124*$D$21),IF($E$21="",9E+99,$E$21)),0))))</f>
        <v/>
      </c>
      <c r="S124" s="19">
        <f>IF(G124="","",N124-MAX(O124:R124))</f>
        <v/>
      </c>
      <c r="T124" s="20">
        <f>IF(S124="","",IF(OR($D$25="",S124&lt;N($C$25)),0,IF(B124="G마켓",ROUNDDOWN(MIN(IF($D$25&gt;=1,MIN($D$25,S124),S124*$D$25),IF($E$25="",9E+99,$E$25)),0),ROUNDUP(MIN(IF($D$25&gt;=1,MIN($D$25,S124),S124*$D$25),IF($E$25="",9E+99,$E$25)),0))))</f>
        <v/>
      </c>
      <c r="U124" s="20">
        <f>IF(S124="","",IF(OR($D$26="",S124&lt;N($C$26)),0,IF(B124="G마켓",ROUNDDOWN(MIN(IF($D$26&gt;=1,MIN($D$26,S124),S124*$D$26),IF($E$26="",9E+99,$E$26)),0),ROUNDUP(MIN(IF($D$26&gt;=1,MIN($D$26,S124),S124*$D$26),IF($E$26="",9E+99,$E$26)),0))))</f>
        <v/>
      </c>
      <c r="V124" s="20">
        <f>IF(S124="","",IF(OR($D$27="",S124&lt;N($C$27)),0,IF(B124="G마켓",ROUNDDOWN(MIN(IF($D$27&gt;=1,MIN($D$27,S124),S124*$D$27),IF($E$27="",9E+99,$E$27)),0),ROUNDUP(MIN(IF($D$27&gt;=1,MIN($D$27,S124),S124*$D$27),IF($E$27="",9E+99,$E$27)),0))))</f>
        <v/>
      </c>
      <c r="W124" s="19">
        <f>IF(G124="","",MAX(T124:V124))</f>
        <v/>
      </c>
      <c r="X124" s="21">
        <f>IF(G124="","",S124-W124)</f>
        <v/>
      </c>
      <c r="Y124" s="19">
        <f>IF(G124="","",IF(B124="G마켓",ROUNDDOWN(MAX(I124*N($G$10),J124*N($G$11),K124*N($G$12),L124*N($G$13),M124*N($G$14))+MAX(O124*N($G$18),P124*N($G$19),Q124*N($G$20),R124*N($G$21))+MAX(T124*N($G$25),U124*N($G$26),V124*N($G$27)),0),ROUNDUP(MAX(I124*N($G$10),J124*N($G$11),K124*N($G$12),L124*N($G$13),M124*N($G$14))+MAX(O124*N($G$18),P124*N($G$19),Q124*N($G$20),R124*N($G$21))+MAX(T124*N($G$25),U124*N($G$26),V124*N($G$27)),0)))</f>
        <v/>
      </c>
      <c r="Z124" s="21">
        <f>IF(G124="","",IF(B124="G마켓",ROUNDDOWN(G124-G124*$Q$6-Y124,0),ROUNDUP(G124-G124*$Q$6-Y124,0)))</f>
        <v/>
      </c>
    </row>
    <row r="125">
      <c r="B125" s="7" t="n"/>
      <c r="C125" s="7" t="n"/>
      <c r="D125" s="22" t="n"/>
      <c r="E125" s="23" t="n"/>
      <c r="F125" s="23" t="n"/>
      <c r="G125" s="19">
        <f>IF(E125="","",E125-N(F125))</f>
        <v/>
      </c>
      <c r="I125" s="20">
        <f>IF(G125="","",IF(OR($D$10="",$H$10="X",G125&lt;N($C$10)),0,IF(B125="G마켓",ROUNDDOWN(MIN(IF($D$10&gt;=1,MIN($D$10,G125),G125*$D$10),IF($E$10="",9E+99,$E$10)),0),ROUNDUP(MIN(IF($D$10&gt;=1,MIN($D$10,G125),G125*$D$10),IF($E$10="",9E+99,$E$10)),0))))</f>
        <v/>
      </c>
      <c r="J125" s="20">
        <f>IF(G125="","",IF(OR($D$11="",$H$11="X",G125&lt;N($C$11)),0,IF(B125="G마켓",ROUNDDOWN(MIN(IF($D$11&gt;=1,MIN($D$11,G125),G125*$D$11),IF($E$11="",9E+99,$E$11)),0),ROUNDUP(MIN(IF($D$11&gt;=1,MIN($D$11,G125),G125*$D$11),IF($E$11="",9E+99,$E$11)),0))))</f>
        <v/>
      </c>
      <c r="K125" s="20">
        <f>IF(G125="","",IF(OR($D$12="",$H$12="X",G125&lt;N($C$12)),0,IF(B125="G마켓",ROUNDDOWN(MIN(IF($D$12&gt;=1,MIN($D$12,G125),G125*$D$12),IF($E$12="",9E+99,$E$12)),0),ROUNDUP(MIN(IF($D$12&gt;=1,MIN($D$12,G125),G125*$D$12),IF($E$12="",9E+99,$E$12)),0))))</f>
        <v/>
      </c>
      <c r="L125" s="20">
        <f>IF(G125="","",IF(OR($D$13="",$H$13="X",G125&lt;N($C$13)),0,IF(B125="G마켓",ROUNDDOWN(MIN(IF($D$13&gt;=1,MIN($D$13,G125),G125*$D$13),IF($E$13="",9E+99,$E$13)),0),ROUNDUP(MIN(IF($D$13&gt;=1,MIN($D$13,G125),G125*$D$13),IF($E$13="",9E+99,$E$13)),0))))</f>
        <v/>
      </c>
      <c r="M125" s="20">
        <f>IF(G125="","",IF(OR($D$14="",$H$14="X",G125&lt;N($C$14)),0,IF(B125="G마켓",ROUNDDOWN(MIN(IF($D$14&gt;=1,MIN($D$14,G125),G125*$D$14),IF($E$14="",9E+99,$E$14)),0),ROUNDUP(MIN(IF($D$14&gt;=1,MIN($D$14,G125),G125*$D$14),IF($E$14="",9E+99,$E$14)),0))))</f>
        <v/>
      </c>
      <c r="N125" s="19">
        <f>IF(G125="","",G125-MAX(I125:M125))</f>
        <v/>
      </c>
      <c r="O125" s="20">
        <f>IF(N125="","",IF(OR($D$18="",$H$18="X",N125&lt;N($C$18)),0,IF(B125="G마켓",ROUNDDOWN(MIN(IF($D$18&gt;=1,MIN($D$18,N125),N125*$D$18),IF($E$18="",9E+99,$E$18)),0),ROUNDUP(MIN(IF($D$18&gt;=1,MIN($D$18,N125),N125*$D$18),IF($E$18="",9E+99,$E$18)),0))))</f>
        <v/>
      </c>
      <c r="P125" s="20">
        <f>IF(N125="","",IF(OR($D$19="",$H$19="X",N125&lt;N($C$19)),0,IF(B125="G마켓",ROUNDDOWN(MIN(IF($D$19&gt;=1,MIN($D$19,N125),N125*$D$19),IF($E$19="",9E+99,$E$19)),0),ROUNDUP(MIN(IF($D$19&gt;=1,MIN($D$19,N125),N125*$D$19),IF($E$19="",9E+99,$E$19)),0))))</f>
        <v/>
      </c>
      <c r="Q125" s="20">
        <f>IF(N125="","",IF(OR($D$20="",$H$20="X",N125&lt;N($C$20)),0,IF(B125="G마켓",ROUNDDOWN(MIN(IF($D$20&gt;=1,MIN($D$20,N125),N125*$D$20),IF($E$20="",9E+99,$E$20)),0),ROUNDUP(MIN(IF($D$20&gt;=1,MIN($D$20,N125),N125*$D$20),IF($E$20="",9E+99,$E$20)),0))))</f>
        <v/>
      </c>
      <c r="R125" s="20">
        <f>IF(N125="","",IF(OR($D$21="",$H$21="X",N125&lt;N($C$21)),0,IF(B125="G마켓",ROUNDDOWN(MIN(IF($D$21&gt;=1,MIN($D$21,N125),N125*$D$21),IF($E$21="",9E+99,$E$21)),0),ROUNDUP(MIN(IF($D$21&gt;=1,MIN($D$21,N125),N125*$D$21),IF($E$21="",9E+99,$E$21)),0))))</f>
        <v/>
      </c>
      <c r="S125" s="19">
        <f>IF(G125="","",N125-MAX(O125:R125))</f>
        <v/>
      </c>
      <c r="T125" s="20">
        <f>IF(S125="","",IF(OR($D$25="",S125&lt;N($C$25)),0,IF(B125="G마켓",ROUNDDOWN(MIN(IF($D$25&gt;=1,MIN($D$25,S125),S125*$D$25),IF($E$25="",9E+99,$E$25)),0),ROUNDUP(MIN(IF($D$25&gt;=1,MIN($D$25,S125),S125*$D$25),IF($E$25="",9E+99,$E$25)),0))))</f>
        <v/>
      </c>
      <c r="U125" s="20">
        <f>IF(S125="","",IF(OR($D$26="",S125&lt;N($C$26)),0,IF(B125="G마켓",ROUNDDOWN(MIN(IF($D$26&gt;=1,MIN($D$26,S125),S125*$D$26),IF($E$26="",9E+99,$E$26)),0),ROUNDUP(MIN(IF($D$26&gt;=1,MIN($D$26,S125),S125*$D$26),IF($E$26="",9E+99,$E$26)),0))))</f>
        <v/>
      </c>
      <c r="V125" s="20">
        <f>IF(S125="","",IF(OR($D$27="",S125&lt;N($C$27)),0,IF(B125="G마켓",ROUNDDOWN(MIN(IF($D$27&gt;=1,MIN($D$27,S125),S125*$D$27),IF($E$27="",9E+99,$E$27)),0),ROUNDUP(MIN(IF($D$27&gt;=1,MIN($D$27,S125),S125*$D$27),IF($E$27="",9E+99,$E$27)),0))))</f>
        <v/>
      </c>
      <c r="W125" s="19">
        <f>IF(G125="","",MAX(T125:V125))</f>
        <v/>
      </c>
      <c r="X125" s="21">
        <f>IF(G125="","",S125-W125)</f>
        <v/>
      </c>
      <c r="Y125" s="19">
        <f>IF(G125="","",IF(B125="G마켓",ROUNDDOWN(MAX(I125*N($G$10),J125*N($G$11),K125*N($G$12),L125*N($G$13),M125*N($G$14))+MAX(O125*N($G$18),P125*N($G$19),Q125*N($G$20),R125*N($G$21))+MAX(T125*N($G$25),U125*N($G$26),V125*N($G$27)),0),ROUNDUP(MAX(I125*N($G$10),J125*N($G$11),K125*N($G$12),L125*N($G$13),M125*N($G$14))+MAX(O125*N($G$18),P125*N($G$19),Q125*N($G$20),R125*N($G$21))+MAX(T125*N($G$25),U125*N($G$26),V125*N($G$27)),0)))</f>
        <v/>
      </c>
      <c r="Z125" s="21">
        <f>IF(G125="","",IF(B125="G마켓",ROUNDDOWN(G125-G125*$Q$6-Y125,0),ROUNDUP(G125-G125*$Q$6-Y125,0)))</f>
        <v/>
      </c>
    </row>
    <row r="126">
      <c r="B126" s="7" t="n"/>
      <c r="C126" s="7" t="n"/>
      <c r="D126" s="22" t="n"/>
      <c r="E126" s="23" t="n"/>
      <c r="F126" s="23" t="n"/>
      <c r="G126" s="19">
        <f>IF(E126="","",E126-N(F126))</f>
        <v/>
      </c>
      <c r="I126" s="20">
        <f>IF(G126="","",IF(OR($D$10="",$H$10="X",G126&lt;N($C$10)),0,IF(B126="G마켓",ROUNDDOWN(MIN(IF($D$10&gt;=1,MIN($D$10,G126),G126*$D$10),IF($E$10="",9E+99,$E$10)),0),ROUNDUP(MIN(IF($D$10&gt;=1,MIN($D$10,G126),G126*$D$10),IF($E$10="",9E+99,$E$10)),0))))</f>
        <v/>
      </c>
      <c r="J126" s="20">
        <f>IF(G126="","",IF(OR($D$11="",$H$11="X",G126&lt;N($C$11)),0,IF(B126="G마켓",ROUNDDOWN(MIN(IF($D$11&gt;=1,MIN($D$11,G126),G126*$D$11),IF($E$11="",9E+99,$E$11)),0),ROUNDUP(MIN(IF($D$11&gt;=1,MIN($D$11,G126),G126*$D$11),IF($E$11="",9E+99,$E$11)),0))))</f>
        <v/>
      </c>
      <c r="K126" s="20">
        <f>IF(G126="","",IF(OR($D$12="",$H$12="X",G126&lt;N($C$12)),0,IF(B126="G마켓",ROUNDDOWN(MIN(IF($D$12&gt;=1,MIN($D$12,G126),G126*$D$12),IF($E$12="",9E+99,$E$12)),0),ROUNDUP(MIN(IF($D$12&gt;=1,MIN($D$12,G126),G126*$D$12),IF($E$12="",9E+99,$E$12)),0))))</f>
        <v/>
      </c>
      <c r="L126" s="20">
        <f>IF(G126="","",IF(OR($D$13="",$H$13="X",G126&lt;N($C$13)),0,IF(B126="G마켓",ROUNDDOWN(MIN(IF($D$13&gt;=1,MIN($D$13,G126),G126*$D$13),IF($E$13="",9E+99,$E$13)),0),ROUNDUP(MIN(IF($D$13&gt;=1,MIN($D$13,G126),G126*$D$13),IF($E$13="",9E+99,$E$13)),0))))</f>
        <v/>
      </c>
      <c r="M126" s="20">
        <f>IF(G126="","",IF(OR($D$14="",$H$14="X",G126&lt;N($C$14)),0,IF(B126="G마켓",ROUNDDOWN(MIN(IF($D$14&gt;=1,MIN($D$14,G126),G126*$D$14),IF($E$14="",9E+99,$E$14)),0),ROUNDUP(MIN(IF($D$14&gt;=1,MIN($D$14,G126),G126*$D$14),IF($E$14="",9E+99,$E$14)),0))))</f>
        <v/>
      </c>
      <c r="N126" s="19">
        <f>IF(G126="","",G126-MAX(I126:M126))</f>
        <v/>
      </c>
      <c r="O126" s="20">
        <f>IF(N126="","",IF(OR($D$18="",$H$18="X",N126&lt;N($C$18)),0,IF(B126="G마켓",ROUNDDOWN(MIN(IF($D$18&gt;=1,MIN($D$18,N126),N126*$D$18),IF($E$18="",9E+99,$E$18)),0),ROUNDUP(MIN(IF($D$18&gt;=1,MIN($D$18,N126),N126*$D$18),IF($E$18="",9E+99,$E$18)),0))))</f>
        <v/>
      </c>
      <c r="P126" s="20">
        <f>IF(N126="","",IF(OR($D$19="",$H$19="X",N126&lt;N($C$19)),0,IF(B126="G마켓",ROUNDDOWN(MIN(IF($D$19&gt;=1,MIN($D$19,N126),N126*$D$19),IF($E$19="",9E+99,$E$19)),0),ROUNDUP(MIN(IF($D$19&gt;=1,MIN($D$19,N126),N126*$D$19),IF($E$19="",9E+99,$E$19)),0))))</f>
        <v/>
      </c>
      <c r="Q126" s="20">
        <f>IF(N126="","",IF(OR($D$20="",$H$20="X",N126&lt;N($C$20)),0,IF(B126="G마켓",ROUNDDOWN(MIN(IF($D$20&gt;=1,MIN($D$20,N126),N126*$D$20),IF($E$20="",9E+99,$E$20)),0),ROUNDUP(MIN(IF($D$20&gt;=1,MIN($D$20,N126),N126*$D$20),IF($E$20="",9E+99,$E$20)),0))))</f>
        <v/>
      </c>
      <c r="R126" s="20">
        <f>IF(N126="","",IF(OR($D$21="",$H$21="X",N126&lt;N($C$21)),0,IF(B126="G마켓",ROUNDDOWN(MIN(IF($D$21&gt;=1,MIN($D$21,N126),N126*$D$21),IF($E$21="",9E+99,$E$21)),0),ROUNDUP(MIN(IF($D$21&gt;=1,MIN($D$21,N126),N126*$D$21),IF($E$21="",9E+99,$E$21)),0))))</f>
        <v/>
      </c>
      <c r="S126" s="19">
        <f>IF(G126="","",N126-MAX(O126:R126))</f>
        <v/>
      </c>
      <c r="T126" s="20">
        <f>IF(S126="","",IF(OR($D$25="",S126&lt;N($C$25)),0,IF(B126="G마켓",ROUNDDOWN(MIN(IF($D$25&gt;=1,MIN($D$25,S126),S126*$D$25),IF($E$25="",9E+99,$E$25)),0),ROUNDUP(MIN(IF($D$25&gt;=1,MIN($D$25,S126),S126*$D$25),IF($E$25="",9E+99,$E$25)),0))))</f>
        <v/>
      </c>
      <c r="U126" s="20">
        <f>IF(S126="","",IF(OR($D$26="",S126&lt;N($C$26)),0,IF(B126="G마켓",ROUNDDOWN(MIN(IF($D$26&gt;=1,MIN($D$26,S126),S126*$D$26),IF($E$26="",9E+99,$E$26)),0),ROUNDUP(MIN(IF($D$26&gt;=1,MIN($D$26,S126),S126*$D$26),IF($E$26="",9E+99,$E$26)),0))))</f>
        <v/>
      </c>
      <c r="V126" s="20">
        <f>IF(S126="","",IF(OR($D$27="",S126&lt;N($C$27)),0,IF(B126="G마켓",ROUNDDOWN(MIN(IF($D$27&gt;=1,MIN($D$27,S126),S126*$D$27),IF($E$27="",9E+99,$E$27)),0),ROUNDUP(MIN(IF($D$27&gt;=1,MIN($D$27,S126),S126*$D$27),IF($E$27="",9E+99,$E$27)),0))))</f>
        <v/>
      </c>
      <c r="W126" s="19">
        <f>IF(G126="","",MAX(T126:V126))</f>
        <v/>
      </c>
      <c r="X126" s="21">
        <f>IF(G126="","",S126-W126)</f>
        <v/>
      </c>
      <c r="Y126" s="19">
        <f>IF(G126="","",IF(B126="G마켓",ROUNDDOWN(MAX(I126*N($G$10),J126*N($G$11),K126*N($G$12),L126*N($G$13),M126*N($G$14))+MAX(O126*N($G$18),P126*N($G$19),Q126*N($G$20),R126*N($G$21))+MAX(T126*N($G$25),U126*N($G$26),V126*N($G$27)),0),ROUNDUP(MAX(I126*N($G$10),J126*N($G$11),K126*N($G$12),L126*N($G$13),M126*N($G$14))+MAX(O126*N($G$18),P126*N($G$19),Q126*N($G$20),R126*N($G$21))+MAX(T126*N($G$25),U126*N($G$26),V126*N($G$27)),0)))</f>
        <v/>
      </c>
      <c r="Z126" s="21">
        <f>IF(G126="","",IF(B126="G마켓",ROUNDDOWN(G126-G126*$Q$6-Y126,0),ROUNDUP(G126-G126*$Q$6-Y126,0)))</f>
        <v/>
      </c>
    </row>
    <row r="127">
      <c r="B127" s="7" t="n"/>
      <c r="C127" s="7" t="n"/>
      <c r="D127" s="22" t="n"/>
      <c r="E127" s="23" t="n"/>
      <c r="F127" s="23" t="n"/>
      <c r="G127" s="19">
        <f>IF(E127="","",E127-N(F127))</f>
        <v/>
      </c>
      <c r="I127" s="20">
        <f>IF(G127="","",IF(OR($D$10="",$H$10="X",G127&lt;N($C$10)),0,IF(B127="G마켓",ROUNDDOWN(MIN(IF($D$10&gt;=1,MIN($D$10,G127),G127*$D$10),IF($E$10="",9E+99,$E$10)),0),ROUNDUP(MIN(IF($D$10&gt;=1,MIN($D$10,G127),G127*$D$10),IF($E$10="",9E+99,$E$10)),0))))</f>
        <v/>
      </c>
      <c r="J127" s="20">
        <f>IF(G127="","",IF(OR($D$11="",$H$11="X",G127&lt;N($C$11)),0,IF(B127="G마켓",ROUNDDOWN(MIN(IF($D$11&gt;=1,MIN($D$11,G127),G127*$D$11),IF($E$11="",9E+99,$E$11)),0),ROUNDUP(MIN(IF($D$11&gt;=1,MIN($D$11,G127),G127*$D$11),IF($E$11="",9E+99,$E$11)),0))))</f>
        <v/>
      </c>
      <c r="K127" s="20">
        <f>IF(G127="","",IF(OR($D$12="",$H$12="X",G127&lt;N($C$12)),0,IF(B127="G마켓",ROUNDDOWN(MIN(IF($D$12&gt;=1,MIN($D$12,G127),G127*$D$12),IF($E$12="",9E+99,$E$12)),0),ROUNDUP(MIN(IF($D$12&gt;=1,MIN($D$12,G127),G127*$D$12),IF($E$12="",9E+99,$E$12)),0))))</f>
        <v/>
      </c>
      <c r="L127" s="20">
        <f>IF(G127="","",IF(OR($D$13="",$H$13="X",G127&lt;N($C$13)),0,IF(B127="G마켓",ROUNDDOWN(MIN(IF($D$13&gt;=1,MIN($D$13,G127),G127*$D$13),IF($E$13="",9E+99,$E$13)),0),ROUNDUP(MIN(IF($D$13&gt;=1,MIN($D$13,G127),G127*$D$13),IF($E$13="",9E+99,$E$13)),0))))</f>
        <v/>
      </c>
      <c r="M127" s="20">
        <f>IF(G127="","",IF(OR($D$14="",$H$14="X",G127&lt;N($C$14)),0,IF(B127="G마켓",ROUNDDOWN(MIN(IF($D$14&gt;=1,MIN($D$14,G127),G127*$D$14),IF($E$14="",9E+99,$E$14)),0),ROUNDUP(MIN(IF($D$14&gt;=1,MIN($D$14,G127),G127*$D$14),IF($E$14="",9E+99,$E$14)),0))))</f>
        <v/>
      </c>
      <c r="N127" s="19">
        <f>IF(G127="","",G127-MAX(I127:M127))</f>
        <v/>
      </c>
      <c r="O127" s="20">
        <f>IF(N127="","",IF(OR($D$18="",$H$18="X",N127&lt;N($C$18)),0,IF(B127="G마켓",ROUNDDOWN(MIN(IF($D$18&gt;=1,MIN($D$18,N127),N127*$D$18),IF($E$18="",9E+99,$E$18)),0),ROUNDUP(MIN(IF($D$18&gt;=1,MIN($D$18,N127),N127*$D$18),IF($E$18="",9E+99,$E$18)),0))))</f>
        <v/>
      </c>
      <c r="P127" s="20">
        <f>IF(N127="","",IF(OR($D$19="",$H$19="X",N127&lt;N($C$19)),0,IF(B127="G마켓",ROUNDDOWN(MIN(IF($D$19&gt;=1,MIN($D$19,N127),N127*$D$19),IF($E$19="",9E+99,$E$19)),0),ROUNDUP(MIN(IF($D$19&gt;=1,MIN($D$19,N127),N127*$D$19),IF($E$19="",9E+99,$E$19)),0))))</f>
        <v/>
      </c>
      <c r="Q127" s="20">
        <f>IF(N127="","",IF(OR($D$20="",$H$20="X",N127&lt;N($C$20)),0,IF(B127="G마켓",ROUNDDOWN(MIN(IF($D$20&gt;=1,MIN($D$20,N127),N127*$D$20),IF($E$20="",9E+99,$E$20)),0),ROUNDUP(MIN(IF($D$20&gt;=1,MIN($D$20,N127),N127*$D$20),IF($E$20="",9E+99,$E$20)),0))))</f>
        <v/>
      </c>
      <c r="R127" s="20">
        <f>IF(N127="","",IF(OR($D$21="",$H$21="X",N127&lt;N($C$21)),0,IF(B127="G마켓",ROUNDDOWN(MIN(IF($D$21&gt;=1,MIN($D$21,N127),N127*$D$21),IF($E$21="",9E+99,$E$21)),0),ROUNDUP(MIN(IF($D$21&gt;=1,MIN($D$21,N127),N127*$D$21),IF($E$21="",9E+99,$E$21)),0))))</f>
        <v/>
      </c>
      <c r="S127" s="19">
        <f>IF(G127="","",N127-MAX(O127:R127))</f>
        <v/>
      </c>
      <c r="T127" s="20">
        <f>IF(S127="","",IF(OR($D$25="",S127&lt;N($C$25)),0,IF(B127="G마켓",ROUNDDOWN(MIN(IF($D$25&gt;=1,MIN($D$25,S127),S127*$D$25),IF($E$25="",9E+99,$E$25)),0),ROUNDUP(MIN(IF($D$25&gt;=1,MIN($D$25,S127),S127*$D$25),IF($E$25="",9E+99,$E$25)),0))))</f>
        <v/>
      </c>
      <c r="U127" s="20">
        <f>IF(S127="","",IF(OR($D$26="",S127&lt;N($C$26)),0,IF(B127="G마켓",ROUNDDOWN(MIN(IF($D$26&gt;=1,MIN($D$26,S127),S127*$D$26),IF($E$26="",9E+99,$E$26)),0),ROUNDUP(MIN(IF($D$26&gt;=1,MIN($D$26,S127),S127*$D$26),IF($E$26="",9E+99,$E$26)),0))))</f>
        <v/>
      </c>
      <c r="V127" s="20">
        <f>IF(S127="","",IF(OR($D$27="",S127&lt;N($C$27)),0,IF(B127="G마켓",ROUNDDOWN(MIN(IF($D$27&gt;=1,MIN($D$27,S127),S127*$D$27),IF($E$27="",9E+99,$E$27)),0),ROUNDUP(MIN(IF($D$27&gt;=1,MIN($D$27,S127),S127*$D$27),IF($E$27="",9E+99,$E$27)),0))))</f>
        <v/>
      </c>
      <c r="W127" s="19">
        <f>IF(G127="","",MAX(T127:V127))</f>
        <v/>
      </c>
      <c r="X127" s="21">
        <f>IF(G127="","",S127-W127)</f>
        <v/>
      </c>
      <c r="Y127" s="19">
        <f>IF(G127="","",IF(B127="G마켓",ROUNDDOWN(MAX(I127*N($G$10),J127*N($G$11),K127*N($G$12),L127*N($G$13),M127*N($G$14))+MAX(O127*N($G$18),P127*N($G$19),Q127*N($G$20),R127*N($G$21))+MAX(T127*N($G$25),U127*N($G$26),V127*N($G$27)),0),ROUNDUP(MAX(I127*N($G$10),J127*N($G$11),K127*N($G$12),L127*N($G$13),M127*N($G$14))+MAX(O127*N($G$18),P127*N($G$19),Q127*N($G$20),R127*N($G$21))+MAX(T127*N($G$25),U127*N($G$26),V127*N($G$27)),0)))</f>
        <v/>
      </c>
      <c r="Z127" s="21">
        <f>IF(G127="","",IF(B127="G마켓",ROUNDDOWN(G127-G127*$Q$6-Y127,0),ROUNDUP(G127-G127*$Q$6-Y127,0)))</f>
        <v/>
      </c>
    </row>
    <row r="128">
      <c r="B128" s="7" t="n"/>
      <c r="C128" s="7" t="n"/>
      <c r="D128" s="22" t="n"/>
      <c r="E128" s="23" t="n"/>
      <c r="F128" s="23" t="n"/>
      <c r="G128" s="19">
        <f>IF(E128="","",E128-N(F128))</f>
        <v/>
      </c>
      <c r="I128" s="20">
        <f>IF(G128="","",IF(OR($D$10="",$H$10="X",G128&lt;N($C$10)),0,IF(B128="G마켓",ROUNDDOWN(MIN(IF($D$10&gt;=1,MIN($D$10,G128),G128*$D$10),IF($E$10="",9E+99,$E$10)),0),ROUNDUP(MIN(IF($D$10&gt;=1,MIN($D$10,G128),G128*$D$10),IF($E$10="",9E+99,$E$10)),0))))</f>
        <v/>
      </c>
      <c r="J128" s="20">
        <f>IF(G128="","",IF(OR($D$11="",$H$11="X",G128&lt;N($C$11)),0,IF(B128="G마켓",ROUNDDOWN(MIN(IF($D$11&gt;=1,MIN($D$11,G128),G128*$D$11),IF($E$11="",9E+99,$E$11)),0),ROUNDUP(MIN(IF($D$11&gt;=1,MIN($D$11,G128),G128*$D$11),IF($E$11="",9E+99,$E$11)),0))))</f>
        <v/>
      </c>
      <c r="K128" s="20">
        <f>IF(G128="","",IF(OR($D$12="",$H$12="X",G128&lt;N($C$12)),0,IF(B128="G마켓",ROUNDDOWN(MIN(IF($D$12&gt;=1,MIN($D$12,G128),G128*$D$12),IF($E$12="",9E+99,$E$12)),0),ROUNDUP(MIN(IF($D$12&gt;=1,MIN($D$12,G128),G128*$D$12),IF($E$12="",9E+99,$E$12)),0))))</f>
        <v/>
      </c>
      <c r="L128" s="20">
        <f>IF(G128="","",IF(OR($D$13="",$H$13="X",G128&lt;N($C$13)),0,IF(B128="G마켓",ROUNDDOWN(MIN(IF($D$13&gt;=1,MIN($D$13,G128),G128*$D$13),IF($E$13="",9E+99,$E$13)),0),ROUNDUP(MIN(IF($D$13&gt;=1,MIN($D$13,G128),G128*$D$13),IF($E$13="",9E+99,$E$13)),0))))</f>
        <v/>
      </c>
      <c r="M128" s="20">
        <f>IF(G128="","",IF(OR($D$14="",$H$14="X",G128&lt;N($C$14)),0,IF(B128="G마켓",ROUNDDOWN(MIN(IF($D$14&gt;=1,MIN($D$14,G128),G128*$D$14),IF($E$14="",9E+99,$E$14)),0),ROUNDUP(MIN(IF($D$14&gt;=1,MIN($D$14,G128),G128*$D$14),IF($E$14="",9E+99,$E$14)),0))))</f>
        <v/>
      </c>
      <c r="N128" s="19">
        <f>IF(G128="","",G128-MAX(I128:M128))</f>
        <v/>
      </c>
      <c r="O128" s="20">
        <f>IF(N128="","",IF(OR($D$18="",$H$18="X",N128&lt;N($C$18)),0,IF(B128="G마켓",ROUNDDOWN(MIN(IF($D$18&gt;=1,MIN($D$18,N128),N128*$D$18),IF($E$18="",9E+99,$E$18)),0),ROUNDUP(MIN(IF($D$18&gt;=1,MIN($D$18,N128),N128*$D$18),IF($E$18="",9E+99,$E$18)),0))))</f>
        <v/>
      </c>
      <c r="P128" s="20">
        <f>IF(N128="","",IF(OR($D$19="",$H$19="X",N128&lt;N($C$19)),0,IF(B128="G마켓",ROUNDDOWN(MIN(IF($D$19&gt;=1,MIN($D$19,N128),N128*$D$19),IF($E$19="",9E+99,$E$19)),0),ROUNDUP(MIN(IF($D$19&gt;=1,MIN($D$19,N128),N128*$D$19),IF($E$19="",9E+99,$E$19)),0))))</f>
        <v/>
      </c>
      <c r="Q128" s="20">
        <f>IF(N128="","",IF(OR($D$20="",$H$20="X",N128&lt;N($C$20)),0,IF(B128="G마켓",ROUNDDOWN(MIN(IF($D$20&gt;=1,MIN($D$20,N128),N128*$D$20),IF($E$20="",9E+99,$E$20)),0),ROUNDUP(MIN(IF($D$20&gt;=1,MIN($D$20,N128),N128*$D$20),IF($E$20="",9E+99,$E$20)),0))))</f>
        <v/>
      </c>
      <c r="R128" s="20">
        <f>IF(N128="","",IF(OR($D$21="",$H$21="X",N128&lt;N($C$21)),0,IF(B128="G마켓",ROUNDDOWN(MIN(IF($D$21&gt;=1,MIN($D$21,N128),N128*$D$21),IF($E$21="",9E+99,$E$21)),0),ROUNDUP(MIN(IF($D$21&gt;=1,MIN($D$21,N128),N128*$D$21),IF($E$21="",9E+99,$E$21)),0))))</f>
        <v/>
      </c>
      <c r="S128" s="19">
        <f>IF(G128="","",N128-MAX(O128:R128))</f>
        <v/>
      </c>
      <c r="T128" s="20">
        <f>IF(S128="","",IF(OR($D$25="",S128&lt;N($C$25)),0,IF(B128="G마켓",ROUNDDOWN(MIN(IF($D$25&gt;=1,MIN($D$25,S128),S128*$D$25),IF($E$25="",9E+99,$E$25)),0),ROUNDUP(MIN(IF($D$25&gt;=1,MIN($D$25,S128),S128*$D$25),IF($E$25="",9E+99,$E$25)),0))))</f>
        <v/>
      </c>
      <c r="U128" s="20">
        <f>IF(S128="","",IF(OR($D$26="",S128&lt;N($C$26)),0,IF(B128="G마켓",ROUNDDOWN(MIN(IF($D$26&gt;=1,MIN($D$26,S128),S128*$D$26),IF($E$26="",9E+99,$E$26)),0),ROUNDUP(MIN(IF($D$26&gt;=1,MIN($D$26,S128),S128*$D$26),IF($E$26="",9E+99,$E$26)),0))))</f>
        <v/>
      </c>
      <c r="V128" s="20">
        <f>IF(S128="","",IF(OR($D$27="",S128&lt;N($C$27)),0,IF(B128="G마켓",ROUNDDOWN(MIN(IF($D$27&gt;=1,MIN($D$27,S128),S128*$D$27),IF($E$27="",9E+99,$E$27)),0),ROUNDUP(MIN(IF($D$27&gt;=1,MIN($D$27,S128),S128*$D$27),IF($E$27="",9E+99,$E$27)),0))))</f>
        <v/>
      </c>
      <c r="W128" s="19">
        <f>IF(G128="","",MAX(T128:V128))</f>
        <v/>
      </c>
      <c r="X128" s="21">
        <f>IF(G128="","",S128-W128)</f>
        <v/>
      </c>
      <c r="Y128" s="19">
        <f>IF(G128="","",IF(B128="G마켓",ROUNDDOWN(MAX(I128*N($G$10),J128*N($G$11),K128*N($G$12),L128*N($G$13),M128*N($G$14))+MAX(O128*N($G$18),P128*N($G$19),Q128*N($G$20),R128*N($G$21))+MAX(T128*N($G$25),U128*N($G$26),V128*N($G$27)),0),ROUNDUP(MAX(I128*N($G$10),J128*N($G$11),K128*N($G$12),L128*N($G$13),M128*N($G$14))+MAX(O128*N($G$18),P128*N($G$19),Q128*N($G$20),R128*N($G$21))+MAX(T128*N($G$25),U128*N($G$26),V128*N($G$27)),0)))</f>
        <v/>
      </c>
      <c r="Z128" s="21">
        <f>IF(G128="","",IF(B128="G마켓",ROUNDDOWN(G128-G128*$Q$6-Y128,0),ROUNDUP(G128-G128*$Q$6-Y128,0)))</f>
        <v/>
      </c>
    </row>
    <row r="129">
      <c r="B129" s="7" t="n"/>
      <c r="C129" s="7" t="n"/>
      <c r="D129" s="22" t="n"/>
      <c r="E129" s="23" t="n"/>
      <c r="F129" s="23" t="n"/>
      <c r="G129" s="19">
        <f>IF(E129="","",E129-N(F129))</f>
        <v/>
      </c>
      <c r="I129" s="20">
        <f>IF(G129="","",IF(OR($D$10="",$H$10="X",G129&lt;N($C$10)),0,IF(B129="G마켓",ROUNDDOWN(MIN(IF($D$10&gt;=1,MIN($D$10,G129),G129*$D$10),IF($E$10="",9E+99,$E$10)),0),ROUNDUP(MIN(IF($D$10&gt;=1,MIN($D$10,G129),G129*$D$10),IF($E$10="",9E+99,$E$10)),0))))</f>
        <v/>
      </c>
      <c r="J129" s="20">
        <f>IF(G129="","",IF(OR($D$11="",$H$11="X",G129&lt;N($C$11)),0,IF(B129="G마켓",ROUNDDOWN(MIN(IF($D$11&gt;=1,MIN($D$11,G129),G129*$D$11),IF($E$11="",9E+99,$E$11)),0),ROUNDUP(MIN(IF($D$11&gt;=1,MIN($D$11,G129),G129*$D$11),IF($E$11="",9E+99,$E$11)),0))))</f>
        <v/>
      </c>
      <c r="K129" s="20">
        <f>IF(G129="","",IF(OR($D$12="",$H$12="X",G129&lt;N($C$12)),0,IF(B129="G마켓",ROUNDDOWN(MIN(IF($D$12&gt;=1,MIN($D$12,G129),G129*$D$12),IF($E$12="",9E+99,$E$12)),0),ROUNDUP(MIN(IF($D$12&gt;=1,MIN($D$12,G129),G129*$D$12),IF($E$12="",9E+99,$E$12)),0))))</f>
        <v/>
      </c>
      <c r="L129" s="20">
        <f>IF(G129="","",IF(OR($D$13="",$H$13="X",G129&lt;N($C$13)),0,IF(B129="G마켓",ROUNDDOWN(MIN(IF($D$13&gt;=1,MIN($D$13,G129),G129*$D$13),IF($E$13="",9E+99,$E$13)),0),ROUNDUP(MIN(IF($D$13&gt;=1,MIN($D$13,G129),G129*$D$13),IF($E$13="",9E+99,$E$13)),0))))</f>
        <v/>
      </c>
      <c r="M129" s="20">
        <f>IF(G129="","",IF(OR($D$14="",$H$14="X",G129&lt;N($C$14)),0,IF(B129="G마켓",ROUNDDOWN(MIN(IF($D$14&gt;=1,MIN($D$14,G129),G129*$D$14),IF($E$14="",9E+99,$E$14)),0),ROUNDUP(MIN(IF($D$14&gt;=1,MIN($D$14,G129),G129*$D$14),IF($E$14="",9E+99,$E$14)),0))))</f>
        <v/>
      </c>
      <c r="N129" s="19">
        <f>IF(G129="","",G129-MAX(I129:M129))</f>
        <v/>
      </c>
      <c r="O129" s="20">
        <f>IF(N129="","",IF(OR($D$18="",$H$18="X",N129&lt;N($C$18)),0,IF(B129="G마켓",ROUNDDOWN(MIN(IF($D$18&gt;=1,MIN($D$18,N129),N129*$D$18),IF($E$18="",9E+99,$E$18)),0),ROUNDUP(MIN(IF($D$18&gt;=1,MIN($D$18,N129),N129*$D$18),IF($E$18="",9E+99,$E$18)),0))))</f>
        <v/>
      </c>
      <c r="P129" s="20">
        <f>IF(N129="","",IF(OR($D$19="",$H$19="X",N129&lt;N($C$19)),0,IF(B129="G마켓",ROUNDDOWN(MIN(IF($D$19&gt;=1,MIN($D$19,N129),N129*$D$19),IF($E$19="",9E+99,$E$19)),0),ROUNDUP(MIN(IF($D$19&gt;=1,MIN($D$19,N129),N129*$D$19),IF($E$19="",9E+99,$E$19)),0))))</f>
        <v/>
      </c>
      <c r="Q129" s="20">
        <f>IF(N129="","",IF(OR($D$20="",$H$20="X",N129&lt;N($C$20)),0,IF(B129="G마켓",ROUNDDOWN(MIN(IF($D$20&gt;=1,MIN($D$20,N129),N129*$D$20),IF($E$20="",9E+99,$E$20)),0),ROUNDUP(MIN(IF($D$20&gt;=1,MIN($D$20,N129),N129*$D$20),IF($E$20="",9E+99,$E$20)),0))))</f>
        <v/>
      </c>
      <c r="R129" s="20">
        <f>IF(N129="","",IF(OR($D$21="",$H$21="X",N129&lt;N($C$21)),0,IF(B129="G마켓",ROUNDDOWN(MIN(IF($D$21&gt;=1,MIN($D$21,N129),N129*$D$21),IF($E$21="",9E+99,$E$21)),0),ROUNDUP(MIN(IF($D$21&gt;=1,MIN($D$21,N129),N129*$D$21),IF($E$21="",9E+99,$E$21)),0))))</f>
        <v/>
      </c>
      <c r="S129" s="19">
        <f>IF(G129="","",N129-MAX(O129:R129))</f>
        <v/>
      </c>
      <c r="T129" s="20">
        <f>IF(S129="","",IF(OR($D$25="",S129&lt;N($C$25)),0,IF(B129="G마켓",ROUNDDOWN(MIN(IF($D$25&gt;=1,MIN($D$25,S129),S129*$D$25),IF($E$25="",9E+99,$E$25)),0),ROUNDUP(MIN(IF($D$25&gt;=1,MIN($D$25,S129),S129*$D$25),IF($E$25="",9E+99,$E$25)),0))))</f>
        <v/>
      </c>
      <c r="U129" s="20">
        <f>IF(S129="","",IF(OR($D$26="",S129&lt;N($C$26)),0,IF(B129="G마켓",ROUNDDOWN(MIN(IF($D$26&gt;=1,MIN($D$26,S129),S129*$D$26),IF($E$26="",9E+99,$E$26)),0),ROUNDUP(MIN(IF($D$26&gt;=1,MIN($D$26,S129),S129*$D$26),IF($E$26="",9E+99,$E$26)),0))))</f>
        <v/>
      </c>
      <c r="V129" s="20">
        <f>IF(S129="","",IF(OR($D$27="",S129&lt;N($C$27)),0,IF(B129="G마켓",ROUNDDOWN(MIN(IF($D$27&gt;=1,MIN($D$27,S129),S129*$D$27),IF($E$27="",9E+99,$E$27)),0),ROUNDUP(MIN(IF($D$27&gt;=1,MIN($D$27,S129),S129*$D$27),IF($E$27="",9E+99,$E$27)),0))))</f>
        <v/>
      </c>
      <c r="W129" s="19">
        <f>IF(G129="","",MAX(T129:V129))</f>
        <v/>
      </c>
      <c r="X129" s="21">
        <f>IF(G129="","",S129-W129)</f>
        <v/>
      </c>
      <c r="Y129" s="19">
        <f>IF(G129="","",IF(B129="G마켓",ROUNDDOWN(MAX(I129*N($G$10),J129*N($G$11),K129*N($G$12),L129*N($G$13),M129*N($G$14))+MAX(O129*N($G$18),P129*N($G$19),Q129*N($G$20),R129*N($G$21))+MAX(T129*N($G$25),U129*N($G$26),V129*N($G$27)),0),ROUNDUP(MAX(I129*N($G$10),J129*N($G$11),K129*N($G$12),L129*N($G$13),M129*N($G$14))+MAX(O129*N($G$18),P129*N($G$19),Q129*N($G$20),R129*N($G$21))+MAX(T129*N($G$25),U129*N($G$26),V129*N($G$27)),0)))</f>
        <v/>
      </c>
      <c r="Z129" s="21">
        <f>IF(G129="","",IF(B129="G마켓",ROUNDDOWN(G129-G129*$Q$6-Y129,0),ROUNDUP(G129-G129*$Q$6-Y129,0)))</f>
        <v/>
      </c>
    </row>
    <row r="130">
      <c r="B130" s="7" t="n"/>
      <c r="C130" s="7" t="n"/>
      <c r="D130" s="22" t="n"/>
      <c r="E130" s="23" t="n"/>
      <c r="F130" s="23" t="n"/>
      <c r="G130" s="19">
        <f>IF(E130="","",E130-N(F130))</f>
        <v/>
      </c>
      <c r="I130" s="20">
        <f>IF(G130="","",IF(OR($D$10="",$H$10="X",G130&lt;N($C$10)),0,IF(B130="G마켓",ROUNDDOWN(MIN(IF($D$10&gt;=1,MIN($D$10,G130),G130*$D$10),IF($E$10="",9E+99,$E$10)),0),ROUNDUP(MIN(IF($D$10&gt;=1,MIN($D$10,G130),G130*$D$10),IF($E$10="",9E+99,$E$10)),0))))</f>
        <v/>
      </c>
      <c r="J130" s="20">
        <f>IF(G130="","",IF(OR($D$11="",$H$11="X",G130&lt;N($C$11)),0,IF(B130="G마켓",ROUNDDOWN(MIN(IF($D$11&gt;=1,MIN($D$11,G130),G130*$D$11),IF($E$11="",9E+99,$E$11)),0),ROUNDUP(MIN(IF($D$11&gt;=1,MIN($D$11,G130),G130*$D$11),IF($E$11="",9E+99,$E$11)),0))))</f>
        <v/>
      </c>
      <c r="K130" s="20">
        <f>IF(G130="","",IF(OR($D$12="",$H$12="X",G130&lt;N($C$12)),0,IF(B130="G마켓",ROUNDDOWN(MIN(IF($D$12&gt;=1,MIN($D$12,G130),G130*$D$12),IF($E$12="",9E+99,$E$12)),0),ROUNDUP(MIN(IF($D$12&gt;=1,MIN($D$12,G130),G130*$D$12),IF($E$12="",9E+99,$E$12)),0))))</f>
        <v/>
      </c>
      <c r="L130" s="20">
        <f>IF(G130="","",IF(OR($D$13="",$H$13="X",G130&lt;N($C$13)),0,IF(B130="G마켓",ROUNDDOWN(MIN(IF($D$13&gt;=1,MIN($D$13,G130),G130*$D$13),IF($E$13="",9E+99,$E$13)),0),ROUNDUP(MIN(IF($D$13&gt;=1,MIN($D$13,G130),G130*$D$13),IF($E$13="",9E+99,$E$13)),0))))</f>
        <v/>
      </c>
      <c r="M130" s="20">
        <f>IF(G130="","",IF(OR($D$14="",$H$14="X",G130&lt;N($C$14)),0,IF(B130="G마켓",ROUNDDOWN(MIN(IF($D$14&gt;=1,MIN($D$14,G130),G130*$D$14),IF($E$14="",9E+99,$E$14)),0),ROUNDUP(MIN(IF($D$14&gt;=1,MIN($D$14,G130),G130*$D$14),IF($E$14="",9E+99,$E$14)),0))))</f>
        <v/>
      </c>
      <c r="N130" s="19">
        <f>IF(G130="","",G130-MAX(I130:M130))</f>
        <v/>
      </c>
      <c r="O130" s="20">
        <f>IF(N130="","",IF(OR($D$18="",$H$18="X",N130&lt;N($C$18)),0,IF(B130="G마켓",ROUNDDOWN(MIN(IF($D$18&gt;=1,MIN($D$18,N130),N130*$D$18),IF($E$18="",9E+99,$E$18)),0),ROUNDUP(MIN(IF($D$18&gt;=1,MIN($D$18,N130),N130*$D$18),IF($E$18="",9E+99,$E$18)),0))))</f>
        <v/>
      </c>
      <c r="P130" s="20">
        <f>IF(N130="","",IF(OR($D$19="",$H$19="X",N130&lt;N($C$19)),0,IF(B130="G마켓",ROUNDDOWN(MIN(IF($D$19&gt;=1,MIN($D$19,N130),N130*$D$19),IF($E$19="",9E+99,$E$19)),0),ROUNDUP(MIN(IF($D$19&gt;=1,MIN($D$19,N130),N130*$D$19),IF($E$19="",9E+99,$E$19)),0))))</f>
        <v/>
      </c>
      <c r="Q130" s="20">
        <f>IF(N130="","",IF(OR($D$20="",$H$20="X",N130&lt;N($C$20)),0,IF(B130="G마켓",ROUNDDOWN(MIN(IF($D$20&gt;=1,MIN($D$20,N130),N130*$D$20),IF($E$20="",9E+99,$E$20)),0),ROUNDUP(MIN(IF($D$20&gt;=1,MIN($D$20,N130),N130*$D$20),IF($E$20="",9E+99,$E$20)),0))))</f>
        <v/>
      </c>
      <c r="R130" s="20">
        <f>IF(N130="","",IF(OR($D$21="",$H$21="X",N130&lt;N($C$21)),0,IF(B130="G마켓",ROUNDDOWN(MIN(IF($D$21&gt;=1,MIN($D$21,N130),N130*$D$21),IF($E$21="",9E+99,$E$21)),0),ROUNDUP(MIN(IF($D$21&gt;=1,MIN($D$21,N130),N130*$D$21),IF($E$21="",9E+99,$E$21)),0))))</f>
        <v/>
      </c>
      <c r="S130" s="19">
        <f>IF(G130="","",N130-MAX(O130:R130))</f>
        <v/>
      </c>
      <c r="T130" s="20">
        <f>IF(S130="","",IF(OR($D$25="",S130&lt;N($C$25)),0,IF(B130="G마켓",ROUNDDOWN(MIN(IF($D$25&gt;=1,MIN($D$25,S130),S130*$D$25),IF($E$25="",9E+99,$E$25)),0),ROUNDUP(MIN(IF($D$25&gt;=1,MIN($D$25,S130),S130*$D$25),IF($E$25="",9E+99,$E$25)),0))))</f>
        <v/>
      </c>
      <c r="U130" s="20">
        <f>IF(S130="","",IF(OR($D$26="",S130&lt;N($C$26)),0,IF(B130="G마켓",ROUNDDOWN(MIN(IF($D$26&gt;=1,MIN($D$26,S130),S130*$D$26),IF($E$26="",9E+99,$E$26)),0),ROUNDUP(MIN(IF($D$26&gt;=1,MIN($D$26,S130),S130*$D$26),IF($E$26="",9E+99,$E$26)),0))))</f>
        <v/>
      </c>
      <c r="V130" s="20">
        <f>IF(S130="","",IF(OR($D$27="",S130&lt;N($C$27)),0,IF(B130="G마켓",ROUNDDOWN(MIN(IF($D$27&gt;=1,MIN($D$27,S130),S130*$D$27),IF($E$27="",9E+99,$E$27)),0),ROUNDUP(MIN(IF($D$27&gt;=1,MIN($D$27,S130),S130*$D$27),IF($E$27="",9E+99,$E$27)),0))))</f>
        <v/>
      </c>
      <c r="W130" s="19">
        <f>IF(G130="","",MAX(T130:V130))</f>
        <v/>
      </c>
      <c r="X130" s="21">
        <f>IF(G130="","",S130-W130)</f>
        <v/>
      </c>
      <c r="Y130" s="19">
        <f>IF(G130="","",IF(B130="G마켓",ROUNDDOWN(MAX(I130*N($G$10),J130*N($G$11),K130*N($G$12),L130*N($G$13),M130*N($G$14))+MAX(O130*N($G$18),P130*N($G$19),Q130*N($G$20),R130*N($G$21))+MAX(T130*N($G$25),U130*N($G$26),V130*N($G$27)),0),ROUNDUP(MAX(I130*N($G$10),J130*N($G$11),K130*N($G$12),L130*N($G$13),M130*N($G$14))+MAX(O130*N($G$18),P130*N($G$19),Q130*N($G$20),R130*N($G$21))+MAX(T130*N($G$25),U130*N($G$26),V130*N($G$27)),0)))</f>
        <v/>
      </c>
      <c r="Z130" s="21">
        <f>IF(G130="","",IF(B130="G마켓",ROUNDDOWN(G130-G130*$Q$6-Y130,0),ROUNDUP(G130-G130*$Q$6-Y130,0)))</f>
        <v/>
      </c>
    </row>
    <row r="131">
      <c r="B131" s="7" t="n"/>
      <c r="C131" s="7" t="n"/>
      <c r="D131" s="22" t="n"/>
      <c r="E131" s="23" t="n"/>
      <c r="F131" s="23" t="n"/>
      <c r="G131" s="19">
        <f>IF(E131="","",E131-N(F131))</f>
        <v/>
      </c>
      <c r="I131" s="20">
        <f>IF(G131="","",IF(OR($D$10="",$H$10="X",G131&lt;N($C$10)),0,IF(B131="G마켓",ROUNDDOWN(MIN(IF($D$10&gt;=1,MIN($D$10,G131),G131*$D$10),IF($E$10="",9E+99,$E$10)),0),ROUNDUP(MIN(IF($D$10&gt;=1,MIN($D$10,G131),G131*$D$10),IF($E$10="",9E+99,$E$10)),0))))</f>
        <v/>
      </c>
      <c r="J131" s="20">
        <f>IF(G131="","",IF(OR($D$11="",$H$11="X",G131&lt;N($C$11)),0,IF(B131="G마켓",ROUNDDOWN(MIN(IF($D$11&gt;=1,MIN($D$11,G131),G131*$D$11),IF($E$11="",9E+99,$E$11)),0),ROUNDUP(MIN(IF($D$11&gt;=1,MIN($D$11,G131),G131*$D$11),IF($E$11="",9E+99,$E$11)),0))))</f>
        <v/>
      </c>
      <c r="K131" s="20">
        <f>IF(G131="","",IF(OR($D$12="",$H$12="X",G131&lt;N($C$12)),0,IF(B131="G마켓",ROUNDDOWN(MIN(IF($D$12&gt;=1,MIN($D$12,G131),G131*$D$12),IF($E$12="",9E+99,$E$12)),0),ROUNDUP(MIN(IF($D$12&gt;=1,MIN($D$12,G131),G131*$D$12),IF($E$12="",9E+99,$E$12)),0))))</f>
        <v/>
      </c>
      <c r="L131" s="20">
        <f>IF(G131="","",IF(OR($D$13="",$H$13="X",G131&lt;N($C$13)),0,IF(B131="G마켓",ROUNDDOWN(MIN(IF($D$13&gt;=1,MIN($D$13,G131),G131*$D$13),IF($E$13="",9E+99,$E$13)),0),ROUNDUP(MIN(IF($D$13&gt;=1,MIN($D$13,G131),G131*$D$13),IF($E$13="",9E+99,$E$13)),0))))</f>
        <v/>
      </c>
      <c r="M131" s="20">
        <f>IF(G131="","",IF(OR($D$14="",$H$14="X",G131&lt;N($C$14)),0,IF(B131="G마켓",ROUNDDOWN(MIN(IF($D$14&gt;=1,MIN($D$14,G131),G131*$D$14),IF($E$14="",9E+99,$E$14)),0),ROUNDUP(MIN(IF($D$14&gt;=1,MIN($D$14,G131),G131*$D$14),IF($E$14="",9E+99,$E$14)),0))))</f>
        <v/>
      </c>
      <c r="N131" s="19">
        <f>IF(G131="","",G131-MAX(I131:M131))</f>
        <v/>
      </c>
      <c r="O131" s="20">
        <f>IF(N131="","",IF(OR($D$18="",$H$18="X",N131&lt;N($C$18)),0,IF(B131="G마켓",ROUNDDOWN(MIN(IF($D$18&gt;=1,MIN($D$18,N131),N131*$D$18),IF($E$18="",9E+99,$E$18)),0),ROUNDUP(MIN(IF($D$18&gt;=1,MIN($D$18,N131),N131*$D$18),IF($E$18="",9E+99,$E$18)),0))))</f>
        <v/>
      </c>
      <c r="P131" s="20">
        <f>IF(N131="","",IF(OR($D$19="",$H$19="X",N131&lt;N($C$19)),0,IF(B131="G마켓",ROUNDDOWN(MIN(IF($D$19&gt;=1,MIN($D$19,N131),N131*$D$19),IF($E$19="",9E+99,$E$19)),0),ROUNDUP(MIN(IF($D$19&gt;=1,MIN($D$19,N131),N131*$D$19),IF($E$19="",9E+99,$E$19)),0))))</f>
        <v/>
      </c>
      <c r="Q131" s="20">
        <f>IF(N131="","",IF(OR($D$20="",$H$20="X",N131&lt;N($C$20)),0,IF(B131="G마켓",ROUNDDOWN(MIN(IF($D$20&gt;=1,MIN($D$20,N131),N131*$D$20),IF($E$20="",9E+99,$E$20)),0),ROUNDUP(MIN(IF($D$20&gt;=1,MIN($D$20,N131),N131*$D$20),IF($E$20="",9E+99,$E$20)),0))))</f>
        <v/>
      </c>
      <c r="R131" s="20">
        <f>IF(N131="","",IF(OR($D$21="",$H$21="X",N131&lt;N($C$21)),0,IF(B131="G마켓",ROUNDDOWN(MIN(IF($D$21&gt;=1,MIN($D$21,N131),N131*$D$21),IF($E$21="",9E+99,$E$21)),0),ROUNDUP(MIN(IF($D$21&gt;=1,MIN($D$21,N131),N131*$D$21),IF($E$21="",9E+99,$E$21)),0))))</f>
        <v/>
      </c>
      <c r="S131" s="19">
        <f>IF(G131="","",N131-MAX(O131:R131))</f>
        <v/>
      </c>
      <c r="T131" s="20">
        <f>IF(S131="","",IF(OR($D$25="",S131&lt;N($C$25)),0,IF(B131="G마켓",ROUNDDOWN(MIN(IF($D$25&gt;=1,MIN($D$25,S131),S131*$D$25),IF($E$25="",9E+99,$E$25)),0),ROUNDUP(MIN(IF($D$25&gt;=1,MIN($D$25,S131),S131*$D$25),IF($E$25="",9E+99,$E$25)),0))))</f>
        <v/>
      </c>
      <c r="U131" s="20">
        <f>IF(S131="","",IF(OR($D$26="",S131&lt;N($C$26)),0,IF(B131="G마켓",ROUNDDOWN(MIN(IF($D$26&gt;=1,MIN($D$26,S131),S131*$D$26),IF($E$26="",9E+99,$E$26)),0),ROUNDUP(MIN(IF($D$26&gt;=1,MIN($D$26,S131),S131*$D$26),IF($E$26="",9E+99,$E$26)),0))))</f>
        <v/>
      </c>
      <c r="V131" s="20">
        <f>IF(S131="","",IF(OR($D$27="",S131&lt;N($C$27)),0,IF(B131="G마켓",ROUNDDOWN(MIN(IF($D$27&gt;=1,MIN($D$27,S131),S131*$D$27),IF($E$27="",9E+99,$E$27)),0),ROUNDUP(MIN(IF($D$27&gt;=1,MIN($D$27,S131),S131*$D$27),IF($E$27="",9E+99,$E$27)),0))))</f>
        <v/>
      </c>
      <c r="W131" s="19">
        <f>IF(G131="","",MAX(T131:V131))</f>
        <v/>
      </c>
      <c r="X131" s="21">
        <f>IF(G131="","",S131-W131)</f>
        <v/>
      </c>
      <c r="Y131" s="19">
        <f>IF(G131="","",IF(B131="G마켓",ROUNDDOWN(MAX(I131*N($G$10),J131*N($G$11),K131*N($G$12),L131*N($G$13),M131*N($G$14))+MAX(O131*N($G$18),P131*N($G$19),Q131*N($G$20),R131*N($G$21))+MAX(T131*N($G$25),U131*N($G$26),V131*N($G$27)),0),ROUNDUP(MAX(I131*N($G$10),J131*N($G$11),K131*N($G$12),L131*N($G$13),M131*N($G$14))+MAX(O131*N($G$18),P131*N($G$19),Q131*N($G$20),R131*N($G$21))+MAX(T131*N($G$25),U131*N($G$26),V131*N($G$27)),0)))</f>
        <v/>
      </c>
      <c r="Z131" s="21">
        <f>IF(G131="","",IF(B131="G마켓",ROUNDDOWN(G131-G131*$Q$6-Y131,0),ROUNDUP(G131-G131*$Q$6-Y131,0)))</f>
        <v/>
      </c>
    </row>
    <row r="132">
      <c r="B132" s="7" t="n"/>
      <c r="C132" s="7" t="n"/>
      <c r="D132" s="22" t="n"/>
      <c r="E132" s="23" t="n"/>
      <c r="F132" s="23" t="n"/>
      <c r="G132" s="19">
        <f>IF(E132="","",E132-N(F132))</f>
        <v/>
      </c>
      <c r="I132" s="20">
        <f>IF(G132="","",IF(OR($D$10="",$H$10="X",G132&lt;N($C$10)),0,IF(B132="G마켓",ROUNDDOWN(MIN(IF($D$10&gt;=1,MIN($D$10,G132),G132*$D$10),IF($E$10="",9E+99,$E$10)),0),ROUNDUP(MIN(IF($D$10&gt;=1,MIN($D$10,G132),G132*$D$10),IF($E$10="",9E+99,$E$10)),0))))</f>
        <v/>
      </c>
      <c r="J132" s="20">
        <f>IF(G132="","",IF(OR($D$11="",$H$11="X",G132&lt;N($C$11)),0,IF(B132="G마켓",ROUNDDOWN(MIN(IF($D$11&gt;=1,MIN($D$11,G132),G132*$D$11),IF($E$11="",9E+99,$E$11)),0),ROUNDUP(MIN(IF($D$11&gt;=1,MIN($D$11,G132),G132*$D$11),IF($E$11="",9E+99,$E$11)),0))))</f>
        <v/>
      </c>
      <c r="K132" s="20">
        <f>IF(G132="","",IF(OR($D$12="",$H$12="X",G132&lt;N($C$12)),0,IF(B132="G마켓",ROUNDDOWN(MIN(IF($D$12&gt;=1,MIN($D$12,G132),G132*$D$12),IF($E$12="",9E+99,$E$12)),0),ROUNDUP(MIN(IF($D$12&gt;=1,MIN($D$12,G132),G132*$D$12),IF($E$12="",9E+99,$E$12)),0))))</f>
        <v/>
      </c>
      <c r="L132" s="20">
        <f>IF(G132="","",IF(OR($D$13="",$H$13="X",G132&lt;N($C$13)),0,IF(B132="G마켓",ROUNDDOWN(MIN(IF($D$13&gt;=1,MIN($D$13,G132),G132*$D$13),IF($E$13="",9E+99,$E$13)),0),ROUNDUP(MIN(IF($D$13&gt;=1,MIN($D$13,G132),G132*$D$13),IF($E$13="",9E+99,$E$13)),0))))</f>
        <v/>
      </c>
      <c r="M132" s="20">
        <f>IF(G132="","",IF(OR($D$14="",$H$14="X",G132&lt;N($C$14)),0,IF(B132="G마켓",ROUNDDOWN(MIN(IF($D$14&gt;=1,MIN($D$14,G132),G132*$D$14),IF($E$14="",9E+99,$E$14)),0),ROUNDUP(MIN(IF($D$14&gt;=1,MIN($D$14,G132),G132*$D$14),IF($E$14="",9E+99,$E$14)),0))))</f>
        <v/>
      </c>
      <c r="N132" s="19">
        <f>IF(G132="","",G132-MAX(I132:M132))</f>
        <v/>
      </c>
      <c r="O132" s="20">
        <f>IF(N132="","",IF(OR($D$18="",$H$18="X",N132&lt;N($C$18)),0,IF(B132="G마켓",ROUNDDOWN(MIN(IF($D$18&gt;=1,MIN($D$18,N132),N132*$D$18),IF($E$18="",9E+99,$E$18)),0),ROUNDUP(MIN(IF($D$18&gt;=1,MIN($D$18,N132),N132*$D$18),IF($E$18="",9E+99,$E$18)),0))))</f>
        <v/>
      </c>
      <c r="P132" s="20">
        <f>IF(N132="","",IF(OR($D$19="",$H$19="X",N132&lt;N($C$19)),0,IF(B132="G마켓",ROUNDDOWN(MIN(IF($D$19&gt;=1,MIN($D$19,N132),N132*$D$19),IF($E$19="",9E+99,$E$19)),0),ROUNDUP(MIN(IF($D$19&gt;=1,MIN($D$19,N132),N132*$D$19),IF($E$19="",9E+99,$E$19)),0))))</f>
        <v/>
      </c>
      <c r="Q132" s="20">
        <f>IF(N132="","",IF(OR($D$20="",$H$20="X",N132&lt;N($C$20)),0,IF(B132="G마켓",ROUNDDOWN(MIN(IF($D$20&gt;=1,MIN($D$20,N132),N132*$D$20),IF($E$20="",9E+99,$E$20)),0),ROUNDUP(MIN(IF($D$20&gt;=1,MIN($D$20,N132),N132*$D$20),IF($E$20="",9E+99,$E$20)),0))))</f>
        <v/>
      </c>
      <c r="R132" s="20">
        <f>IF(N132="","",IF(OR($D$21="",$H$21="X",N132&lt;N($C$21)),0,IF(B132="G마켓",ROUNDDOWN(MIN(IF($D$21&gt;=1,MIN($D$21,N132),N132*$D$21),IF($E$21="",9E+99,$E$21)),0),ROUNDUP(MIN(IF($D$21&gt;=1,MIN($D$21,N132),N132*$D$21),IF($E$21="",9E+99,$E$21)),0))))</f>
        <v/>
      </c>
      <c r="S132" s="19">
        <f>IF(G132="","",N132-MAX(O132:R132))</f>
        <v/>
      </c>
      <c r="T132" s="20">
        <f>IF(S132="","",IF(OR($D$25="",S132&lt;N($C$25)),0,IF(B132="G마켓",ROUNDDOWN(MIN(IF($D$25&gt;=1,MIN($D$25,S132),S132*$D$25),IF($E$25="",9E+99,$E$25)),0),ROUNDUP(MIN(IF($D$25&gt;=1,MIN($D$25,S132),S132*$D$25),IF($E$25="",9E+99,$E$25)),0))))</f>
        <v/>
      </c>
      <c r="U132" s="20">
        <f>IF(S132="","",IF(OR($D$26="",S132&lt;N($C$26)),0,IF(B132="G마켓",ROUNDDOWN(MIN(IF($D$26&gt;=1,MIN($D$26,S132),S132*$D$26),IF($E$26="",9E+99,$E$26)),0),ROUNDUP(MIN(IF($D$26&gt;=1,MIN($D$26,S132),S132*$D$26),IF($E$26="",9E+99,$E$26)),0))))</f>
        <v/>
      </c>
      <c r="V132" s="20">
        <f>IF(S132="","",IF(OR($D$27="",S132&lt;N($C$27)),0,IF(B132="G마켓",ROUNDDOWN(MIN(IF($D$27&gt;=1,MIN($D$27,S132),S132*$D$27),IF($E$27="",9E+99,$E$27)),0),ROUNDUP(MIN(IF($D$27&gt;=1,MIN($D$27,S132),S132*$D$27),IF($E$27="",9E+99,$E$27)),0))))</f>
        <v/>
      </c>
      <c r="W132" s="19">
        <f>IF(G132="","",MAX(T132:V132))</f>
        <v/>
      </c>
      <c r="X132" s="21">
        <f>IF(G132="","",S132-W132)</f>
        <v/>
      </c>
      <c r="Y132" s="19">
        <f>IF(G132="","",IF(B132="G마켓",ROUNDDOWN(MAX(I132*N($G$10),J132*N($G$11),K132*N($G$12),L132*N($G$13),M132*N($G$14))+MAX(O132*N($G$18),P132*N($G$19),Q132*N($G$20),R132*N($G$21))+MAX(T132*N($G$25),U132*N($G$26),V132*N($G$27)),0),ROUNDUP(MAX(I132*N($G$10),J132*N($G$11),K132*N($G$12),L132*N($G$13),M132*N($G$14))+MAX(O132*N($G$18),P132*N($G$19),Q132*N($G$20),R132*N($G$21))+MAX(T132*N($G$25),U132*N($G$26),V132*N($G$27)),0)))</f>
        <v/>
      </c>
      <c r="Z132" s="21">
        <f>IF(G132="","",IF(B132="G마켓",ROUNDDOWN(G132-G132*$Q$6-Y132,0),ROUNDUP(G132-G132*$Q$6-Y132,0)))</f>
        <v/>
      </c>
    </row>
    <row r="133">
      <c r="B133" s="7" t="n"/>
      <c r="C133" s="7" t="n"/>
      <c r="D133" s="22" t="n"/>
      <c r="E133" s="23" t="n"/>
      <c r="F133" s="23" t="n"/>
      <c r="G133" s="19">
        <f>IF(E133="","",E133-N(F133))</f>
        <v/>
      </c>
      <c r="I133" s="20">
        <f>IF(G133="","",IF(OR($D$10="",$H$10="X",G133&lt;N($C$10)),0,IF(B133="G마켓",ROUNDDOWN(MIN(IF($D$10&gt;=1,MIN($D$10,G133),G133*$D$10),IF($E$10="",9E+99,$E$10)),0),ROUNDUP(MIN(IF($D$10&gt;=1,MIN($D$10,G133),G133*$D$10),IF($E$10="",9E+99,$E$10)),0))))</f>
        <v/>
      </c>
      <c r="J133" s="20">
        <f>IF(G133="","",IF(OR($D$11="",$H$11="X",G133&lt;N($C$11)),0,IF(B133="G마켓",ROUNDDOWN(MIN(IF($D$11&gt;=1,MIN($D$11,G133),G133*$D$11),IF($E$11="",9E+99,$E$11)),0),ROUNDUP(MIN(IF($D$11&gt;=1,MIN($D$11,G133),G133*$D$11),IF($E$11="",9E+99,$E$11)),0))))</f>
        <v/>
      </c>
      <c r="K133" s="20">
        <f>IF(G133="","",IF(OR($D$12="",$H$12="X",G133&lt;N($C$12)),0,IF(B133="G마켓",ROUNDDOWN(MIN(IF($D$12&gt;=1,MIN($D$12,G133),G133*$D$12),IF($E$12="",9E+99,$E$12)),0),ROUNDUP(MIN(IF($D$12&gt;=1,MIN($D$12,G133),G133*$D$12),IF($E$12="",9E+99,$E$12)),0))))</f>
        <v/>
      </c>
      <c r="L133" s="20">
        <f>IF(G133="","",IF(OR($D$13="",$H$13="X",G133&lt;N($C$13)),0,IF(B133="G마켓",ROUNDDOWN(MIN(IF($D$13&gt;=1,MIN($D$13,G133),G133*$D$13),IF($E$13="",9E+99,$E$13)),0),ROUNDUP(MIN(IF($D$13&gt;=1,MIN($D$13,G133),G133*$D$13),IF($E$13="",9E+99,$E$13)),0))))</f>
        <v/>
      </c>
      <c r="M133" s="20">
        <f>IF(G133="","",IF(OR($D$14="",$H$14="X",G133&lt;N($C$14)),0,IF(B133="G마켓",ROUNDDOWN(MIN(IF($D$14&gt;=1,MIN($D$14,G133),G133*$D$14),IF($E$14="",9E+99,$E$14)),0),ROUNDUP(MIN(IF($D$14&gt;=1,MIN($D$14,G133),G133*$D$14),IF($E$14="",9E+99,$E$14)),0))))</f>
        <v/>
      </c>
      <c r="N133" s="19">
        <f>IF(G133="","",G133-MAX(I133:M133))</f>
        <v/>
      </c>
      <c r="O133" s="20">
        <f>IF(N133="","",IF(OR($D$18="",$H$18="X",N133&lt;N($C$18)),0,IF(B133="G마켓",ROUNDDOWN(MIN(IF($D$18&gt;=1,MIN($D$18,N133),N133*$D$18),IF($E$18="",9E+99,$E$18)),0),ROUNDUP(MIN(IF($D$18&gt;=1,MIN($D$18,N133),N133*$D$18),IF($E$18="",9E+99,$E$18)),0))))</f>
        <v/>
      </c>
      <c r="P133" s="20">
        <f>IF(N133="","",IF(OR($D$19="",$H$19="X",N133&lt;N($C$19)),0,IF(B133="G마켓",ROUNDDOWN(MIN(IF($D$19&gt;=1,MIN($D$19,N133),N133*$D$19),IF($E$19="",9E+99,$E$19)),0),ROUNDUP(MIN(IF($D$19&gt;=1,MIN($D$19,N133),N133*$D$19),IF($E$19="",9E+99,$E$19)),0))))</f>
        <v/>
      </c>
      <c r="Q133" s="20">
        <f>IF(N133="","",IF(OR($D$20="",$H$20="X",N133&lt;N($C$20)),0,IF(B133="G마켓",ROUNDDOWN(MIN(IF($D$20&gt;=1,MIN($D$20,N133),N133*$D$20),IF($E$20="",9E+99,$E$20)),0),ROUNDUP(MIN(IF($D$20&gt;=1,MIN($D$20,N133),N133*$D$20),IF($E$20="",9E+99,$E$20)),0))))</f>
        <v/>
      </c>
      <c r="R133" s="20">
        <f>IF(N133="","",IF(OR($D$21="",$H$21="X",N133&lt;N($C$21)),0,IF(B133="G마켓",ROUNDDOWN(MIN(IF($D$21&gt;=1,MIN($D$21,N133),N133*$D$21),IF($E$21="",9E+99,$E$21)),0),ROUNDUP(MIN(IF($D$21&gt;=1,MIN($D$21,N133),N133*$D$21),IF($E$21="",9E+99,$E$21)),0))))</f>
        <v/>
      </c>
      <c r="S133" s="19">
        <f>IF(G133="","",N133-MAX(O133:R133))</f>
        <v/>
      </c>
      <c r="T133" s="20">
        <f>IF(S133="","",IF(OR($D$25="",S133&lt;N($C$25)),0,IF(B133="G마켓",ROUNDDOWN(MIN(IF($D$25&gt;=1,MIN($D$25,S133),S133*$D$25),IF($E$25="",9E+99,$E$25)),0),ROUNDUP(MIN(IF($D$25&gt;=1,MIN($D$25,S133),S133*$D$25),IF($E$25="",9E+99,$E$25)),0))))</f>
        <v/>
      </c>
      <c r="U133" s="20">
        <f>IF(S133="","",IF(OR($D$26="",S133&lt;N($C$26)),0,IF(B133="G마켓",ROUNDDOWN(MIN(IF($D$26&gt;=1,MIN($D$26,S133),S133*$D$26),IF($E$26="",9E+99,$E$26)),0),ROUNDUP(MIN(IF($D$26&gt;=1,MIN($D$26,S133),S133*$D$26),IF($E$26="",9E+99,$E$26)),0))))</f>
        <v/>
      </c>
      <c r="V133" s="20">
        <f>IF(S133="","",IF(OR($D$27="",S133&lt;N($C$27)),0,IF(B133="G마켓",ROUNDDOWN(MIN(IF($D$27&gt;=1,MIN($D$27,S133),S133*$D$27),IF($E$27="",9E+99,$E$27)),0),ROUNDUP(MIN(IF($D$27&gt;=1,MIN($D$27,S133),S133*$D$27),IF($E$27="",9E+99,$E$27)),0))))</f>
        <v/>
      </c>
      <c r="W133" s="19">
        <f>IF(G133="","",MAX(T133:V133))</f>
        <v/>
      </c>
      <c r="X133" s="21">
        <f>IF(G133="","",S133-W133)</f>
        <v/>
      </c>
      <c r="Y133" s="19">
        <f>IF(G133="","",IF(B133="G마켓",ROUNDDOWN(MAX(I133*N($G$10),J133*N($G$11),K133*N($G$12),L133*N($G$13),M133*N($G$14))+MAX(O133*N($G$18),P133*N($G$19),Q133*N($G$20),R133*N($G$21))+MAX(T133*N($G$25),U133*N($G$26),V133*N($G$27)),0),ROUNDUP(MAX(I133*N($G$10),J133*N($G$11),K133*N($G$12),L133*N($G$13),M133*N($G$14))+MAX(O133*N($G$18),P133*N($G$19),Q133*N($G$20),R133*N($G$21))+MAX(T133*N($G$25),U133*N($G$26),V133*N($G$27)),0)))</f>
        <v/>
      </c>
      <c r="Z133" s="21">
        <f>IF(G133="","",IF(B133="G마켓",ROUNDDOWN(G133-G133*$Q$6-Y133,0),ROUNDUP(G133-G133*$Q$6-Y133,0)))</f>
        <v/>
      </c>
    </row>
    <row r="134">
      <c r="B134" s="7" t="n"/>
      <c r="C134" s="7" t="n"/>
      <c r="D134" s="22" t="n"/>
      <c r="E134" s="23" t="n"/>
      <c r="F134" s="23" t="n"/>
      <c r="G134" s="19">
        <f>IF(E134="","",E134-N(F134))</f>
        <v/>
      </c>
      <c r="I134" s="20">
        <f>IF(G134="","",IF(OR($D$10="",$H$10="X",G134&lt;N($C$10)),0,IF(B134="G마켓",ROUNDDOWN(MIN(IF($D$10&gt;=1,MIN($D$10,G134),G134*$D$10),IF($E$10="",9E+99,$E$10)),0),ROUNDUP(MIN(IF($D$10&gt;=1,MIN($D$10,G134),G134*$D$10),IF($E$10="",9E+99,$E$10)),0))))</f>
        <v/>
      </c>
      <c r="J134" s="20">
        <f>IF(G134="","",IF(OR($D$11="",$H$11="X",G134&lt;N($C$11)),0,IF(B134="G마켓",ROUNDDOWN(MIN(IF($D$11&gt;=1,MIN($D$11,G134),G134*$D$11),IF($E$11="",9E+99,$E$11)),0),ROUNDUP(MIN(IF($D$11&gt;=1,MIN($D$11,G134),G134*$D$11),IF($E$11="",9E+99,$E$11)),0))))</f>
        <v/>
      </c>
      <c r="K134" s="20">
        <f>IF(G134="","",IF(OR($D$12="",$H$12="X",G134&lt;N($C$12)),0,IF(B134="G마켓",ROUNDDOWN(MIN(IF($D$12&gt;=1,MIN($D$12,G134),G134*$D$12),IF($E$12="",9E+99,$E$12)),0),ROUNDUP(MIN(IF($D$12&gt;=1,MIN($D$12,G134),G134*$D$12),IF($E$12="",9E+99,$E$12)),0))))</f>
        <v/>
      </c>
      <c r="L134" s="20">
        <f>IF(G134="","",IF(OR($D$13="",$H$13="X",G134&lt;N($C$13)),0,IF(B134="G마켓",ROUNDDOWN(MIN(IF($D$13&gt;=1,MIN($D$13,G134),G134*$D$13),IF($E$13="",9E+99,$E$13)),0),ROUNDUP(MIN(IF($D$13&gt;=1,MIN($D$13,G134),G134*$D$13),IF($E$13="",9E+99,$E$13)),0))))</f>
        <v/>
      </c>
      <c r="M134" s="20">
        <f>IF(G134="","",IF(OR($D$14="",$H$14="X",G134&lt;N($C$14)),0,IF(B134="G마켓",ROUNDDOWN(MIN(IF($D$14&gt;=1,MIN($D$14,G134),G134*$D$14),IF($E$14="",9E+99,$E$14)),0),ROUNDUP(MIN(IF($D$14&gt;=1,MIN($D$14,G134),G134*$D$14),IF($E$14="",9E+99,$E$14)),0))))</f>
        <v/>
      </c>
      <c r="N134" s="19">
        <f>IF(G134="","",G134-MAX(I134:M134))</f>
        <v/>
      </c>
      <c r="O134" s="20">
        <f>IF(N134="","",IF(OR($D$18="",$H$18="X",N134&lt;N($C$18)),0,IF(B134="G마켓",ROUNDDOWN(MIN(IF($D$18&gt;=1,MIN($D$18,N134),N134*$D$18),IF($E$18="",9E+99,$E$18)),0),ROUNDUP(MIN(IF($D$18&gt;=1,MIN($D$18,N134),N134*$D$18),IF($E$18="",9E+99,$E$18)),0))))</f>
        <v/>
      </c>
      <c r="P134" s="20">
        <f>IF(N134="","",IF(OR($D$19="",$H$19="X",N134&lt;N($C$19)),0,IF(B134="G마켓",ROUNDDOWN(MIN(IF($D$19&gt;=1,MIN($D$19,N134),N134*$D$19),IF($E$19="",9E+99,$E$19)),0),ROUNDUP(MIN(IF($D$19&gt;=1,MIN($D$19,N134),N134*$D$19),IF($E$19="",9E+99,$E$19)),0))))</f>
        <v/>
      </c>
      <c r="Q134" s="20">
        <f>IF(N134="","",IF(OR($D$20="",$H$20="X",N134&lt;N($C$20)),0,IF(B134="G마켓",ROUNDDOWN(MIN(IF($D$20&gt;=1,MIN($D$20,N134),N134*$D$20),IF($E$20="",9E+99,$E$20)),0),ROUNDUP(MIN(IF($D$20&gt;=1,MIN($D$20,N134),N134*$D$20),IF($E$20="",9E+99,$E$20)),0))))</f>
        <v/>
      </c>
      <c r="R134" s="20">
        <f>IF(N134="","",IF(OR($D$21="",$H$21="X",N134&lt;N($C$21)),0,IF(B134="G마켓",ROUNDDOWN(MIN(IF($D$21&gt;=1,MIN($D$21,N134),N134*$D$21),IF($E$21="",9E+99,$E$21)),0),ROUNDUP(MIN(IF($D$21&gt;=1,MIN($D$21,N134),N134*$D$21),IF($E$21="",9E+99,$E$21)),0))))</f>
        <v/>
      </c>
      <c r="S134" s="19">
        <f>IF(G134="","",N134-MAX(O134:R134))</f>
        <v/>
      </c>
      <c r="T134" s="20">
        <f>IF(S134="","",IF(OR($D$25="",S134&lt;N($C$25)),0,IF(B134="G마켓",ROUNDDOWN(MIN(IF($D$25&gt;=1,MIN($D$25,S134),S134*$D$25),IF($E$25="",9E+99,$E$25)),0),ROUNDUP(MIN(IF($D$25&gt;=1,MIN($D$25,S134),S134*$D$25),IF($E$25="",9E+99,$E$25)),0))))</f>
        <v/>
      </c>
      <c r="U134" s="20">
        <f>IF(S134="","",IF(OR($D$26="",S134&lt;N($C$26)),0,IF(B134="G마켓",ROUNDDOWN(MIN(IF($D$26&gt;=1,MIN($D$26,S134),S134*$D$26),IF($E$26="",9E+99,$E$26)),0),ROUNDUP(MIN(IF($D$26&gt;=1,MIN($D$26,S134),S134*$D$26),IF($E$26="",9E+99,$E$26)),0))))</f>
        <v/>
      </c>
      <c r="V134" s="20">
        <f>IF(S134="","",IF(OR($D$27="",S134&lt;N($C$27)),0,IF(B134="G마켓",ROUNDDOWN(MIN(IF($D$27&gt;=1,MIN($D$27,S134),S134*$D$27),IF($E$27="",9E+99,$E$27)),0),ROUNDUP(MIN(IF($D$27&gt;=1,MIN($D$27,S134),S134*$D$27),IF($E$27="",9E+99,$E$27)),0))))</f>
        <v/>
      </c>
      <c r="W134" s="19">
        <f>IF(G134="","",MAX(T134:V134))</f>
        <v/>
      </c>
      <c r="X134" s="21">
        <f>IF(G134="","",S134-W134)</f>
        <v/>
      </c>
      <c r="Y134" s="19">
        <f>IF(G134="","",IF(B134="G마켓",ROUNDDOWN(MAX(I134*N($G$10),J134*N($G$11),K134*N($G$12),L134*N($G$13),M134*N($G$14))+MAX(O134*N($G$18),P134*N($G$19),Q134*N($G$20),R134*N($G$21))+MAX(T134*N($G$25),U134*N($G$26),V134*N($G$27)),0),ROUNDUP(MAX(I134*N($G$10),J134*N($G$11),K134*N($G$12),L134*N($G$13),M134*N($G$14))+MAX(O134*N($G$18),P134*N($G$19),Q134*N($G$20),R134*N($G$21))+MAX(T134*N($G$25),U134*N($G$26),V134*N($G$27)),0)))</f>
        <v/>
      </c>
      <c r="Z134" s="21">
        <f>IF(G134="","",IF(B134="G마켓",ROUNDDOWN(G134-G134*$Q$6-Y134,0),ROUNDUP(G134-G134*$Q$6-Y134,0)))</f>
        <v/>
      </c>
    </row>
    <row r="135">
      <c r="B135" s="7" t="n"/>
      <c r="C135" s="7" t="n"/>
      <c r="D135" s="22" t="n"/>
      <c r="E135" s="23" t="n"/>
      <c r="F135" s="23" t="n"/>
      <c r="G135" s="19">
        <f>IF(E135="","",E135-N(F135))</f>
        <v/>
      </c>
      <c r="I135" s="20">
        <f>IF(G135="","",IF(OR($D$10="",$H$10="X",G135&lt;N($C$10)),0,IF(B135="G마켓",ROUNDDOWN(MIN(IF($D$10&gt;=1,MIN($D$10,G135),G135*$D$10),IF($E$10="",9E+99,$E$10)),0),ROUNDUP(MIN(IF($D$10&gt;=1,MIN($D$10,G135),G135*$D$10),IF($E$10="",9E+99,$E$10)),0))))</f>
        <v/>
      </c>
      <c r="J135" s="20">
        <f>IF(G135="","",IF(OR($D$11="",$H$11="X",G135&lt;N($C$11)),0,IF(B135="G마켓",ROUNDDOWN(MIN(IF($D$11&gt;=1,MIN($D$11,G135),G135*$D$11),IF($E$11="",9E+99,$E$11)),0),ROUNDUP(MIN(IF($D$11&gt;=1,MIN($D$11,G135),G135*$D$11),IF($E$11="",9E+99,$E$11)),0))))</f>
        <v/>
      </c>
      <c r="K135" s="20">
        <f>IF(G135="","",IF(OR($D$12="",$H$12="X",G135&lt;N($C$12)),0,IF(B135="G마켓",ROUNDDOWN(MIN(IF($D$12&gt;=1,MIN($D$12,G135),G135*$D$12),IF($E$12="",9E+99,$E$12)),0),ROUNDUP(MIN(IF($D$12&gt;=1,MIN($D$12,G135),G135*$D$12),IF($E$12="",9E+99,$E$12)),0))))</f>
        <v/>
      </c>
      <c r="L135" s="20">
        <f>IF(G135="","",IF(OR($D$13="",$H$13="X",G135&lt;N($C$13)),0,IF(B135="G마켓",ROUNDDOWN(MIN(IF($D$13&gt;=1,MIN($D$13,G135),G135*$D$13),IF($E$13="",9E+99,$E$13)),0),ROUNDUP(MIN(IF($D$13&gt;=1,MIN($D$13,G135),G135*$D$13),IF($E$13="",9E+99,$E$13)),0))))</f>
        <v/>
      </c>
      <c r="M135" s="20">
        <f>IF(G135="","",IF(OR($D$14="",$H$14="X",G135&lt;N($C$14)),0,IF(B135="G마켓",ROUNDDOWN(MIN(IF($D$14&gt;=1,MIN($D$14,G135),G135*$D$14),IF($E$14="",9E+99,$E$14)),0),ROUNDUP(MIN(IF($D$14&gt;=1,MIN($D$14,G135),G135*$D$14),IF($E$14="",9E+99,$E$14)),0))))</f>
        <v/>
      </c>
      <c r="N135" s="19">
        <f>IF(G135="","",G135-MAX(I135:M135))</f>
        <v/>
      </c>
      <c r="O135" s="20">
        <f>IF(N135="","",IF(OR($D$18="",$H$18="X",N135&lt;N($C$18)),0,IF(B135="G마켓",ROUNDDOWN(MIN(IF($D$18&gt;=1,MIN($D$18,N135),N135*$D$18),IF($E$18="",9E+99,$E$18)),0),ROUNDUP(MIN(IF($D$18&gt;=1,MIN($D$18,N135),N135*$D$18),IF($E$18="",9E+99,$E$18)),0))))</f>
        <v/>
      </c>
      <c r="P135" s="20">
        <f>IF(N135="","",IF(OR($D$19="",$H$19="X",N135&lt;N($C$19)),0,IF(B135="G마켓",ROUNDDOWN(MIN(IF($D$19&gt;=1,MIN($D$19,N135),N135*$D$19),IF($E$19="",9E+99,$E$19)),0),ROUNDUP(MIN(IF($D$19&gt;=1,MIN($D$19,N135),N135*$D$19),IF($E$19="",9E+99,$E$19)),0))))</f>
        <v/>
      </c>
      <c r="Q135" s="20">
        <f>IF(N135="","",IF(OR($D$20="",$H$20="X",N135&lt;N($C$20)),0,IF(B135="G마켓",ROUNDDOWN(MIN(IF($D$20&gt;=1,MIN($D$20,N135),N135*$D$20),IF($E$20="",9E+99,$E$20)),0),ROUNDUP(MIN(IF($D$20&gt;=1,MIN($D$20,N135),N135*$D$20),IF($E$20="",9E+99,$E$20)),0))))</f>
        <v/>
      </c>
      <c r="R135" s="20">
        <f>IF(N135="","",IF(OR($D$21="",$H$21="X",N135&lt;N($C$21)),0,IF(B135="G마켓",ROUNDDOWN(MIN(IF($D$21&gt;=1,MIN($D$21,N135),N135*$D$21),IF($E$21="",9E+99,$E$21)),0),ROUNDUP(MIN(IF($D$21&gt;=1,MIN($D$21,N135),N135*$D$21),IF($E$21="",9E+99,$E$21)),0))))</f>
        <v/>
      </c>
      <c r="S135" s="19">
        <f>IF(G135="","",N135-MAX(O135:R135))</f>
        <v/>
      </c>
      <c r="T135" s="20">
        <f>IF(S135="","",IF(OR($D$25="",S135&lt;N($C$25)),0,IF(B135="G마켓",ROUNDDOWN(MIN(IF($D$25&gt;=1,MIN($D$25,S135),S135*$D$25),IF($E$25="",9E+99,$E$25)),0),ROUNDUP(MIN(IF($D$25&gt;=1,MIN($D$25,S135),S135*$D$25),IF($E$25="",9E+99,$E$25)),0))))</f>
        <v/>
      </c>
      <c r="U135" s="20">
        <f>IF(S135="","",IF(OR($D$26="",S135&lt;N($C$26)),0,IF(B135="G마켓",ROUNDDOWN(MIN(IF($D$26&gt;=1,MIN($D$26,S135),S135*$D$26),IF($E$26="",9E+99,$E$26)),0),ROUNDUP(MIN(IF($D$26&gt;=1,MIN($D$26,S135),S135*$D$26),IF($E$26="",9E+99,$E$26)),0))))</f>
        <v/>
      </c>
      <c r="V135" s="20">
        <f>IF(S135="","",IF(OR($D$27="",S135&lt;N($C$27)),0,IF(B135="G마켓",ROUNDDOWN(MIN(IF($D$27&gt;=1,MIN($D$27,S135),S135*$D$27),IF($E$27="",9E+99,$E$27)),0),ROUNDUP(MIN(IF($D$27&gt;=1,MIN($D$27,S135),S135*$D$27),IF($E$27="",9E+99,$E$27)),0))))</f>
        <v/>
      </c>
      <c r="W135" s="19">
        <f>IF(G135="","",MAX(T135:V135))</f>
        <v/>
      </c>
      <c r="X135" s="21">
        <f>IF(G135="","",S135-W135)</f>
        <v/>
      </c>
      <c r="Y135" s="19">
        <f>IF(G135="","",IF(B135="G마켓",ROUNDDOWN(MAX(I135*N($G$10),J135*N($G$11),K135*N($G$12),L135*N($G$13),M135*N($G$14))+MAX(O135*N($G$18),P135*N($G$19),Q135*N($G$20),R135*N($G$21))+MAX(T135*N($G$25),U135*N($G$26),V135*N($G$27)),0),ROUNDUP(MAX(I135*N($G$10),J135*N($G$11),K135*N($G$12),L135*N($G$13),M135*N($G$14))+MAX(O135*N($G$18),P135*N($G$19),Q135*N($G$20),R135*N($G$21))+MAX(T135*N($G$25),U135*N($G$26),V135*N($G$27)),0)))</f>
        <v/>
      </c>
      <c r="Z135" s="21">
        <f>IF(G135="","",IF(B135="G마켓",ROUNDDOWN(G135-G135*$Q$6-Y135,0),ROUNDUP(G135-G135*$Q$6-Y135,0)))</f>
        <v/>
      </c>
    </row>
    <row r="136">
      <c r="B136" s="7" t="n"/>
      <c r="C136" s="7" t="n"/>
      <c r="D136" s="22" t="n"/>
      <c r="E136" s="23" t="n"/>
      <c r="F136" s="23" t="n"/>
      <c r="G136" s="19">
        <f>IF(E136="","",E136-N(F136))</f>
        <v/>
      </c>
      <c r="I136" s="20">
        <f>IF(G136="","",IF(OR($D$10="",$H$10="X",G136&lt;N($C$10)),0,IF(B136="G마켓",ROUNDDOWN(MIN(IF($D$10&gt;=1,MIN($D$10,G136),G136*$D$10),IF($E$10="",9E+99,$E$10)),0),ROUNDUP(MIN(IF($D$10&gt;=1,MIN($D$10,G136),G136*$D$10),IF($E$10="",9E+99,$E$10)),0))))</f>
        <v/>
      </c>
      <c r="J136" s="20">
        <f>IF(G136="","",IF(OR($D$11="",$H$11="X",G136&lt;N($C$11)),0,IF(B136="G마켓",ROUNDDOWN(MIN(IF($D$11&gt;=1,MIN($D$11,G136),G136*$D$11),IF($E$11="",9E+99,$E$11)),0),ROUNDUP(MIN(IF($D$11&gt;=1,MIN($D$11,G136),G136*$D$11),IF($E$11="",9E+99,$E$11)),0))))</f>
        <v/>
      </c>
      <c r="K136" s="20">
        <f>IF(G136="","",IF(OR($D$12="",$H$12="X",G136&lt;N($C$12)),0,IF(B136="G마켓",ROUNDDOWN(MIN(IF($D$12&gt;=1,MIN($D$12,G136),G136*$D$12),IF($E$12="",9E+99,$E$12)),0),ROUNDUP(MIN(IF($D$12&gt;=1,MIN($D$12,G136),G136*$D$12),IF($E$12="",9E+99,$E$12)),0))))</f>
        <v/>
      </c>
      <c r="L136" s="20">
        <f>IF(G136="","",IF(OR($D$13="",$H$13="X",G136&lt;N($C$13)),0,IF(B136="G마켓",ROUNDDOWN(MIN(IF($D$13&gt;=1,MIN($D$13,G136),G136*$D$13),IF($E$13="",9E+99,$E$13)),0),ROUNDUP(MIN(IF($D$13&gt;=1,MIN($D$13,G136),G136*$D$13),IF($E$13="",9E+99,$E$13)),0))))</f>
        <v/>
      </c>
      <c r="M136" s="20">
        <f>IF(G136="","",IF(OR($D$14="",$H$14="X",G136&lt;N($C$14)),0,IF(B136="G마켓",ROUNDDOWN(MIN(IF($D$14&gt;=1,MIN($D$14,G136),G136*$D$14),IF($E$14="",9E+99,$E$14)),0),ROUNDUP(MIN(IF($D$14&gt;=1,MIN($D$14,G136),G136*$D$14),IF($E$14="",9E+99,$E$14)),0))))</f>
        <v/>
      </c>
      <c r="N136" s="19">
        <f>IF(G136="","",G136-MAX(I136:M136))</f>
        <v/>
      </c>
      <c r="O136" s="20">
        <f>IF(N136="","",IF(OR($D$18="",$H$18="X",N136&lt;N($C$18)),0,IF(B136="G마켓",ROUNDDOWN(MIN(IF($D$18&gt;=1,MIN($D$18,N136),N136*$D$18),IF($E$18="",9E+99,$E$18)),0),ROUNDUP(MIN(IF($D$18&gt;=1,MIN($D$18,N136),N136*$D$18),IF($E$18="",9E+99,$E$18)),0))))</f>
        <v/>
      </c>
      <c r="P136" s="20">
        <f>IF(N136="","",IF(OR($D$19="",$H$19="X",N136&lt;N($C$19)),0,IF(B136="G마켓",ROUNDDOWN(MIN(IF($D$19&gt;=1,MIN($D$19,N136),N136*$D$19),IF($E$19="",9E+99,$E$19)),0),ROUNDUP(MIN(IF($D$19&gt;=1,MIN($D$19,N136),N136*$D$19),IF($E$19="",9E+99,$E$19)),0))))</f>
        <v/>
      </c>
      <c r="Q136" s="20">
        <f>IF(N136="","",IF(OR($D$20="",$H$20="X",N136&lt;N($C$20)),0,IF(B136="G마켓",ROUNDDOWN(MIN(IF($D$20&gt;=1,MIN($D$20,N136),N136*$D$20),IF($E$20="",9E+99,$E$20)),0),ROUNDUP(MIN(IF($D$20&gt;=1,MIN($D$20,N136),N136*$D$20),IF($E$20="",9E+99,$E$20)),0))))</f>
        <v/>
      </c>
      <c r="R136" s="20">
        <f>IF(N136="","",IF(OR($D$21="",$H$21="X",N136&lt;N($C$21)),0,IF(B136="G마켓",ROUNDDOWN(MIN(IF($D$21&gt;=1,MIN($D$21,N136),N136*$D$21),IF($E$21="",9E+99,$E$21)),0),ROUNDUP(MIN(IF($D$21&gt;=1,MIN($D$21,N136),N136*$D$21),IF($E$21="",9E+99,$E$21)),0))))</f>
        <v/>
      </c>
      <c r="S136" s="19">
        <f>IF(G136="","",N136-MAX(O136:R136))</f>
        <v/>
      </c>
      <c r="T136" s="20">
        <f>IF(S136="","",IF(OR($D$25="",S136&lt;N($C$25)),0,IF(B136="G마켓",ROUNDDOWN(MIN(IF($D$25&gt;=1,MIN($D$25,S136),S136*$D$25),IF($E$25="",9E+99,$E$25)),0),ROUNDUP(MIN(IF($D$25&gt;=1,MIN($D$25,S136),S136*$D$25),IF($E$25="",9E+99,$E$25)),0))))</f>
        <v/>
      </c>
      <c r="U136" s="20">
        <f>IF(S136="","",IF(OR($D$26="",S136&lt;N($C$26)),0,IF(B136="G마켓",ROUNDDOWN(MIN(IF($D$26&gt;=1,MIN($D$26,S136),S136*$D$26),IF($E$26="",9E+99,$E$26)),0),ROUNDUP(MIN(IF($D$26&gt;=1,MIN($D$26,S136),S136*$D$26),IF($E$26="",9E+99,$E$26)),0))))</f>
        <v/>
      </c>
      <c r="V136" s="20">
        <f>IF(S136="","",IF(OR($D$27="",S136&lt;N($C$27)),0,IF(B136="G마켓",ROUNDDOWN(MIN(IF($D$27&gt;=1,MIN($D$27,S136),S136*$D$27),IF($E$27="",9E+99,$E$27)),0),ROUNDUP(MIN(IF($D$27&gt;=1,MIN($D$27,S136),S136*$D$27),IF($E$27="",9E+99,$E$27)),0))))</f>
        <v/>
      </c>
      <c r="W136" s="19">
        <f>IF(G136="","",MAX(T136:V136))</f>
        <v/>
      </c>
      <c r="X136" s="21">
        <f>IF(G136="","",S136-W136)</f>
        <v/>
      </c>
      <c r="Y136" s="19">
        <f>IF(G136="","",IF(B136="G마켓",ROUNDDOWN(MAX(I136*N($G$10),J136*N($G$11),K136*N($G$12),L136*N($G$13),M136*N($G$14))+MAX(O136*N($G$18),P136*N($G$19),Q136*N($G$20),R136*N($G$21))+MAX(T136*N($G$25),U136*N($G$26),V136*N($G$27)),0),ROUNDUP(MAX(I136*N($G$10),J136*N($G$11),K136*N($G$12),L136*N($G$13),M136*N($G$14))+MAX(O136*N($G$18),P136*N($G$19),Q136*N($G$20),R136*N($G$21))+MAX(T136*N($G$25),U136*N($G$26),V136*N($G$27)),0)))</f>
        <v/>
      </c>
      <c r="Z136" s="21">
        <f>IF(G136="","",IF(B136="G마켓",ROUNDDOWN(G136-G136*$Q$6-Y136,0),ROUNDUP(G136-G136*$Q$6-Y136,0)))</f>
        <v/>
      </c>
    </row>
    <row r="137">
      <c r="B137" s="7" t="n"/>
      <c r="C137" s="7" t="n"/>
      <c r="D137" s="22" t="n"/>
      <c r="E137" s="23" t="n"/>
      <c r="F137" s="23" t="n"/>
      <c r="G137" s="19">
        <f>IF(E137="","",E137-N(F137))</f>
        <v/>
      </c>
      <c r="I137" s="20">
        <f>IF(G137="","",IF(OR($D$10="",$H$10="X",G137&lt;N($C$10)),0,IF(B137="G마켓",ROUNDDOWN(MIN(IF($D$10&gt;=1,MIN($D$10,G137),G137*$D$10),IF($E$10="",9E+99,$E$10)),0),ROUNDUP(MIN(IF($D$10&gt;=1,MIN($D$10,G137),G137*$D$10),IF($E$10="",9E+99,$E$10)),0))))</f>
        <v/>
      </c>
      <c r="J137" s="20">
        <f>IF(G137="","",IF(OR($D$11="",$H$11="X",G137&lt;N($C$11)),0,IF(B137="G마켓",ROUNDDOWN(MIN(IF($D$11&gt;=1,MIN($D$11,G137),G137*$D$11),IF($E$11="",9E+99,$E$11)),0),ROUNDUP(MIN(IF($D$11&gt;=1,MIN($D$11,G137),G137*$D$11),IF($E$11="",9E+99,$E$11)),0))))</f>
        <v/>
      </c>
      <c r="K137" s="20">
        <f>IF(G137="","",IF(OR($D$12="",$H$12="X",G137&lt;N($C$12)),0,IF(B137="G마켓",ROUNDDOWN(MIN(IF($D$12&gt;=1,MIN($D$12,G137),G137*$D$12),IF($E$12="",9E+99,$E$12)),0),ROUNDUP(MIN(IF($D$12&gt;=1,MIN($D$12,G137),G137*$D$12),IF($E$12="",9E+99,$E$12)),0))))</f>
        <v/>
      </c>
      <c r="L137" s="20">
        <f>IF(G137="","",IF(OR($D$13="",$H$13="X",G137&lt;N($C$13)),0,IF(B137="G마켓",ROUNDDOWN(MIN(IF($D$13&gt;=1,MIN($D$13,G137),G137*$D$13),IF($E$13="",9E+99,$E$13)),0),ROUNDUP(MIN(IF($D$13&gt;=1,MIN($D$13,G137),G137*$D$13),IF($E$13="",9E+99,$E$13)),0))))</f>
        <v/>
      </c>
      <c r="M137" s="20">
        <f>IF(G137="","",IF(OR($D$14="",$H$14="X",G137&lt;N($C$14)),0,IF(B137="G마켓",ROUNDDOWN(MIN(IF($D$14&gt;=1,MIN($D$14,G137),G137*$D$14),IF($E$14="",9E+99,$E$14)),0),ROUNDUP(MIN(IF($D$14&gt;=1,MIN($D$14,G137),G137*$D$14),IF($E$14="",9E+99,$E$14)),0))))</f>
        <v/>
      </c>
      <c r="N137" s="19">
        <f>IF(G137="","",G137-MAX(I137:M137))</f>
        <v/>
      </c>
      <c r="O137" s="20">
        <f>IF(N137="","",IF(OR($D$18="",$H$18="X",N137&lt;N($C$18)),0,IF(B137="G마켓",ROUNDDOWN(MIN(IF($D$18&gt;=1,MIN($D$18,N137),N137*$D$18),IF($E$18="",9E+99,$E$18)),0),ROUNDUP(MIN(IF($D$18&gt;=1,MIN($D$18,N137),N137*$D$18),IF($E$18="",9E+99,$E$18)),0))))</f>
        <v/>
      </c>
      <c r="P137" s="20">
        <f>IF(N137="","",IF(OR($D$19="",$H$19="X",N137&lt;N($C$19)),0,IF(B137="G마켓",ROUNDDOWN(MIN(IF($D$19&gt;=1,MIN($D$19,N137),N137*$D$19),IF($E$19="",9E+99,$E$19)),0),ROUNDUP(MIN(IF($D$19&gt;=1,MIN($D$19,N137),N137*$D$19),IF($E$19="",9E+99,$E$19)),0))))</f>
        <v/>
      </c>
      <c r="Q137" s="20">
        <f>IF(N137="","",IF(OR($D$20="",$H$20="X",N137&lt;N($C$20)),0,IF(B137="G마켓",ROUNDDOWN(MIN(IF($D$20&gt;=1,MIN($D$20,N137),N137*$D$20),IF($E$20="",9E+99,$E$20)),0),ROUNDUP(MIN(IF($D$20&gt;=1,MIN($D$20,N137),N137*$D$20),IF($E$20="",9E+99,$E$20)),0))))</f>
        <v/>
      </c>
      <c r="R137" s="20">
        <f>IF(N137="","",IF(OR($D$21="",$H$21="X",N137&lt;N($C$21)),0,IF(B137="G마켓",ROUNDDOWN(MIN(IF($D$21&gt;=1,MIN($D$21,N137),N137*$D$21),IF($E$21="",9E+99,$E$21)),0),ROUNDUP(MIN(IF($D$21&gt;=1,MIN($D$21,N137),N137*$D$21),IF($E$21="",9E+99,$E$21)),0))))</f>
        <v/>
      </c>
      <c r="S137" s="19">
        <f>IF(G137="","",N137-MAX(O137:R137))</f>
        <v/>
      </c>
      <c r="T137" s="20">
        <f>IF(S137="","",IF(OR($D$25="",S137&lt;N($C$25)),0,IF(B137="G마켓",ROUNDDOWN(MIN(IF($D$25&gt;=1,MIN($D$25,S137),S137*$D$25),IF($E$25="",9E+99,$E$25)),0),ROUNDUP(MIN(IF($D$25&gt;=1,MIN($D$25,S137),S137*$D$25),IF($E$25="",9E+99,$E$25)),0))))</f>
        <v/>
      </c>
      <c r="U137" s="20">
        <f>IF(S137="","",IF(OR($D$26="",S137&lt;N($C$26)),0,IF(B137="G마켓",ROUNDDOWN(MIN(IF($D$26&gt;=1,MIN($D$26,S137),S137*$D$26),IF($E$26="",9E+99,$E$26)),0),ROUNDUP(MIN(IF($D$26&gt;=1,MIN($D$26,S137),S137*$D$26),IF($E$26="",9E+99,$E$26)),0))))</f>
        <v/>
      </c>
      <c r="V137" s="20">
        <f>IF(S137="","",IF(OR($D$27="",S137&lt;N($C$27)),0,IF(B137="G마켓",ROUNDDOWN(MIN(IF($D$27&gt;=1,MIN($D$27,S137),S137*$D$27),IF($E$27="",9E+99,$E$27)),0),ROUNDUP(MIN(IF($D$27&gt;=1,MIN($D$27,S137),S137*$D$27),IF($E$27="",9E+99,$E$27)),0))))</f>
        <v/>
      </c>
      <c r="W137" s="19">
        <f>IF(G137="","",MAX(T137:V137))</f>
        <v/>
      </c>
      <c r="X137" s="21">
        <f>IF(G137="","",S137-W137)</f>
        <v/>
      </c>
      <c r="Y137" s="19">
        <f>IF(G137="","",IF(B137="G마켓",ROUNDDOWN(MAX(I137*N($G$10),J137*N($G$11),K137*N($G$12),L137*N($G$13),M137*N($G$14))+MAX(O137*N($G$18),P137*N($G$19),Q137*N($G$20),R137*N($G$21))+MAX(T137*N($G$25),U137*N($G$26),V137*N($G$27)),0),ROUNDUP(MAX(I137*N($G$10),J137*N($G$11),K137*N($G$12),L137*N($G$13),M137*N($G$14))+MAX(O137*N($G$18),P137*N($G$19),Q137*N($G$20),R137*N($G$21))+MAX(T137*N($G$25),U137*N($G$26),V137*N($G$27)),0)))</f>
        <v/>
      </c>
      <c r="Z137" s="21">
        <f>IF(G137="","",IF(B137="G마켓",ROUNDDOWN(G137-G137*$Q$6-Y137,0),ROUNDUP(G137-G137*$Q$6-Y137,0)))</f>
        <v/>
      </c>
    </row>
    <row r="138">
      <c r="B138" s="7" t="n"/>
      <c r="C138" s="7" t="n"/>
      <c r="D138" s="22" t="n"/>
      <c r="E138" s="23" t="n"/>
      <c r="F138" s="23" t="n"/>
      <c r="G138" s="19">
        <f>IF(E138="","",E138-N(F138))</f>
        <v/>
      </c>
      <c r="I138" s="20">
        <f>IF(G138="","",IF(OR($D$10="",$H$10="X",G138&lt;N($C$10)),0,IF(B138="G마켓",ROUNDDOWN(MIN(IF($D$10&gt;=1,MIN($D$10,G138),G138*$D$10),IF($E$10="",9E+99,$E$10)),0),ROUNDUP(MIN(IF($D$10&gt;=1,MIN($D$10,G138),G138*$D$10),IF($E$10="",9E+99,$E$10)),0))))</f>
        <v/>
      </c>
      <c r="J138" s="20">
        <f>IF(G138="","",IF(OR($D$11="",$H$11="X",G138&lt;N($C$11)),0,IF(B138="G마켓",ROUNDDOWN(MIN(IF($D$11&gt;=1,MIN($D$11,G138),G138*$D$11),IF($E$11="",9E+99,$E$11)),0),ROUNDUP(MIN(IF($D$11&gt;=1,MIN($D$11,G138),G138*$D$11),IF($E$11="",9E+99,$E$11)),0))))</f>
        <v/>
      </c>
      <c r="K138" s="20">
        <f>IF(G138="","",IF(OR($D$12="",$H$12="X",G138&lt;N($C$12)),0,IF(B138="G마켓",ROUNDDOWN(MIN(IF($D$12&gt;=1,MIN($D$12,G138),G138*$D$12),IF($E$12="",9E+99,$E$12)),0),ROUNDUP(MIN(IF($D$12&gt;=1,MIN($D$12,G138),G138*$D$12),IF($E$12="",9E+99,$E$12)),0))))</f>
        <v/>
      </c>
      <c r="L138" s="20">
        <f>IF(G138="","",IF(OR($D$13="",$H$13="X",G138&lt;N($C$13)),0,IF(B138="G마켓",ROUNDDOWN(MIN(IF($D$13&gt;=1,MIN($D$13,G138),G138*$D$13),IF($E$13="",9E+99,$E$13)),0),ROUNDUP(MIN(IF($D$13&gt;=1,MIN($D$13,G138),G138*$D$13),IF($E$13="",9E+99,$E$13)),0))))</f>
        <v/>
      </c>
      <c r="M138" s="20">
        <f>IF(G138="","",IF(OR($D$14="",$H$14="X",G138&lt;N($C$14)),0,IF(B138="G마켓",ROUNDDOWN(MIN(IF($D$14&gt;=1,MIN($D$14,G138),G138*$D$14),IF($E$14="",9E+99,$E$14)),0),ROUNDUP(MIN(IF($D$14&gt;=1,MIN($D$14,G138),G138*$D$14),IF($E$14="",9E+99,$E$14)),0))))</f>
        <v/>
      </c>
      <c r="N138" s="19">
        <f>IF(G138="","",G138-MAX(I138:M138))</f>
        <v/>
      </c>
      <c r="O138" s="20">
        <f>IF(N138="","",IF(OR($D$18="",$H$18="X",N138&lt;N($C$18)),0,IF(B138="G마켓",ROUNDDOWN(MIN(IF($D$18&gt;=1,MIN($D$18,N138),N138*$D$18),IF($E$18="",9E+99,$E$18)),0),ROUNDUP(MIN(IF($D$18&gt;=1,MIN($D$18,N138),N138*$D$18),IF($E$18="",9E+99,$E$18)),0))))</f>
        <v/>
      </c>
      <c r="P138" s="20">
        <f>IF(N138="","",IF(OR($D$19="",$H$19="X",N138&lt;N($C$19)),0,IF(B138="G마켓",ROUNDDOWN(MIN(IF($D$19&gt;=1,MIN($D$19,N138),N138*$D$19),IF($E$19="",9E+99,$E$19)),0),ROUNDUP(MIN(IF($D$19&gt;=1,MIN($D$19,N138),N138*$D$19),IF($E$19="",9E+99,$E$19)),0))))</f>
        <v/>
      </c>
      <c r="Q138" s="20">
        <f>IF(N138="","",IF(OR($D$20="",$H$20="X",N138&lt;N($C$20)),0,IF(B138="G마켓",ROUNDDOWN(MIN(IF($D$20&gt;=1,MIN($D$20,N138),N138*$D$20),IF($E$20="",9E+99,$E$20)),0),ROUNDUP(MIN(IF($D$20&gt;=1,MIN($D$20,N138),N138*$D$20),IF($E$20="",9E+99,$E$20)),0))))</f>
        <v/>
      </c>
      <c r="R138" s="20">
        <f>IF(N138="","",IF(OR($D$21="",$H$21="X",N138&lt;N($C$21)),0,IF(B138="G마켓",ROUNDDOWN(MIN(IF($D$21&gt;=1,MIN($D$21,N138),N138*$D$21),IF($E$21="",9E+99,$E$21)),0),ROUNDUP(MIN(IF($D$21&gt;=1,MIN($D$21,N138),N138*$D$21),IF($E$21="",9E+99,$E$21)),0))))</f>
        <v/>
      </c>
      <c r="S138" s="19">
        <f>IF(G138="","",N138-MAX(O138:R138))</f>
        <v/>
      </c>
      <c r="T138" s="20">
        <f>IF(S138="","",IF(OR($D$25="",S138&lt;N($C$25)),0,IF(B138="G마켓",ROUNDDOWN(MIN(IF($D$25&gt;=1,MIN($D$25,S138),S138*$D$25),IF($E$25="",9E+99,$E$25)),0),ROUNDUP(MIN(IF($D$25&gt;=1,MIN($D$25,S138),S138*$D$25),IF($E$25="",9E+99,$E$25)),0))))</f>
        <v/>
      </c>
      <c r="U138" s="20">
        <f>IF(S138="","",IF(OR($D$26="",S138&lt;N($C$26)),0,IF(B138="G마켓",ROUNDDOWN(MIN(IF($D$26&gt;=1,MIN($D$26,S138),S138*$D$26),IF($E$26="",9E+99,$E$26)),0),ROUNDUP(MIN(IF($D$26&gt;=1,MIN($D$26,S138),S138*$D$26),IF($E$26="",9E+99,$E$26)),0))))</f>
        <v/>
      </c>
      <c r="V138" s="20">
        <f>IF(S138="","",IF(OR($D$27="",S138&lt;N($C$27)),0,IF(B138="G마켓",ROUNDDOWN(MIN(IF($D$27&gt;=1,MIN($D$27,S138),S138*$D$27),IF($E$27="",9E+99,$E$27)),0),ROUNDUP(MIN(IF($D$27&gt;=1,MIN($D$27,S138),S138*$D$27),IF($E$27="",9E+99,$E$27)),0))))</f>
        <v/>
      </c>
      <c r="W138" s="19">
        <f>IF(G138="","",MAX(T138:V138))</f>
        <v/>
      </c>
      <c r="X138" s="21">
        <f>IF(G138="","",S138-W138)</f>
        <v/>
      </c>
      <c r="Y138" s="19">
        <f>IF(G138="","",IF(B138="G마켓",ROUNDDOWN(MAX(I138*N($G$10),J138*N($G$11),K138*N($G$12),L138*N($G$13),M138*N($G$14))+MAX(O138*N($G$18),P138*N($G$19),Q138*N($G$20),R138*N($G$21))+MAX(T138*N($G$25),U138*N($G$26),V138*N($G$27)),0),ROUNDUP(MAX(I138*N($G$10),J138*N($G$11),K138*N($G$12),L138*N($G$13),M138*N($G$14))+MAX(O138*N($G$18),P138*N($G$19),Q138*N($G$20),R138*N($G$21))+MAX(T138*N($G$25),U138*N($G$26),V138*N($G$27)),0)))</f>
        <v/>
      </c>
      <c r="Z138" s="21">
        <f>IF(G138="","",IF(B138="G마켓",ROUNDDOWN(G138-G138*$Q$6-Y138,0),ROUNDUP(G138-G138*$Q$6-Y138,0)))</f>
        <v/>
      </c>
    </row>
    <row r="139">
      <c r="B139" s="7" t="n"/>
      <c r="C139" s="7" t="n"/>
      <c r="D139" s="22" t="n"/>
      <c r="E139" s="23" t="n"/>
      <c r="F139" s="23" t="n"/>
      <c r="G139" s="19">
        <f>IF(E139="","",E139-N(F139))</f>
        <v/>
      </c>
      <c r="I139" s="20">
        <f>IF(G139="","",IF(OR($D$10="",$H$10="X",G139&lt;N($C$10)),0,IF(B139="G마켓",ROUNDDOWN(MIN(IF($D$10&gt;=1,MIN($D$10,G139),G139*$D$10),IF($E$10="",9E+99,$E$10)),0),ROUNDUP(MIN(IF($D$10&gt;=1,MIN($D$10,G139),G139*$D$10),IF($E$10="",9E+99,$E$10)),0))))</f>
        <v/>
      </c>
      <c r="J139" s="20">
        <f>IF(G139="","",IF(OR($D$11="",$H$11="X",G139&lt;N($C$11)),0,IF(B139="G마켓",ROUNDDOWN(MIN(IF($D$11&gt;=1,MIN($D$11,G139),G139*$D$11),IF($E$11="",9E+99,$E$11)),0),ROUNDUP(MIN(IF($D$11&gt;=1,MIN($D$11,G139),G139*$D$11),IF($E$11="",9E+99,$E$11)),0))))</f>
        <v/>
      </c>
      <c r="K139" s="20">
        <f>IF(G139="","",IF(OR($D$12="",$H$12="X",G139&lt;N($C$12)),0,IF(B139="G마켓",ROUNDDOWN(MIN(IF($D$12&gt;=1,MIN($D$12,G139),G139*$D$12),IF($E$12="",9E+99,$E$12)),0),ROUNDUP(MIN(IF($D$12&gt;=1,MIN($D$12,G139),G139*$D$12),IF($E$12="",9E+99,$E$12)),0))))</f>
        <v/>
      </c>
      <c r="L139" s="20">
        <f>IF(G139="","",IF(OR($D$13="",$H$13="X",G139&lt;N($C$13)),0,IF(B139="G마켓",ROUNDDOWN(MIN(IF($D$13&gt;=1,MIN($D$13,G139),G139*$D$13),IF($E$13="",9E+99,$E$13)),0),ROUNDUP(MIN(IF($D$13&gt;=1,MIN($D$13,G139),G139*$D$13),IF($E$13="",9E+99,$E$13)),0))))</f>
        <v/>
      </c>
      <c r="M139" s="20">
        <f>IF(G139="","",IF(OR($D$14="",$H$14="X",G139&lt;N($C$14)),0,IF(B139="G마켓",ROUNDDOWN(MIN(IF($D$14&gt;=1,MIN($D$14,G139),G139*$D$14),IF($E$14="",9E+99,$E$14)),0),ROUNDUP(MIN(IF($D$14&gt;=1,MIN($D$14,G139),G139*$D$14),IF($E$14="",9E+99,$E$14)),0))))</f>
        <v/>
      </c>
      <c r="N139" s="19">
        <f>IF(G139="","",G139-MAX(I139:M139))</f>
        <v/>
      </c>
      <c r="O139" s="20">
        <f>IF(N139="","",IF(OR($D$18="",$H$18="X",N139&lt;N($C$18)),0,IF(B139="G마켓",ROUNDDOWN(MIN(IF($D$18&gt;=1,MIN($D$18,N139),N139*$D$18),IF($E$18="",9E+99,$E$18)),0),ROUNDUP(MIN(IF($D$18&gt;=1,MIN($D$18,N139),N139*$D$18),IF($E$18="",9E+99,$E$18)),0))))</f>
        <v/>
      </c>
      <c r="P139" s="20">
        <f>IF(N139="","",IF(OR($D$19="",$H$19="X",N139&lt;N($C$19)),0,IF(B139="G마켓",ROUNDDOWN(MIN(IF($D$19&gt;=1,MIN($D$19,N139),N139*$D$19),IF($E$19="",9E+99,$E$19)),0),ROUNDUP(MIN(IF($D$19&gt;=1,MIN($D$19,N139),N139*$D$19),IF($E$19="",9E+99,$E$19)),0))))</f>
        <v/>
      </c>
      <c r="Q139" s="20">
        <f>IF(N139="","",IF(OR($D$20="",$H$20="X",N139&lt;N($C$20)),0,IF(B139="G마켓",ROUNDDOWN(MIN(IF($D$20&gt;=1,MIN($D$20,N139),N139*$D$20),IF($E$20="",9E+99,$E$20)),0),ROUNDUP(MIN(IF($D$20&gt;=1,MIN($D$20,N139),N139*$D$20),IF($E$20="",9E+99,$E$20)),0))))</f>
        <v/>
      </c>
      <c r="R139" s="20">
        <f>IF(N139="","",IF(OR($D$21="",$H$21="X",N139&lt;N($C$21)),0,IF(B139="G마켓",ROUNDDOWN(MIN(IF($D$21&gt;=1,MIN($D$21,N139),N139*$D$21),IF($E$21="",9E+99,$E$21)),0),ROUNDUP(MIN(IF($D$21&gt;=1,MIN($D$21,N139),N139*$D$21),IF($E$21="",9E+99,$E$21)),0))))</f>
        <v/>
      </c>
      <c r="S139" s="19">
        <f>IF(G139="","",N139-MAX(O139:R139))</f>
        <v/>
      </c>
      <c r="T139" s="20">
        <f>IF(S139="","",IF(OR($D$25="",S139&lt;N($C$25)),0,IF(B139="G마켓",ROUNDDOWN(MIN(IF($D$25&gt;=1,MIN($D$25,S139),S139*$D$25),IF($E$25="",9E+99,$E$25)),0),ROUNDUP(MIN(IF($D$25&gt;=1,MIN($D$25,S139),S139*$D$25),IF($E$25="",9E+99,$E$25)),0))))</f>
        <v/>
      </c>
      <c r="U139" s="20">
        <f>IF(S139="","",IF(OR($D$26="",S139&lt;N($C$26)),0,IF(B139="G마켓",ROUNDDOWN(MIN(IF($D$26&gt;=1,MIN($D$26,S139),S139*$D$26),IF($E$26="",9E+99,$E$26)),0),ROUNDUP(MIN(IF($D$26&gt;=1,MIN($D$26,S139),S139*$D$26),IF($E$26="",9E+99,$E$26)),0))))</f>
        <v/>
      </c>
      <c r="V139" s="20">
        <f>IF(S139="","",IF(OR($D$27="",S139&lt;N($C$27)),0,IF(B139="G마켓",ROUNDDOWN(MIN(IF($D$27&gt;=1,MIN($D$27,S139),S139*$D$27),IF($E$27="",9E+99,$E$27)),0),ROUNDUP(MIN(IF($D$27&gt;=1,MIN($D$27,S139),S139*$D$27),IF($E$27="",9E+99,$E$27)),0))))</f>
        <v/>
      </c>
      <c r="W139" s="19">
        <f>IF(G139="","",MAX(T139:V139))</f>
        <v/>
      </c>
      <c r="X139" s="21">
        <f>IF(G139="","",S139-W139)</f>
        <v/>
      </c>
      <c r="Y139" s="19">
        <f>IF(G139="","",IF(B139="G마켓",ROUNDDOWN(MAX(I139*N($G$10),J139*N($G$11),K139*N($G$12),L139*N($G$13),M139*N($G$14))+MAX(O139*N($G$18),P139*N($G$19),Q139*N($G$20),R139*N($G$21))+MAX(T139*N($G$25),U139*N($G$26),V139*N($G$27)),0),ROUNDUP(MAX(I139*N($G$10),J139*N($G$11),K139*N($G$12),L139*N($G$13),M139*N($G$14))+MAX(O139*N($G$18),P139*N($G$19),Q139*N($G$20),R139*N($G$21))+MAX(T139*N($G$25),U139*N($G$26),V139*N($G$27)),0)))</f>
        <v/>
      </c>
      <c r="Z139" s="21">
        <f>IF(G139="","",IF(B139="G마켓",ROUNDDOWN(G139-G139*$Q$6-Y139,0),ROUNDUP(G139-G139*$Q$6-Y139,0)))</f>
        <v/>
      </c>
    </row>
    <row r="140">
      <c r="B140" s="7" t="n"/>
      <c r="C140" s="7" t="n"/>
      <c r="D140" s="22" t="n"/>
      <c r="E140" s="23" t="n"/>
      <c r="F140" s="23" t="n"/>
      <c r="G140" s="19">
        <f>IF(E140="","",E140-N(F140))</f>
        <v/>
      </c>
      <c r="I140" s="20">
        <f>IF(G140="","",IF(OR($D$10="",$H$10="X",G140&lt;N($C$10)),0,IF(B140="G마켓",ROUNDDOWN(MIN(IF($D$10&gt;=1,MIN($D$10,G140),G140*$D$10),IF($E$10="",9E+99,$E$10)),0),ROUNDUP(MIN(IF($D$10&gt;=1,MIN($D$10,G140),G140*$D$10),IF($E$10="",9E+99,$E$10)),0))))</f>
        <v/>
      </c>
      <c r="J140" s="20">
        <f>IF(G140="","",IF(OR($D$11="",$H$11="X",G140&lt;N($C$11)),0,IF(B140="G마켓",ROUNDDOWN(MIN(IF($D$11&gt;=1,MIN($D$11,G140),G140*$D$11),IF($E$11="",9E+99,$E$11)),0),ROUNDUP(MIN(IF($D$11&gt;=1,MIN($D$11,G140),G140*$D$11),IF($E$11="",9E+99,$E$11)),0))))</f>
        <v/>
      </c>
      <c r="K140" s="20">
        <f>IF(G140="","",IF(OR($D$12="",$H$12="X",G140&lt;N($C$12)),0,IF(B140="G마켓",ROUNDDOWN(MIN(IF($D$12&gt;=1,MIN($D$12,G140),G140*$D$12),IF($E$12="",9E+99,$E$12)),0),ROUNDUP(MIN(IF($D$12&gt;=1,MIN($D$12,G140),G140*$D$12),IF($E$12="",9E+99,$E$12)),0))))</f>
        <v/>
      </c>
      <c r="L140" s="20">
        <f>IF(G140="","",IF(OR($D$13="",$H$13="X",G140&lt;N($C$13)),0,IF(B140="G마켓",ROUNDDOWN(MIN(IF($D$13&gt;=1,MIN($D$13,G140),G140*$D$13),IF($E$13="",9E+99,$E$13)),0),ROUNDUP(MIN(IF($D$13&gt;=1,MIN($D$13,G140),G140*$D$13),IF($E$13="",9E+99,$E$13)),0))))</f>
        <v/>
      </c>
      <c r="M140" s="20">
        <f>IF(G140="","",IF(OR($D$14="",$H$14="X",G140&lt;N($C$14)),0,IF(B140="G마켓",ROUNDDOWN(MIN(IF($D$14&gt;=1,MIN($D$14,G140),G140*$D$14),IF($E$14="",9E+99,$E$14)),0),ROUNDUP(MIN(IF($D$14&gt;=1,MIN($D$14,G140),G140*$D$14),IF($E$14="",9E+99,$E$14)),0))))</f>
        <v/>
      </c>
      <c r="N140" s="19">
        <f>IF(G140="","",G140-MAX(I140:M140))</f>
        <v/>
      </c>
      <c r="O140" s="20">
        <f>IF(N140="","",IF(OR($D$18="",$H$18="X",N140&lt;N($C$18)),0,IF(B140="G마켓",ROUNDDOWN(MIN(IF($D$18&gt;=1,MIN($D$18,N140),N140*$D$18),IF($E$18="",9E+99,$E$18)),0),ROUNDUP(MIN(IF($D$18&gt;=1,MIN($D$18,N140),N140*$D$18),IF($E$18="",9E+99,$E$18)),0))))</f>
        <v/>
      </c>
      <c r="P140" s="20">
        <f>IF(N140="","",IF(OR($D$19="",$H$19="X",N140&lt;N($C$19)),0,IF(B140="G마켓",ROUNDDOWN(MIN(IF($D$19&gt;=1,MIN($D$19,N140),N140*$D$19),IF($E$19="",9E+99,$E$19)),0),ROUNDUP(MIN(IF($D$19&gt;=1,MIN($D$19,N140),N140*$D$19),IF($E$19="",9E+99,$E$19)),0))))</f>
        <v/>
      </c>
      <c r="Q140" s="20">
        <f>IF(N140="","",IF(OR($D$20="",$H$20="X",N140&lt;N($C$20)),0,IF(B140="G마켓",ROUNDDOWN(MIN(IF($D$20&gt;=1,MIN($D$20,N140),N140*$D$20),IF($E$20="",9E+99,$E$20)),0),ROUNDUP(MIN(IF($D$20&gt;=1,MIN($D$20,N140),N140*$D$20),IF($E$20="",9E+99,$E$20)),0))))</f>
        <v/>
      </c>
      <c r="R140" s="20">
        <f>IF(N140="","",IF(OR($D$21="",$H$21="X",N140&lt;N($C$21)),0,IF(B140="G마켓",ROUNDDOWN(MIN(IF($D$21&gt;=1,MIN($D$21,N140),N140*$D$21),IF($E$21="",9E+99,$E$21)),0),ROUNDUP(MIN(IF($D$21&gt;=1,MIN($D$21,N140),N140*$D$21),IF($E$21="",9E+99,$E$21)),0))))</f>
        <v/>
      </c>
      <c r="S140" s="19">
        <f>IF(G140="","",N140-MAX(O140:R140))</f>
        <v/>
      </c>
      <c r="T140" s="20">
        <f>IF(S140="","",IF(OR($D$25="",S140&lt;N($C$25)),0,IF(B140="G마켓",ROUNDDOWN(MIN(IF($D$25&gt;=1,MIN($D$25,S140),S140*$D$25),IF($E$25="",9E+99,$E$25)),0),ROUNDUP(MIN(IF($D$25&gt;=1,MIN($D$25,S140),S140*$D$25),IF($E$25="",9E+99,$E$25)),0))))</f>
        <v/>
      </c>
      <c r="U140" s="20">
        <f>IF(S140="","",IF(OR($D$26="",S140&lt;N($C$26)),0,IF(B140="G마켓",ROUNDDOWN(MIN(IF($D$26&gt;=1,MIN($D$26,S140),S140*$D$26),IF($E$26="",9E+99,$E$26)),0),ROUNDUP(MIN(IF($D$26&gt;=1,MIN($D$26,S140),S140*$D$26),IF($E$26="",9E+99,$E$26)),0))))</f>
        <v/>
      </c>
      <c r="V140" s="20">
        <f>IF(S140="","",IF(OR($D$27="",S140&lt;N($C$27)),0,IF(B140="G마켓",ROUNDDOWN(MIN(IF($D$27&gt;=1,MIN($D$27,S140),S140*$D$27),IF($E$27="",9E+99,$E$27)),0),ROUNDUP(MIN(IF($D$27&gt;=1,MIN($D$27,S140),S140*$D$27),IF($E$27="",9E+99,$E$27)),0))))</f>
        <v/>
      </c>
      <c r="W140" s="19">
        <f>IF(G140="","",MAX(T140:V140))</f>
        <v/>
      </c>
      <c r="X140" s="21">
        <f>IF(G140="","",S140-W140)</f>
        <v/>
      </c>
      <c r="Y140" s="19">
        <f>IF(G140="","",IF(B140="G마켓",ROUNDDOWN(MAX(I140*N($G$10),J140*N($G$11),K140*N($G$12),L140*N($G$13),M140*N($G$14))+MAX(O140*N($G$18),P140*N($G$19),Q140*N($G$20),R140*N($G$21))+MAX(T140*N($G$25),U140*N($G$26),V140*N($G$27)),0),ROUNDUP(MAX(I140*N($G$10),J140*N($G$11),K140*N($G$12),L140*N($G$13),M140*N($G$14))+MAX(O140*N($G$18),P140*N($G$19),Q140*N($G$20),R140*N($G$21))+MAX(T140*N($G$25),U140*N($G$26),V140*N($G$27)),0)))</f>
        <v/>
      </c>
      <c r="Z140" s="21">
        <f>IF(G140="","",IF(B140="G마켓",ROUNDDOWN(G140-G140*$Q$6-Y140,0),ROUNDUP(G140-G140*$Q$6-Y140,0)))</f>
        <v/>
      </c>
    </row>
    <row r="141">
      <c r="B141" s="7" t="n"/>
      <c r="C141" s="7" t="n"/>
      <c r="D141" s="22" t="n"/>
      <c r="E141" s="23" t="n"/>
      <c r="F141" s="23" t="n"/>
      <c r="G141" s="19">
        <f>IF(E141="","",E141-N(F141))</f>
        <v/>
      </c>
      <c r="I141" s="20">
        <f>IF(G141="","",IF(OR($D$10="",$H$10="X",G141&lt;N($C$10)),0,IF(B141="G마켓",ROUNDDOWN(MIN(IF($D$10&gt;=1,MIN($D$10,G141),G141*$D$10),IF($E$10="",9E+99,$E$10)),0),ROUNDUP(MIN(IF($D$10&gt;=1,MIN($D$10,G141),G141*$D$10),IF($E$10="",9E+99,$E$10)),0))))</f>
        <v/>
      </c>
      <c r="J141" s="20">
        <f>IF(G141="","",IF(OR($D$11="",$H$11="X",G141&lt;N($C$11)),0,IF(B141="G마켓",ROUNDDOWN(MIN(IF($D$11&gt;=1,MIN($D$11,G141),G141*$D$11),IF($E$11="",9E+99,$E$11)),0),ROUNDUP(MIN(IF($D$11&gt;=1,MIN($D$11,G141),G141*$D$11),IF($E$11="",9E+99,$E$11)),0))))</f>
        <v/>
      </c>
      <c r="K141" s="20">
        <f>IF(G141="","",IF(OR($D$12="",$H$12="X",G141&lt;N($C$12)),0,IF(B141="G마켓",ROUNDDOWN(MIN(IF($D$12&gt;=1,MIN($D$12,G141),G141*$D$12),IF($E$12="",9E+99,$E$12)),0),ROUNDUP(MIN(IF($D$12&gt;=1,MIN($D$12,G141),G141*$D$12),IF($E$12="",9E+99,$E$12)),0))))</f>
        <v/>
      </c>
      <c r="L141" s="20">
        <f>IF(G141="","",IF(OR($D$13="",$H$13="X",G141&lt;N($C$13)),0,IF(B141="G마켓",ROUNDDOWN(MIN(IF($D$13&gt;=1,MIN($D$13,G141),G141*$D$13),IF($E$13="",9E+99,$E$13)),0),ROUNDUP(MIN(IF($D$13&gt;=1,MIN($D$13,G141),G141*$D$13),IF($E$13="",9E+99,$E$13)),0))))</f>
        <v/>
      </c>
      <c r="M141" s="20">
        <f>IF(G141="","",IF(OR($D$14="",$H$14="X",G141&lt;N($C$14)),0,IF(B141="G마켓",ROUNDDOWN(MIN(IF($D$14&gt;=1,MIN($D$14,G141),G141*$D$14),IF($E$14="",9E+99,$E$14)),0),ROUNDUP(MIN(IF($D$14&gt;=1,MIN($D$14,G141),G141*$D$14),IF($E$14="",9E+99,$E$14)),0))))</f>
        <v/>
      </c>
      <c r="N141" s="19">
        <f>IF(G141="","",G141-MAX(I141:M141))</f>
        <v/>
      </c>
      <c r="O141" s="20">
        <f>IF(N141="","",IF(OR($D$18="",$H$18="X",N141&lt;N($C$18)),0,IF(B141="G마켓",ROUNDDOWN(MIN(IF($D$18&gt;=1,MIN($D$18,N141),N141*$D$18),IF($E$18="",9E+99,$E$18)),0),ROUNDUP(MIN(IF($D$18&gt;=1,MIN($D$18,N141),N141*$D$18),IF($E$18="",9E+99,$E$18)),0))))</f>
        <v/>
      </c>
      <c r="P141" s="20">
        <f>IF(N141="","",IF(OR($D$19="",$H$19="X",N141&lt;N($C$19)),0,IF(B141="G마켓",ROUNDDOWN(MIN(IF($D$19&gt;=1,MIN($D$19,N141),N141*$D$19),IF($E$19="",9E+99,$E$19)),0),ROUNDUP(MIN(IF($D$19&gt;=1,MIN($D$19,N141),N141*$D$19),IF($E$19="",9E+99,$E$19)),0))))</f>
        <v/>
      </c>
      <c r="Q141" s="20">
        <f>IF(N141="","",IF(OR($D$20="",$H$20="X",N141&lt;N($C$20)),0,IF(B141="G마켓",ROUNDDOWN(MIN(IF($D$20&gt;=1,MIN($D$20,N141),N141*$D$20),IF($E$20="",9E+99,$E$20)),0),ROUNDUP(MIN(IF($D$20&gt;=1,MIN($D$20,N141),N141*$D$20),IF($E$20="",9E+99,$E$20)),0))))</f>
        <v/>
      </c>
      <c r="R141" s="20">
        <f>IF(N141="","",IF(OR($D$21="",$H$21="X",N141&lt;N($C$21)),0,IF(B141="G마켓",ROUNDDOWN(MIN(IF($D$21&gt;=1,MIN($D$21,N141),N141*$D$21),IF($E$21="",9E+99,$E$21)),0),ROUNDUP(MIN(IF($D$21&gt;=1,MIN($D$21,N141),N141*$D$21),IF($E$21="",9E+99,$E$21)),0))))</f>
        <v/>
      </c>
      <c r="S141" s="19">
        <f>IF(G141="","",N141-MAX(O141:R141))</f>
        <v/>
      </c>
      <c r="T141" s="20">
        <f>IF(S141="","",IF(OR($D$25="",S141&lt;N($C$25)),0,IF(B141="G마켓",ROUNDDOWN(MIN(IF($D$25&gt;=1,MIN($D$25,S141),S141*$D$25),IF($E$25="",9E+99,$E$25)),0),ROUNDUP(MIN(IF($D$25&gt;=1,MIN($D$25,S141),S141*$D$25),IF($E$25="",9E+99,$E$25)),0))))</f>
        <v/>
      </c>
      <c r="U141" s="20">
        <f>IF(S141="","",IF(OR($D$26="",S141&lt;N($C$26)),0,IF(B141="G마켓",ROUNDDOWN(MIN(IF($D$26&gt;=1,MIN($D$26,S141),S141*$D$26),IF($E$26="",9E+99,$E$26)),0),ROUNDUP(MIN(IF($D$26&gt;=1,MIN($D$26,S141),S141*$D$26),IF($E$26="",9E+99,$E$26)),0))))</f>
        <v/>
      </c>
      <c r="V141" s="20">
        <f>IF(S141="","",IF(OR($D$27="",S141&lt;N($C$27)),0,IF(B141="G마켓",ROUNDDOWN(MIN(IF($D$27&gt;=1,MIN($D$27,S141),S141*$D$27),IF($E$27="",9E+99,$E$27)),0),ROUNDUP(MIN(IF($D$27&gt;=1,MIN($D$27,S141),S141*$D$27),IF($E$27="",9E+99,$E$27)),0))))</f>
        <v/>
      </c>
      <c r="W141" s="19">
        <f>IF(G141="","",MAX(T141:V141))</f>
        <v/>
      </c>
      <c r="X141" s="21">
        <f>IF(G141="","",S141-W141)</f>
        <v/>
      </c>
      <c r="Y141" s="19">
        <f>IF(G141="","",IF(B141="G마켓",ROUNDDOWN(MAX(I141*N($G$10),J141*N($G$11),K141*N($G$12),L141*N($G$13),M141*N($G$14))+MAX(O141*N($G$18),P141*N($G$19),Q141*N($G$20),R141*N($G$21))+MAX(T141*N($G$25),U141*N($G$26),V141*N($G$27)),0),ROUNDUP(MAX(I141*N($G$10),J141*N($G$11),K141*N($G$12),L141*N($G$13),M141*N($G$14))+MAX(O141*N($G$18),P141*N($G$19),Q141*N($G$20),R141*N($G$21))+MAX(T141*N($G$25),U141*N($G$26),V141*N($G$27)),0)))</f>
        <v/>
      </c>
      <c r="Z141" s="21">
        <f>IF(G141="","",IF(B141="G마켓",ROUNDDOWN(G141-G141*$Q$6-Y141,0),ROUNDUP(G141-G141*$Q$6-Y141,0)))</f>
        <v/>
      </c>
    </row>
    <row r="142">
      <c r="B142" s="7" t="n"/>
      <c r="C142" s="7" t="n"/>
      <c r="D142" s="22" t="n"/>
      <c r="E142" s="23" t="n"/>
      <c r="F142" s="23" t="n"/>
      <c r="G142" s="19">
        <f>IF(E142="","",E142-N(F142))</f>
        <v/>
      </c>
      <c r="I142" s="20">
        <f>IF(G142="","",IF(OR($D$10="",$H$10="X",G142&lt;N($C$10)),0,IF(B142="G마켓",ROUNDDOWN(MIN(IF($D$10&gt;=1,MIN($D$10,G142),G142*$D$10),IF($E$10="",9E+99,$E$10)),0),ROUNDUP(MIN(IF($D$10&gt;=1,MIN($D$10,G142),G142*$D$10),IF($E$10="",9E+99,$E$10)),0))))</f>
        <v/>
      </c>
      <c r="J142" s="20">
        <f>IF(G142="","",IF(OR($D$11="",$H$11="X",G142&lt;N($C$11)),0,IF(B142="G마켓",ROUNDDOWN(MIN(IF($D$11&gt;=1,MIN($D$11,G142),G142*$D$11),IF($E$11="",9E+99,$E$11)),0),ROUNDUP(MIN(IF($D$11&gt;=1,MIN($D$11,G142),G142*$D$11),IF($E$11="",9E+99,$E$11)),0))))</f>
        <v/>
      </c>
      <c r="K142" s="20">
        <f>IF(G142="","",IF(OR($D$12="",$H$12="X",G142&lt;N($C$12)),0,IF(B142="G마켓",ROUNDDOWN(MIN(IF($D$12&gt;=1,MIN($D$12,G142),G142*$D$12),IF($E$12="",9E+99,$E$12)),0),ROUNDUP(MIN(IF($D$12&gt;=1,MIN($D$12,G142),G142*$D$12),IF($E$12="",9E+99,$E$12)),0))))</f>
        <v/>
      </c>
      <c r="L142" s="20">
        <f>IF(G142="","",IF(OR($D$13="",$H$13="X",G142&lt;N($C$13)),0,IF(B142="G마켓",ROUNDDOWN(MIN(IF($D$13&gt;=1,MIN($D$13,G142),G142*$D$13),IF($E$13="",9E+99,$E$13)),0),ROUNDUP(MIN(IF($D$13&gt;=1,MIN($D$13,G142),G142*$D$13),IF($E$13="",9E+99,$E$13)),0))))</f>
        <v/>
      </c>
      <c r="M142" s="20">
        <f>IF(G142="","",IF(OR($D$14="",$H$14="X",G142&lt;N($C$14)),0,IF(B142="G마켓",ROUNDDOWN(MIN(IF($D$14&gt;=1,MIN($D$14,G142),G142*$D$14),IF($E$14="",9E+99,$E$14)),0),ROUNDUP(MIN(IF($D$14&gt;=1,MIN($D$14,G142),G142*$D$14),IF($E$14="",9E+99,$E$14)),0))))</f>
        <v/>
      </c>
      <c r="N142" s="19">
        <f>IF(G142="","",G142-MAX(I142:M142))</f>
        <v/>
      </c>
      <c r="O142" s="20">
        <f>IF(N142="","",IF(OR($D$18="",$H$18="X",N142&lt;N($C$18)),0,IF(B142="G마켓",ROUNDDOWN(MIN(IF($D$18&gt;=1,MIN($D$18,N142),N142*$D$18),IF($E$18="",9E+99,$E$18)),0),ROUNDUP(MIN(IF($D$18&gt;=1,MIN($D$18,N142),N142*$D$18),IF($E$18="",9E+99,$E$18)),0))))</f>
        <v/>
      </c>
      <c r="P142" s="20">
        <f>IF(N142="","",IF(OR($D$19="",$H$19="X",N142&lt;N($C$19)),0,IF(B142="G마켓",ROUNDDOWN(MIN(IF($D$19&gt;=1,MIN($D$19,N142),N142*$D$19),IF($E$19="",9E+99,$E$19)),0),ROUNDUP(MIN(IF($D$19&gt;=1,MIN($D$19,N142),N142*$D$19),IF($E$19="",9E+99,$E$19)),0))))</f>
        <v/>
      </c>
      <c r="Q142" s="20">
        <f>IF(N142="","",IF(OR($D$20="",$H$20="X",N142&lt;N($C$20)),0,IF(B142="G마켓",ROUNDDOWN(MIN(IF($D$20&gt;=1,MIN($D$20,N142),N142*$D$20),IF($E$20="",9E+99,$E$20)),0),ROUNDUP(MIN(IF($D$20&gt;=1,MIN($D$20,N142),N142*$D$20),IF($E$20="",9E+99,$E$20)),0))))</f>
        <v/>
      </c>
      <c r="R142" s="20">
        <f>IF(N142="","",IF(OR($D$21="",$H$21="X",N142&lt;N($C$21)),0,IF(B142="G마켓",ROUNDDOWN(MIN(IF($D$21&gt;=1,MIN($D$21,N142),N142*$D$21),IF($E$21="",9E+99,$E$21)),0),ROUNDUP(MIN(IF($D$21&gt;=1,MIN($D$21,N142),N142*$D$21),IF($E$21="",9E+99,$E$21)),0))))</f>
        <v/>
      </c>
      <c r="S142" s="19">
        <f>IF(G142="","",N142-MAX(O142:R142))</f>
        <v/>
      </c>
      <c r="T142" s="20">
        <f>IF(S142="","",IF(OR($D$25="",S142&lt;N($C$25)),0,IF(B142="G마켓",ROUNDDOWN(MIN(IF($D$25&gt;=1,MIN($D$25,S142),S142*$D$25),IF($E$25="",9E+99,$E$25)),0),ROUNDUP(MIN(IF($D$25&gt;=1,MIN($D$25,S142),S142*$D$25),IF($E$25="",9E+99,$E$25)),0))))</f>
        <v/>
      </c>
      <c r="U142" s="20">
        <f>IF(S142="","",IF(OR($D$26="",S142&lt;N($C$26)),0,IF(B142="G마켓",ROUNDDOWN(MIN(IF($D$26&gt;=1,MIN($D$26,S142),S142*$D$26),IF($E$26="",9E+99,$E$26)),0),ROUNDUP(MIN(IF($D$26&gt;=1,MIN($D$26,S142),S142*$D$26),IF($E$26="",9E+99,$E$26)),0))))</f>
        <v/>
      </c>
      <c r="V142" s="20">
        <f>IF(S142="","",IF(OR($D$27="",S142&lt;N($C$27)),0,IF(B142="G마켓",ROUNDDOWN(MIN(IF($D$27&gt;=1,MIN($D$27,S142),S142*$D$27),IF($E$27="",9E+99,$E$27)),0),ROUNDUP(MIN(IF($D$27&gt;=1,MIN($D$27,S142),S142*$D$27),IF($E$27="",9E+99,$E$27)),0))))</f>
        <v/>
      </c>
      <c r="W142" s="19">
        <f>IF(G142="","",MAX(T142:V142))</f>
        <v/>
      </c>
      <c r="X142" s="21">
        <f>IF(G142="","",S142-W142)</f>
        <v/>
      </c>
      <c r="Y142" s="19">
        <f>IF(G142="","",IF(B142="G마켓",ROUNDDOWN(MAX(I142*N($G$10),J142*N($G$11),K142*N($G$12),L142*N($G$13),M142*N($G$14))+MAX(O142*N($G$18),P142*N($G$19),Q142*N($G$20),R142*N($G$21))+MAX(T142*N($G$25),U142*N($G$26),V142*N($G$27)),0),ROUNDUP(MAX(I142*N($G$10),J142*N($G$11),K142*N($G$12),L142*N($G$13),M142*N($G$14))+MAX(O142*N($G$18),P142*N($G$19),Q142*N($G$20),R142*N($G$21))+MAX(T142*N($G$25),U142*N($G$26),V142*N($G$27)),0)))</f>
        <v/>
      </c>
      <c r="Z142" s="21">
        <f>IF(G142="","",IF(B142="G마켓",ROUNDDOWN(G142-G142*$Q$6-Y142,0),ROUNDUP(G142-G142*$Q$6-Y142,0)))</f>
        <v/>
      </c>
    </row>
    <row r="143">
      <c r="B143" s="7" t="n"/>
      <c r="C143" s="7" t="n"/>
      <c r="D143" s="22" t="n"/>
      <c r="E143" s="23" t="n"/>
      <c r="F143" s="23" t="n"/>
      <c r="G143" s="19">
        <f>IF(E143="","",E143-N(F143))</f>
        <v/>
      </c>
      <c r="I143" s="20">
        <f>IF(G143="","",IF(OR($D$10="",$H$10="X",G143&lt;N($C$10)),0,IF(B143="G마켓",ROUNDDOWN(MIN(IF($D$10&gt;=1,MIN($D$10,G143),G143*$D$10),IF($E$10="",9E+99,$E$10)),0),ROUNDUP(MIN(IF($D$10&gt;=1,MIN($D$10,G143),G143*$D$10),IF($E$10="",9E+99,$E$10)),0))))</f>
        <v/>
      </c>
      <c r="J143" s="20">
        <f>IF(G143="","",IF(OR($D$11="",$H$11="X",G143&lt;N($C$11)),0,IF(B143="G마켓",ROUNDDOWN(MIN(IF($D$11&gt;=1,MIN($D$11,G143),G143*$D$11),IF($E$11="",9E+99,$E$11)),0),ROUNDUP(MIN(IF($D$11&gt;=1,MIN($D$11,G143),G143*$D$11),IF($E$11="",9E+99,$E$11)),0))))</f>
        <v/>
      </c>
      <c r="K143" s="20">
        <f>IF(G143="","",IF(OR($D$12="",$H$12="X",G143&lt;N($C$12)),0,IF(B143="G마켓",ROUNDDOWN(MIN(IF($D$12&gt;=1,MIN($D$12,G143),G143*$D$12),IF($E$12="",9E+99,$E$12)),0),ROUNDUP(MIN(IF($D$12&gt;=1,MIN($D$12,G143),G143*$D$12),IF($E$12="",9E+99,$E$12)),0))))</f>
        <v/>
      </c>
      <c r="L143" s="20">
        <f>IF(G143="","",IF(OR($D$13="",$H$13="X",G143&lt;N($C$13)),0,IF(B143="G마켓",ROUNDDOWN(MIN(IF($D$13&gt;=1,MIN($D$13,G143),G143*$D$13),IF($E$13="",9E+99,$E$13)),0),ROUNDUP(MIN(IF($D$13&gt;=1,MIN($D$13,G143),G143*$D$13),IF($E$13="",9E+99,$E$13)),0))))</f>
        <v/>
      </c>
      <c r="M143" s="20">
        <f>IF(G143="","",IF(OR($D$14="",$H$14="X",G143&lt;N($C$14)),0,IF(B143="G마켓",ROUNDDOWN(MIN(IF($D$14&gt;=1,MIN($D$14,G143),G143*$D$14),IF($E$14="",9E+99,$E$14)),0),ROUNDUP(MIN(IF($D$14&gt;=1,MIN($D$14,G143),G143*$D$14),IF($E$14="",9E+99,$E$14)),0))))</f>
        <v/>
      </c>
      <c r="N143" s="19">
        <f>IF(G143="","",G143-MAX(I143:M143))</f>
        <v/>
      </c>
      <c r="O143" s="20">
        <f>IF(N143="","",IF(OR($D$18="",$H$18="X",N143&lt;N($C$18)),0,IF(B143="G마켓",ROUNDDOWN(MIN(IF($D$18&gt;=1,MIN($D$18,N143),N143*$D$18),IF($E$18="",9E+99,$E$18)),0),ROUNDUP(MIN(IF($D$18&gt;=1,MIN($D$18,N143),N143*$D$18),IF($E$18="",9E+99,$E$18)),0))))</f>
        <v/>
      </c>
      <c r="P143" s="20">
        <f>IF(N143="","",IF(OR($D$19="",$H$19="X",N143&lt;N($C$19)),0,IF(B143="G마켓",ROUNDDOWN(MIN(IF($D$19&gt;=1,MIN($D$19,N143),N143*$D$19),IF($E$19="",9E+99,$E$19)),0),ROUNDUP(MIN(IF($D$19&gt;=1,MIN($D$19,N143),N143*$D$19),IF($E$19="",9E+99,$E$19)),0))))</f>
        <v/>
      </c>
      <c r="Q143" s="20">
        <f>IF(N143="","",IF(OR($D$20="",$H$20="X",N143&lt;N($C$20)),0,IF(B143="G마켓",ROUNDDOWN(MIN(IF($D$20&gt;=1,MIN($D$20,N143),N143*$D$20),IF($E$20="",9E+99,$E$20)),0),ROUNDUP(MIN(IF($D$20&gt;=1,MIN($D$20,N143),N143*$D$20),IF($E$20="",9E+99,$E$20)),0))))</f>
        <v/>
      </c>
      <c r="R143" s="20">
        <f>IF(N143="","",IF(OR($D$21="",$H$21="X",N143&lt;N($C$21)),0,IF(B143="G마켓",ROUNDDOWN(MIN(IF($D$21&gt;=1,MIN($D$21,N143),N143*$D$21),IF($E$21="",9E+99,$E$21)),0),ROUNDUP(MIN(IF($D$21&gt;=1,MIN($D$21,N143),N143*$D$21),IF($E$21="",9E+99,$E$21)),0))))</f>
        <v/>
      </c>
      <c r="S143" s="19">
        <f>IF(G143="","",N143-MAX(O143:R143))</f>
        <v/>
      </c>
      <c r="T143" s="20">
        <f>IF(S143="","",IF(OR($D$25="",S143&lt;N($C$25)),0,IF(B143="G마켓",ROUNDDOWN(MIN(IF($D$25&gt;=1,MIN($D$25,S143),S143*$D$25),IF($E$25="",9E+99,$E$25)),0),ROUNDUP(MIN(IF($D$25&gt;=1,MIN($D$25,S143),S143*$D$25),IF($E$25="",9E+99,$E$25)),0))))</f>
        <v/>
      </c>
      <c r="U143" s="20">
        <f>IF(S143="","",IF(OR($D$26="",S143&lt;N($C$26)),0,IF(B143="G마켓",ROUNDDOWN(MIN(IF($D$26&gt;=1,MIN($D$26,S143),S143*$D$26),IF($E$26="",9E+99,$E$26)),0),ROUNDUP(MIN(IF($D$26&gt;=1,MIN($D$26,S143),S143*$D$26),IF($E$26="",9E+99,$E$26)),0))))</f>
        <v/>
      </c>
      <c r="V143" s="20">
        <f>IF(S143="","",IF(OR($D$27="",S143&lt;N($C$27)),0,IF(B143="G마켓",ROUNDDOWN(MIN(IF($D$27&gt;=1,MIN($D$27,S143),S143*$D$27),IF($E$27="",9E+99,$E$27)),0),ROUNDUP(MIN(IF($D$27&gt;=1,MIN($D$27,S143),S143*$D$27),IF($E$27="",9E+99,$E$27)),0))))</f>
        <v/>
      </c>
      <c r="W143" s="19">
        <f>IF(G143="","",MAX(T143:V143))</f>
        <v/>
      </c>
      <c r="X143" s="21">
        <f>IF(G143="","",S143-W143)</f>
        <v/>
      </c>
      <c r="Y143" s="19">
        <f>IF(G143="","",IF(B143="G마켓",ROUNDDOWN(MAX(I143*N($G$10),J143*N($G$11),K143*N($G$12),L143*N($G$13),M143*N($G$14))+MAX(O143*N($G$18),P143*N($G$19),Q143*N($G$20),R143*N($G$21))+MAX(T143*N($G$25),U143*N($G$26),V143*N($G$27)),0),ROUNDUP(MAX(I143*N($G$10),J143*N($G$11),K143*N($G$12),L143*N($G$13),M143*N($G$14))+MAX(O143*N($G$18),P143*N($G$19),Q143*N($G$20),R143*N($G$21))+MAX(T143*N($G$25),U143*N($G$26),V143*N($G$27)),0)))</f>
        <v/>
      </c>
      <c r="Z143" s="21">
        <f>IF(G143="","",IF(B143="G마켓",ROUNDDOWN(G143-G143*$Q$6-Y143,0),ROUNDUP(G143-G143*$Q$6-Y143,0)))</f>
        <v/>
      </c>
    </row>
    <row r="144">
      <c r="B144" s="7" t="n"/>
      <c r="C144" s="7" t="n"/>
      <c r="D144" s="22" t="n"/>
      <c r="E144" s="23" t="n"/>
      <c r="F144" s="23" t="n"/>
      <c r="G144" s="19">
        <f>IF(E144="","",E144-N(F144))</f>
        <v/>
      </c>
      <c r="I144" s="20">
        <f>IF(G144="","",IF(OR($D$10="",$H$10="X",G144&lt;N($C$10)),0,IF(B144="G마켓",ROUNDDOWN(MIN(IF($D$10&gt;=1,MIN($D$10,G144),G144*$D$10),IF($E$10="",9E+99,$E$10)),0),ROUNDUP(MIN(IF($D$10&gt;=1,MIN($D$10,G144),G144*$D$10),IF($E$10="",9E+99,$E$10)),0))))</f>
        <v/>
      </c>
      <c r="J144" s="20">
        <f>IF(G144="","",IF(OR($D$11="",$H$11="X",G144&lt;N($C$11)),0,IF(B144="G마켓",ROUNDDOWN(MIN(IF($D$11&gt;=1,MIN($D$11,G144),G144*$D$11),IF($E$11="",9E+99,$E$11)),0),ROUNDUP(MIN(IF($D$11&gt;=1,MIN($D$11,G144),G144*$D$11),IF($E$11="",9E+99,$E$11)),0))))</f>
        <v/>
      </c>
      <c r="K144" s="20">
        <f>IF(G144="","",IF(OR($D$12="",$H$12="X",G144&lt;N($C$12)),0,IF(B144="G마켓",ROUNDDOWN(MIN(IF($D$12&gt;=1,MIN($D$12,G144),G144*$D$12),IF($E$12="",9E+99,$E$12)),0),ROUNDUP(MIN(IF($D$12&gt;=1,MIN($D$12,G144),G144*$D$12),IF($E$12="",9E+99,$E$12)),0))))</f>
        <v/>
      </c>
      <c r="L144" s="20">
        <f>IF(G144="","",IF(OR($D$13="",$H$13="X",G144&lt;N($C$13)),0,IF(B144="G마켓",ROUNDDOWN(MIN(IF($D$13&gt;=1,MIN($D$13,G144),G144*$D$13),IF($E$13="",9E+99,$E$13)),0),ROUNDUP(MIN(IF($D$13&gt;=1,MIN($D$13,G144),G144*$D$13),IF($E$13="",9E+99,$E$13)),0))))</f>
        <v/>
      </c>
      <c r="M144" s="20">
        <f>IF(G144="","",IF(OR($D$14="",$H$14="X",G144&lt;N($C$14)),0,IF(B144="G마켓",ROUNDDOWN(MIN(IF($D$14&gt;=1,MIN($D$14,G144),G144*$D$14),IF($E$14="",9E+99,$E$14)),0),ROUNDUP(MIN(IF($D$14&gt;=1,MIN($D$14,G144),G144*$D$14),IF($E$14="",9E+99,$E$14)),0))))</f>
        <v/>
      </c>
      <c r="N144" s="19">
        <f>IF(G144="","",G144-MAX(I144:M144))</f>
        <v/>
      </c>
      <c r="O144" s="20">
        <f>IF(N144="","",IF(OR($D$18="",$H$18="X",N144&lt;N($C$18)),0,IF(B144="G마켓",ROUNDDOWN(MIN(IF($D$18&gt;=1,MIN($D$18,N144),N144*$D$18),IF($E$18="",9E+99,$E$18)),0),ROUNDUP(MIN(IF($D$18&gt;=1,MIN($D$18,N144),N144*$D$18),IF($E$18="",9E+99,$E$18)),0))))</f>
        <v/>
      </c>
      <c r="P144" s="20">
        <f>IF(N144="","",IF(OR($D$19="",$H$19="X",N144&lt;N($C$19)),0,IF(B144="G마켓",ROUNDDOWN(MIN(IF($D$19&gt;=1,MIN($D$19,N144),N144*$D$19),IF($E$19="",9E+99,$E$19)),0),ROUNDUP(MIN(IF($D$19&gt;=1,MIN($D$19,N144),N144*$D$19),IF($E$19="",9E+99,$E$19)),0))))</f>
        <v/>
      </c>
      <c r="Q144" s="20">
        <f>IF(N144="","",IF(OR($D$20="",$H$20="X",N144&lt;N($C$20)),0,IF(B144="G마켓",ROUNDDOWN(MIN(IF($D$20&gt;=1,MIN($D$20,N144),N144*$D$20),IF($E$20="",9E+99,$E$20)),0),ROUNDUP(MIN(IF($D$20&gt;=1,MIN($D$20,N144),N144*$D$20),IF($E$20="",9E+99,$E$20)),0))))</f>
        <v/>
      </c>
      <c r="R144" s="20">
        <f>IF(N144="","",IF(OR($D$21="",$H$21="X",N144&lt;N($C$21)),0,IF(B144="G마켓",ROUNDDOWN(MIN(IF($D$21&gt;=1,MIN($D$21,N144),N144*$D$21),IF($E$21="",9E+99,$E$21)),0),ROUNDUP(MIN(IF($D$21&gt;=1,MIN($D$21,N144),N144*$D$21),IF($E$21="",9E+99,$E$21)),0))))</f>
        <v/>
      </c>
      <c r="S144" s="19">
        <f>IF(G144="","",N144-MAX(O144:R144))</f>
        <v/>
      </c>
      <c r="T144" s="20">
        <f>IF(S144="","",IF(OR($D$25="",S144&lt;N($C$25)),0,IF(B144="G마켓",ROUNDDOWN(MIN(IF($D$25&gt;=1,MIN($D$25,S144),S144*$D$25),IF($E$25="",9E+99,$E$25)),0),ROUNDUP(MIN(IF($D$25&gt;=1,MIN($D$25,S144),S144*$D$25),IF($E$25="",9E+99,$E$25)),0))))</f>
        <v/>
      </c>
      <c r="U144" s="20">
        <f>IF(S144="","",IF(OR($D$26="",S144&lt;N($C$26)),0,IF(B144="G마켓",ROUNDDOWN(MIN(IF($D$26&gt;=1,MIN($D$26,S144),S144*$D$26),IF($E$26="",9E+99,$E$26)),0),ROUNDUP(MIN(IF($D$26&gt;=1,MIN($D$26,S144),S144*$D$26),IF($E$26="",9E+99,$E$26)),0))))</f>
        <v/>
      </c>
      <c r="V144" s="20">
        <f>IF(S144="","",IF(OR($D$27="",S144&lt;N($C$27)),0,IF(B144="G마켓",ROUNDDOWN(MIN(IF($D$27&gt;=1,MIN($D$27,S144),S144*$D$27),IF($E$27="",9E+99,$E$27)),0),ROUNDUP(MIN(IF($D$27&gt;=1,MIN($D$27,S144),S144*$D$27),IF($E$27="",9E+99,$E$27)),0))))</f>
        <v/>
      </c>
      <c r="W144" s="19">
        <f>IF(G144="","",MAX(T144:V144))</f>
        <v/>
      </c>
      <c r="X144" s="21">
        <f>IF(G144="","",S144-W144)</f>
        <v/>
      </c>
      <c r="Y144" s="19">
        <f>IF(G144="","",IF(B144="G마켓",ROUNDDOWN(MAX(I144*N($G$10),J144*N($G$11),K144*N($G$12),L144*N($G$13),M144*N($G$14))+MAX(O144*N($G$18),P144*N($G$19),Q144*N($G$20),R144*N($G$21))+MAX(T144*N($G$25),U144*N($G$26),V144*N($G$27)),0),ROUNDUP(MAX(I144*N($G$10),J144*N($G$11),K144*N($G$12),L144*N($G$13),M144*N($G$14))+MAX(O144*N($G$18),P144*N($G$19),Q144*N($G$20),R144*N($G$21))+MAX(T144*N($G$25),U144*N($G$26),V144*N($G$27)),0)))</f>
        <v/>
      </c>
      <c r="Z144" s="21">
        <f>IF(G144="","",IF(B144="G마켓",ROUNDDOWN(G144-G144*$Q$6-Y144,0),ROUNDUP(G144-G144*$Q$6-Y144,0)))</f>
        <v/>
      </c>
    </row>
    <row r="145">
      <c r="B145" s="7" t="n"/>
      <c r="C145" s="7" t="n"/>
      <c r="D145" s="22" t="n"/>
      <c r="E145" s="23" t="n"/>
      <c r="F145" s="23" t="n"/>
      <c r="G145" s="19">
        <f>IF(E145="","",E145-N(F145))</f>
        <v/>
      </c>
      <c r="I145" s="20">
        <f>IF(G145="","",IF(OR($D$10="",$H$10="X",G145&lt;N($C$10)),0,IF(B145="G마켓",ROUNDDOWN(MIN(IF($D$10&gt;=1,MIN($D$10,G145),G145*$D$10),IF($E$10="",9E+99,$E$10)),0),ROUNDUP(MIN(IF($D$10&gt;=1,MIN($D$10,G145),G145*$D$10),IF($E$10="",9E+99,$E$10)),0))))</f>
        <v/>
      </c>
      <c r="J145" s="20">
        <f>IF(G145="","",IF(OR($D$11="",$H$11="X",G145&lt;N($C$11)),0,IF(B145="G마켓",ROUNDDOWN(MIN(IF($D$11&gt;=1,MIN($D$11,G145),G145*$D$11),IF($E$11="",9E+99,$E$11)),0),ROUNDUP(MIN(IF($D$11&gt;=1,MIN($D$11,G145),G145*$D$11),IF($E$11="",9E+99,$E$11)),0))))</f>
        <v/>
      </c>
      <c r="K145" s="20">
        <f>IF(G145="","",IF(OR($D$12="",$H$12="X",G145&lt;N($C$12)),0,IF(B145="G마켓",ROUNDDOWN(MIN(IF($D$12&gt;=1,MIN($D$12,G145),G145*$D$12),IF($E$12="",9E+99,$E$12)),0),ROUNDUP(MIN(IF($D$12&gt;=1,MIN($D$12,G145),G145*$D$12),IF($E$12="",9E+99,$E$12)),0))))</f>
        <v/>
      </c>
      <c r="L145" s="20">
        <f>IF(G145="","",IF(OR($D$13="",$H$13="X",G145&lt;N($C$13)),0,IF(B145="G마켓",ROUNDDOWN(MIN(IF($D$13&gt;=1,MIN($D$13,G145),G145*$D$13),IF($E$13="",9E+99,$E$13)),0),ROUNDUP(MIN(IF($D$13&gt;=1,MIN($D$13,G145),G145*$D$13),IF($E$13="",9E+99,$E$13)),0))))</f>
        <v/>
      </c>
      <c r="M145" s="20">
        <f>IF(G145="","",IF(OR($D$14="",$H$14="X",G145&lt;N($C$14)),0,IF(B145="G마켓",ROUNDDOWN(MIN(IF($D$14&gt;=1,MIN($D$14,G145),G145*$D$14),IF($E$14="",9E+99,$E$14)),0),ROUNDUP(MIN(IF($D$14&gt;=1,MIN($D$14,G145),G145*$D$14),IF($E$14="",9E+99,$E$14)),0))))</f>
        <v/>
      </c>
      <c r="N145" s="19">
        <f>IF(G145="","",G145-MAX(I145:M145))</f>
        <v/>
      </c>
      <c r="O145" s="20">
        <f>IF(N145="","",IF(OR($D$18="",$H$18="X",N145&lt;N($C$18)),0,IF(B145="G마켓",ROUNDDOWN(MIN(IF($D$18&gt;=1,MIN($D$18,N145),N145*$D$18),IF($E$18="",9E+99,$E$18)),0),ROUNDUP(MIN(IF($D$18&gt;=1,MIN($D$18,N145),N145*$D$18),IF($E$18="",9E+99,$E$18)),0))))</f>
        <v/>
      </c>
      <c r="P145" s="20">
        <f>IF(N145="","",IF(OR($D$19="",$H$19="X",N145&lt;N($C$19)),0,IF(B145="G마켓",ROUNDDOWN(MIN(IF($D$19&gt;=1,MIN($D$19,N145),N145*$D$19),IF($E$19="",9E+99,$E$19)),0),ROUNDUP(MIN(IF($D$19&gt;=1,MIN($D$19,N145),N145*$D$19),IF($E$19="",9E+99,$E$19)),0))))</f>
        <v/>
      </c>
      <c r="Q145" s="20">
        <f>IF(N145="","",IF(OR($D$20="",$H$20="X",N145&lt;N($C$20)),0,IF(B145="G마켓",ROUNDDOWN(MIN(IF($D$20&gt;=1,MIN($D$20,N145),N145*$D$20),IF($E$20="",9E+99,$E$20)),0),ROUNDUP(MIN(IF($D$20&gt;=1,MIN($D$20,N145),N145*$D$20),IF($E$20="",9E+99,$E$20)),0))))</f>
        <v/>
      </c>
      <c r="R145" s="20">
        <f>IF(N145="","",IF(OR($D$21="",$H$21="X",N145&lt;N($C$21)),0,IF(B145="G마켓",ROUNDDOWN(MIN(IF($D$21&gt;=1,MIN($D$21,N145),N145*$D$21),IF($E$21="",9E+99,$E$21)),0),ROUNDUP(MIN(IF($D$21&gt;=1,MIN($D$21,N145),N145*$D$21),IF($E$21="",9E+99,$E$21)),0))))</f>
        <v/>
      </c>
      <c r="S145" s="19">
        <f>IF(G145="","",N145-MAX(O145:R145))</f>
        <v/>
      </c>
      <c r="T145" s="20">
        <f>IF(S145="","",IF(OR($D$25="",S145&lt;N($C$25)),0,IF(B145="G마켓",ROUNDDOWN(MIN(IF($D$25&gt;=1,MIN($D$25,S145),S145*$D$25),IF($E$25="",9E+99,$E$25)),0),ROUNDUP(MIN(IF($D$25&gt;=1,MIN($D$25,S145),S145*$D$25),IF($E$25="",9E+99,$E$25)),0))))</f>
        <v/>
      </c>
      <c r="U145" s="20">
        <f>IF(S145="","",IF(OR($D$26="",S145&lt;N($C$26)),0,IF(B145="G마켓",ROUNDDOWN(MIN(IF($D$26&gt;=1,MIN($D$26,S145),S145*$D$26),IF($E$26="",9E+99,$E$26)),0),ROUNDUP(MIN(IF($D$26&gt;=1,MIN($D$26,S145),S145*$D$26),IF($E$26="",9E+99,$E$26)),0))))</f>
        <v/>
      </c>
      <c r="V145" s="20">
        <f>IF(S145="","",IF(OR($D$27="",S145&lt;N($C$27)),0,IF(B145="G마켓",ROUNDDOWN(MIN(IF($D$27&gt;=1,MIN($D$27,S145),S145*$D$27),IF($E$27="",9E+99,$E$27)),0),ROUNDUP(MIN(IF($D$27&gt;=1,MIN($D$27,S145),S145*$D$27),IF($E$27="",9E+99,$E$27)),0))))</f>
        <v/>
      </c>
      <c r="W145" s="19">
        <f>IF(G145="","",MAX(T145:V145))</f>
        <v/>
      </c>
      <c r="X145" s="21">
        <f>IF(G145="","",S145-W145)</f>
        <v/>
      </c>
      <c r="Y145" s="19">
        <f>IF(G145="","",IF(B145="G마켓",ROUNDDOWN(MAX(I145*N($G$10),J145*N($G$11),K145*N($G$12),L145*N($G$13),M145*N($G$14))+MAX(O145*N($G$18),P145*N($G$19),Q145*N($G$20),R145*N($G$21))+MAX(T145*N($G$25),U145*N($G$26),V145*N($G$27)),0),ROUNDUP(MAX(I145*N($G$10),J145*N($G$11),K145*N($G$12),L145*N($G$13),M145*N($G$14))+MAX(O145*N($G$18),P145*N($G$19),Q145*N($G$20),R145*N($G$21))+MAX(T145*N($G$25),U145*N($G$26),V145*N($G$27)),0)))</f>
        <v/>
      </c>
      <c r="Z145" s="21">
        <f>IF(G145="","",IF(B145="G마켓",ROUNDDOWN(G145-G145*$Q$6-Y145,0),ROUNDUP(G145-G145*$Q$6-Y145,0)))</f>
        <v/>
      </c>
    </row>
    <row r="146">
      <c r="B146" s="7" t="n"/>
      <c r="C146" s="7" t="n"/>
      <c r="D146" s="22" t="n"/>
      <c r="E146" s="23" t="n"/>
      <c r="F146" s="23" t="n"/>
      <c r="G146" s="19">
        <f>IF(E146="","",E146-N(F146))</f>
        <v/>
      </c>
      <c r="I146" s="20">
        <f>IF(G146="","",IF(OR($D$10="",$H$10="X",G146&lt;N($C$10)),0,IF(B146="G마켓",ROUNDDOWN(MIN(IF($D$10&gt;=1,MIN($D$10,G146),G146*$D$10),IF($E$10="",9E+99,$E$10)),0),ROUNDUP(MIN(IF($D$10&gt;=1,MIN($D$10,G146),G146*$D$10),IF($E$10="",9E+99,$E$10)),0))))</f>
        <v/>
      </c>
      <c r="J146" s="20">
        <f>IF(G146="","",IF(OR($D$11="",$H$11="X",G146&lt;N($C$11)),0,IF(B146="G마켓",ROUNDDOWN(MIN(IF($D$11&gt;=1,MIN($D$11,G146),G146*$D$11),IF($E$11="",9E+99,$E$11)),0),ROUNDUP(MIN(IF($D$11&gt;=1,MIN($D$11,G146),G146*$D$11),IF($E$11="",9E+99,$E$11)),0))))</f>
        <v/>
      </c>
      <c r="K146" s="20">
        <f>IF(G146="","",IF(OR($D$12="",$H$12="X",G146&lt;N($C$12)),0,IF(B146="G마켓",ROUNDDOWN(MIN(IF($D$12&gt;=1,MIN($D$12,G146),G146*$D$12),IF($E$12="",9E+99,$E$12)),0),ROUNDUP(MIN(IF($D$12&gt;=1,MIN($D$12,G146),G146*$D$12),IF($E$12="",9E+99,$E$12)),0))))</f>
        <v/>
      </c>
      <c r="L146" s="20">
        <f>IF(G146="","",IF(OR($D$13="",$H$13="X",G146&lt;N($C$13)),0,IF(B146="G마켓",ROUNDDOWN(MIN(IF($D$13&gt;=1,MIN($D$13,G146),G146*$D$13),IF($E$13="",9E+99,$E$13)),0),ROUNDUP(MIN(IF($D$13&gt;=1,MIN($D$13,G146),G146*$D$13),IF($E$13="",9E+99,$E$13)),0))))</f>
        <v/>
      </c>
      <c r="M146" s="20">
        <f>IF(G146="","",IF(OR($D$14="",$H$14="X",G146&lt;N($C$14)),0,IF(B146="G마켓",ROUNDDOWN(MIN(IF($D$14&gt;=1,MIN($D$14,G146),G146*$D$14),IF($E$14="",9E+99,$E$14)),0),ROUNDUP(MIN(IF($D$14&gt;=1,MIN($D$14,G146),G146*$D$14),IF($E$14="",9E+99,$E$14)),0))))</f>
        <v/>
      </c>
      <c r="N146" s="19">
        <f>IF(G146="","",G146-MAX(I146:M146))</f>
        <v/>
      </c>
      <c r="O146" s="20">
        <f>IF(N146="","",IF(OR($D$18="",$H$18="X",N146&lt;N($C$18)),0,IF(B146="G마켓",ROUNDDOWN(MIN(IF($D$18&gt;=1,MIN($D$18,N146),N146*$D$18),IF($E$18="",9E+99,$E$18)),0),ROUNDUP(MIN(IF($D$18&gt;=1,MIN($D$18,N146),N146*$D$18),IF($E$18="",9E+99,$E$18)),0))))</f>
        <v/>
      </c>
      <c r="P146" s="20">
        <f>IF(N146="","",IF(OR($D$19="",$H$19="X",N146&lt;N($C$19)),0,IF(B146="G마켓",ROUNDDOWN(MIN(IF($D$19&gt;=1,MIN($D$19,N146),N146*$D$19),IF($E$19="",9E+99,$E$19)),0),ROUNDUP(MIN(IF($D$19&gt;=1,MIN($D$19,N146),N146*$D$19),IF($E$19="",9E+99,$E$19)),0))))</f>
        <v/>
      </c>
      <c r="Q146" s="20">
        <f>IF(N146="","",IF(OR($D$20="",$H$20="X",N146&lt;N($C$20)),0,IF(B146="G마켓",ROUNDDOWN(MIN(IF($D$20&gt;=1,MIN($D$20,N146),N146*$D$20),IF($E$20="",9E+99,$E$20)),0),ROUNDUP(MIN(IF($D$20&gt;=1,MIN($D$20,N146),N146*$D$20),IF($E$20="",9E+99,$E$20)),0))))</f>
        <v/>
      </c>
      <c r="R146" s="20">
        <f>IF(N146="","",IF(OR($D$21="",$H$21="X",N146&lt;N($C$21)),0,IF(B146="G마켓",ROUNDDOWN(MIN(IF($D$21&gt;=1,MIN($D$21,N146),N146*$D$21),IF($E$21="",9E+99,$E$21)),0),ROUNDUP(MIN(IF($D$21&gt;=1,MIN($D$21,N146),N146*$D$21),IF($E$21="",9E+99,$E$21)),0))))</f>
        <v/>
      </c>
      <c r="S146" s="19">
        <f>IF(G146="","",N146-MAX(O146:R146))</f>
        <v/>
      </c>
      <c r="T146" s="20">
        <f>IF(S146="","",IF(OR($D$25="",S146&lt;N($C$25)),0,IF(B146="G마켓",ROUNDDOWN(MIN(IF($D$25&gt;=1,MIN($D$25,S146),S146*$D$25),IF($E$25="",9E+99,$E$25)),0),ROUNDUP(MIN(IF($D$25&gt;=1,MIN($D$25,S146),S146*$D$25),IF($E$25="",9E+99,$E$25)),0))))</f>
        <v/>
      </c>
      <c r="U146" s="20">
        <f>IF(S146="","",IF(OR($D$26="",S146&lt;N($C$26)),0,IF(B146="G마켓",ROUNDDOWN(MIN(IF($D$26&gt;=1,MIN($D$26,S146),S146*$D$26),IF($E$26="",9E+99,$E$26)),0),ROUNDUP(MIN(IF($D$26&gt;=1,MIN($D$26,S146),S146*$D$26),IF($E$26="",9E+99,$E$26)),0))))</f>
        <v/>
      </c>
      <c r="V146" s="20">
        <f>IF(S146="","",IF(OR($D$27="",S146&lt;N($C$27)),0,IF(B146="G마켓",ROUNDDOWN(MIN(IF($D$27&gt;=1,MIN($D$27,S146),S146*$D$27),IF($E$27="",9E+99,$E$27)),0),ROUNDUP(MIN(IF($D$27&gt;=1,MIN($D$27,S146),S146*$D$27),IF($E$27="",9E+99,$E$27)),0))))</f>
        <v/>
      </c>
      <c r="W146" s="19">
        <f>IF(G146="","",MAX(T146:V146))</f>
        <v/>
      </c>
      <c r="X146" s="21">
        <f>IF(G146="","",S146-W146)</f>
        <v/>
      </c>
      <c r="Y146" s="19">
        <f>IF(G146="","",IF(B146="G마켓",ROUNDDOWN(MAX(I146*N($G$10),J146*N($G$11),K146*N($G$12),L146*N($G$13),M146*N($G$14))+MAX(O146*N($G$18),P146*N($G$19),Q146*N($G$20),R146*N($G$21))+MAX(T146*N($G$25),U146*N($G$26),V146*N($G$27)),0),ROUNDUP(MAX(I146*N($G$10),J146*N($G$11),K146*N($G$12),L146*N($G$13),M146*N($G$14))+MAX(O146*N($G$18),P146*N($G$19),Q146*N($G$20),R146*N($G$21))+MAX(T146*N($G$25),U146*N($G$26),V146*N($G$27)),0)))</f>
        <v/>
      </c>
      <c r="Z146" s="21">
        <f>IF(G146="","",IF(B146="G마켓",ROUNDDOWN(G146-G146*$Q$6-Y146,0),ROUNDUP(G146-G146*$Q$6-Y146,0)))</f>
        <v/>
      </c>
    </row>
    <row r="147">
      <c r="B147" s="7" t="n"/>
      <c r="C147" s="7" t="n"/>
      <c r="D147" s="22" t="n"/>
      <c r="E147" s="23" t="n"/>
      <c r="F147" s="23" t="n"/>
      <c r="G147" s="19">
        <f>IF(E147="","",E147-N(F147))</f>
        <v/>
      </c>
      <c r="I147" s="20">
        <f>IF(G147="","",IF(OR($D$10="",$H$10="X",G147&lt;N($C$10)),0,IF(B147="G마켓",ROUNDDOWN(MIN(IF($D$10&gt;=1,MIN($D$10,G147),G147*$D$10),IF($E$10="",9E+99,$E$10)),0),ROUNDUP(MIN(IF($D$10&gt;=1,MIN($D$10,G147),G147*$D$10),IF($E$10="",9E+99,$E$10)),0))))</f>
        <v/>
      </c>
      <c r="J147" s="20">
        <f>IF(G147="","",IF(OR($D$11="",$H$11="X",G147&lt;N($C$11)),0,IF(B147="G마켓",ROUNDDOWN(MIN(IF($D$11&gt;=1,MIN($D$11,G147),G147*$D$11),IF($E$11="",9E+99,$E$11)),0),ROUNDUP(MIN(IF($D$11&gt;=1,MIN($D$11,G147),G147*$D$11),IF($E$11="",9E+99,$E$11)),0))))</f>
        <v/>
      </c>
      <c r="K147" s="20">
        <f>IF(G147="","",IF(OR($D$12="",$H$12="X",G147&lt;N($C$12)),0,IF(B147="G마켓",ROUNDDOWN(MIN(IF($D$12&gt;=1,MIN($D$12,G147),G147*$D$12),IF($E$12="",9E+99,$E$12)),0),ROUNDUP(MIN(IF($D$12&gt;=1,MIN($D$12,G147),G147*$D$12),IF($E$12="",9E+99,$E$12)),0))))</f>
        <v/>
      </c>
      <c r="L147" s="20">
        <f>IF(G147="","",IF(OR($D$13="",$H$13="X",G147&lt;N($C$13)),0,IF(B147="G마켓",ROUNDDOWN(MIN(IF($D$13&gt;=1,MIN($D$13,G147),G147*$D$13),IF($E$13="",9E+99,$E$13)),0),ROUNDUP(MIN(IF($D$13&gt;=1,MIN($D$13,G147),G147*$D$13),IF($E$13="",9E+99,$E$13)),0))))</f>
        <v/>
      </c>
      <c r="M147" s="20">
        <f>IF(G147="","",IF(OR($D$14="",$H$14="X",G147&lt;N($C$14)),0,IF(B147="G마켓",ROUNDDOWN(MIN(IF($D$14&gt;=1,MIN($D$14,G147),G147*$D$14),IF($E$14="",9E+99,$E$14)),0),ROUNDUP(MIN(IF($D$14&gt;=1,MIN($D$14,G147),G147*$D$14),IF($E$14="",9E+99,$E$14)),0))))</f>
        <v/>
      </c>
      <c r="N147" s="19">
        <f>IF(G147="","",G147-MAX(I147:M147))</f>
        <v/>
      </c>
      <c r="O147" s="20">
        <f>IF(N147="","",IF(OR($D$18="",$H$18="X",N147&lt;N($C$18)),0,IF(B147="G마켓",ROUNDDOWN(MIN(IF($D$18&gt;=1,MIN($D$18,N147),N147*$D$18),IF($E$18="",9E+99,$E$18)),0),ROUNDUP(MIN(IF($D$18&gt;=1,MIN($D$18,N147),N147*$D$18),IF($E$18="",9E+99,$E$18)),0))))</f>
        <v/>
      </c>
      <c r="P147" s="20">
        <f>IF(N147="","",IF(OR($D$19="",$H$19="X",N147&lt;N($C$19)),0,IF(B147="G마켓",ROUNDDOWN(MIN(IF($D$19&gt;=1,MIN($D$19,N147),N147*$D$19),IF($E$19="",9E+99,$E$19)),0),ROUNDUP(MIN(IF($D$19&gt;=1,MIN($D$19,N147),N147*$D$19),IF($E$19="",9E+99,$E$19)),0))))</f>
        <v/>
      </c>
      <c r="Q147" s="20">
        <f>IF(N147="","",IF(OR($D$20="",$H$20="X",N147&lt;N($C$20)),0,IF(B147="G마켓",ROUNDDOWN(MIN(IF($D$20&gt;=1,MIN($D$20,N147),N147*$D$20),IF($E$20="",9E+99,$E$20)),0),ROUNDUP(MIN(IF($D$20&gt;=1,MIN($D$20,N147),N147*$D$20),IF($E$20="",9E+99,$E$20)),0))))</f>
        <v/>
      </c>
      <c r="R147" s="20">
        <f>IF(N147="","",IF(OR($D$21="",$H$21="X",N147&lt;N($C$21)),0,IF(B147="G마켓",ROUNDDOWN(MIN(IF($D$21&gt;=1,MIN($D$21,N147),N147*$D$21),IF($E$21="",9E+99,$E$21)),0),ROUNDUP(MIN(IF($D$21&gt;=1,MIN($D$21,N147),N147*$D$21),IF($E$21="",9E+99,$E$21)),0))))</f>
        <v/>
      </c>
      <c r="S147" s="19">
        <f>IF(G147="","",N147-MAX(O147:R147))</f>
        <v/>
      </c>
      <c r="T147" s="20">
        <f>IF(S147="","",IF(OR($D$25="",S147&lt;N($C$25)),0,IF(B147="G마켓",ROUNDDOWN(MIN(IF($D$25&gt;=1,MIN($D$25,S147),S147*$D$25),IF($E$25="",9E+99,$E$25)),0),ROUNDUP(MIN(IF($D$25&gt;=1,MIN($D$25,S147),S147*$D$25),IF($E$25="",9E+99,$E$25)),0))))</f>
        <v/>
      </c>
      <c r="U147" s="20">
        <f>IF(S147="","",IF(OR($D$26="",S147&lt;N($C$26)),0,IF(B147="G마켓",ROUNDDOWN(MIN(IF($D$26&gt;=1,MIN($D$26,S147),S147*$D$26),IF($E$26="",9E+99,$E$26)),0),ROUNDUP(MIN(IF($D$26&gt;=1,MIN($D$26,S147),S147*$D$26),IF($E$26="",9E+99,$E$26)),0))))</f>
        <v/>
      </c>
      <c r="V147" s="20">
        <f>IF(S147="","",IF(OR($D$27="",S147&lt;N($C$27)),0,IF(B147="G마켓",ROUNDDOWN(MIN(IF($D$27&gt;=1,MIN($D$27,S147),S147*$D$27),IF($E$27="",9E+99,$E$27)),0),ROUNDUP(MIN(IF($D$27&gt;=1,MIN($D$27,S147),S147*$D$27),IF($E$27="",9E+99,$E$27)),0))))</f>
        <v/>
      </c>
      <c r="W147" s="19">
        <f>IF(G147="","",MAX(T147:V147))</f>
        <v/>
      </c>
      <c r="X147" s="21">
        <f>IF(G147="","",S147-W147)</f>
        <v/>
      </c>
      <c r="Y147" s="19">
        <f>IF(G147="","",IF(B147="G마켓",ROUNDDOWN(MAX(I147*N($G$10),J147*N($G$11),K147*N($G$12),L147*N($G$13),M147*N($G$14))+MAX(O147*N($G$18),P147*N($G$19),Q147*N($G$20),R147*N($G$21))+MAX(T147*N($G$25),U147*N($G$26),V147*N($G$27)),0),ROUNDUP(MAX(I147*N($G$10),J147*N($G$11),K147*N($G$12),L147*N($G$13),M147*N($G$14))+MAX(O147*N($G$18),P147*N($G$19),Q147*N($G$20),R147*N($G$21))+MAX(T147*N($G$25),U147*N($G$26),V147*N($G$27)),0)))</f>
        <v/>
      </c>
      <c r="Z147" s="21">
        <f>IF(G147="","",IF(B147="G마켓",ROUNDDOWN(G147-G147*$Q$6-Y147,0),ROUNDUP(G147-G147*$Q$6-Y147,0)))</f>
        <v/>
      </c>
    </row>
    <row r="148">
      <c r="B148" s="7" t="n"/>
      <c r="C148" s="7" t="n"/>
      <c r="D148" s="22" t="n"/>
      <c r="E148" s="23" t="n"/>
      <c r="F148" s="23" t="n"/>
      <c r="G148" s="19">
        <f>IF(E148="","",E148-N(F148))</f>
        <v/>
      </c>
      <c r="I148" s="20">
        <f>IF(G148="","",IF(OR($D$10="",$H$10="X",G148&lt;N($C$10)),0,IF(B148="G마켓",ROUNDDOWN(MIN(IF($D$10&gt;=1,MIN($D$10,G148),G148*$D$10),IF($E$10="",9E+99,$E$10)),0),ROUNDUP(MIN(IF($D$10&gt;=1,MIN($D$10,G148),G148*$D$10),IF($E$10="",9E+99,$E$10)),0))))</f>
        <v/>
      </c>
      <c r="J148" s="20">
        <f>IF(G148="","",IF(OR($D$11="",$H$11="X",G148&lt;N($C$11)),0,IF(B148="G마켓",ROUNDDOWN(MIN(IF($D$11&gt;=1,MIN($D$11,G148),G148*$D$11),IF($E$11="",9E+99,$E$11)),0),ROUNDUP(MIN(IF($D$11&gt;=1,MIN($D$11,G148),G148*$D$11),IF($E$11="",9E+99,$E$11)),0))))</f>
        <v/>
      </c>
      <c r="K148" s="20">
        <f>IF(G148="","",IF(OR($D$12="",$H$12="X",G148&lt;N($C$12)),0,IF(B148="G마켓",ROUNDDOWN(MIN(IF($D$12&gt;=1,MIN($D$12,G148),G148*$D$12),IF($E$12="",9E+99,$E$12)),0),ROUNDUP(MIN(IF($D$12&gt;=1,MIN($D$12,G148),G148*$D$12),IF($E$12="",9E+99,$E$12)),0))))</f>
        <v/>
      </c>
      <c r="L148" s="20">
        <f>IF(G148="","",IF(OR($D$13="",$H$13="X",G148&lt;N($C$13)),0,IF(B148="G마켓",ROUNDDOWN(MIN(IF($D$13&gt;=1,MIN($D$13,G148),G148*$D$13),IF($E$13="",9E+99,$E$13)),0),ROUNDUP(MIN(IF($D$13&gt;=1,MIN($D$13,G148),G148*$D$13),IF($E$13="",9E+99,$E$13)),0))))</f>
        <v/>
      </c>
      <c r="M148" s="20">
        <f>IF(G148="","",IF(OR($D$14="",$H$14="X",G148&lt;N($C$14)),0,IF(B148="G마켓",ROUNDDOWN(MIN(IF($D$14&gt;=1,MIN($D$14,G148),G148*$D$14),IF($E$14="",9E+99,$E$14)),0),ROUNDUP(MIN(IF($D$14&gt;=1,MIN($D$14,G148),G148*$D$14),IF($E$14="",9E+99,$E$14)),0))))</f>
        <v/>
      </c>
      <c r="N148" s="19">
        <f>IF(G148="","",G148-MAX(I148:M148))</f>
        <v/>
      </c>
      <c r="O148" s="20">
        <f>IF(N148="","",IF(OR($D$18="",$H$18="X",N148&lt;N($C$18)),0,IF(B148="G마켓",ROUNDDOWN(MIN(IF($D$18&gt;=1,MIN($D$18,N148),N148*$D$18),IF($E$18="",9E+99,$E$18)),0),ROUNDUP(MIN(IF($D$18&gt;=1,MIN($D$18,N148),N148*$D$18),IF($E$18="",9E+99,$E$18)),0))))</f>
        <v/>
      </c>
      <c r="P148" s="20">
        <f>IF(N148="","",IF(OR($D$19="",$H$19="X",N148&lt;N($C$19)),0,IF(B148="G마켓",ROUNDDOWN(MIN(IF($D$19&gt;=1,MIN($D$19,N148),N148*$D$19),IF($E$19="",9E+99,$E$19)),0),ROUNDUP(MIN(IF($D$19&gt;=1,MIN($D$19,N148),N148*$D$19),IF($E$19="",9E+99,$E$19)),0))))</f>
        <v/>
      </c>
      <c r="Q148" s="20">
        <f>IF(N148="","",IF(OR($D$20="",$H$20="X",N148&lt;N($C$20)),0,IF(B148="G마켓",ROUNDDOWN(MIN(IF($D$20&gt;=1,MIN($D$20,N148),N148*$D$20),IF($E$20="",9E+99,$E$20)),0),ROUNDUP(MIN(IF($D$20&gt;=1,MIN($D$20,N148),N148*$D$20),IF($E$20="",9E+99,$E$20)),0))))</f>
        <v/>
      </c>
      <c r="R148" s="20">
        <f>IF(N148="","",IF(OR($D$21="",$H$21="X",N148&lt;N($C$21)),0,IF(B148="G마켓",ROUNDDOWN(MIN(IF($D$21&gt;=1,MIN($D$21,N148),N148*$D$21),IF($E$21="",9E+99,$E$21)),0),ROUNDUP(MIN(IF($D$21&gt;=1,MIN($D$21,N148),N148*$D$21),IF($E$21="",9E+99,$E$21)),0))))</f>
        <v/>
      </c>
      <c r="S148" s="19">
        <f>IF(G148="","",N148-MAX(O148:R148))</f>
        <v/>
      </c>
      <c r="T148" s="20">
        <f>IF(S148="","",IF(OR($D$25="",S148&lt;N($C$25)),0,IF(B148="G마켓",ROUNDDOWN(MIN(IF($D$25&gt;=1,MIN($D$25,S148),S148*$D$25),IF($E$25="",9E+99,$E$25)),0),ROUNDUP(MIN(IF($D$25&gt;=1,MIN($D$25,S148),S148*$D$25),IF($E$25="",9E+99,$E$25)),0))))</f>
        <v/>
      </c>
      <c r="U148" s="20">
        <f>IF(S148="","",IF(OR($D$26="",S148&lt;N($C$26)),0,IF(B148="G마켓",ROUNDDOWN(MIN(IF($D$26&gt;=1,MIN($D$26,S148),S148*$D$26),IF($E$26="",9E+99,$E$26)),0),ROUNDUP(MIN(IF($D$26&gt;=1,MIN($D$26,S148),S148*$D$26),IF($E$26="",9E+99,$E$26)),0))))</f>
        <v/>
      </c>
      <c r="V148" s="20">
        <f>IF(S148="","",IF(OR($D$27="",S148&lt;N($C$27)),0,IF(B148="G마켓",ROUNDDOWN(MIN(IF($D$27&gt;=1,MIN($D$27,S148),S148*$D$27),IF($E$27="",9E+99,$E$27)),0),ROUNDUP(MIN(IF($D$27&gt;=1,MIN($D$27,S148),S148*$D$27),IF($E$27="",9E+99,$E$27)),0))))</f>
        <v/>
      </c>
      <c r="W148" s="19">
        <f>IF(G148="","",MAX(T148:V148))</f>
        <v/>
      </c>
      <c r="X148" s="21">
        <f>IF(G148="","",S148-W148)</f>
        <v/>
      </c>
      <c r="Y148" s="19">
        <f>IF(G148="","",IF(B148="G마켓",ROUNDDOWN(MAX(I148*N($G$10),J148*N($G$11),K148*N($G$12),L148*N($G$13),M148*N($G$14))+MAX(O148*N($G$18),P148*N($G$19),Q148*N($G$20),R148*N($G$21))+MAX(T148*N($G$25),U148*N($G$26),V148*N($G$27)),0),ROUNDUP(MAX(I148*N($G$10),J148*N($G$11),K148*N($G$12),L148*N($G$13),M148*N($G$14))+MAX(O148*N($G$18),P148*N($G$19),Q148*N($G$20),R148*N($G$21))+MAX(T148*N($G$25),U148*N($G$26),V148*N($G$27)),0)))</f>
        <v/>
      </c>
      <c r="Z148" s="21">
        <f>IF(G148="","",IF(B148="G마켓",ROUNDDOWN(G148-G148*$Q$6-Y148,0),ROUNDUP(G148-G148*$Q$6-Y148,0)))</f>
        <v/>
      </c>
    </row>
    <row r="149">
      <c r="B149" s="7" t="n"/>
      <c r="C149" s="7" t="n"/>
      <c r="D149" s="22" t="n"/>
      <c r="E149" s="23" t="n"/>
      <c r="F149" s="23" t="n"/>
      <c r="G149" s="19">
        <f>IF(E149="","",E149-N(F149))</f>
        <v/>
      </c>
      <c r="I149" s="20">
        <f>IF(G149="","",IF(OR($D$10="",$H$10="X",G149&lt;N($C$10)),0,IF(B149="G마켓",ROUNDDOWN(MIN(IF($D$10&gt;=1,MIN($D$10,G149),G149*$D$10),IF($E$10="",9E+99,$E$10)),0),ROUNDUP(MIN(IF($D$10&gt;=1,MIN($D$10,G149),G149*$D$10),IF($E$10="",9E+99,$E$10)),0))))</f>
        <v/>
      </c>
      <c r="J149" s="20">
        <f>IF(G149="","",IF(OR($D$11="",$H$11="X",G149&lt;N($C$11)),0,IF(B149="G마켓",ROUNDDOWN(MIN(IF($D$11&gt;=1,MIN($D$11,G149),G149*$D$11),IF($E$11="",9E+99,$E$11)),0),ROUNDUP(MIN(IF($D$11&gt;=1,MIN($D$11,G149),G149*$D$11),IF($E$11="",9E+99,$E$11)),0))))</f>
        <v/>
      </c>
      <c r="K149" s="20">
        <f>IF(G149="","",IF(OR($D$12="",$H$12="X",G149&lt;N($C$12)),0,IF(B149="G마켓",ROUNDDOWN(MIN(IF($D$12&gt;=1,MIN($D$12,G149),G149*$D$12),IF($E$12="",9E+99,$E$12)),0),ROUNDUP(MIN(IF($D$12&gt;=1,MIN($D$12,G149),G149*$D$12),IF($E$12="",9E+99,$E$12)),0))))</f>
        <v/>
      </c>
      <c r="L149" s="20">
        <f>IF(G149="","",IF(OR($D$13="",$H$13="X",G149&lt;N($C$13)),0,IF(B149="G마켓",ROUNDDOWN(MIN(IF($D$13&gt;=1,MIN($D$13,G149),G149*$D$13),IF($E$13="",9E+99,$E$13)),0),ROUNDUP(MIN(IF($D$13&gt;=1,MIN($D$13,G149),G149*$D$13),IF($E$13="",9E+99,$E$13)),0))))</f>
        <v/>
      </c>
      <c r="M149" s="20">
        <f>IF(G149="","",IF(OR($D$14="",$H$14="X",G149&lt;N($C$14)),0,IF(B149="G마켓",ROUNDDOWN(MIN(IF($D$14&gt;=1,MIN($D$14,G149),G149*$D$14),IF($E$14="",9E+99,$E$14)),0),ROUNDUP(MIN(IF($D$14&gt;=1,MIN($D$14,G149),G149*$D$14),IF($E$14="",9E+99,$E$14)),0))))</f>
        <v/>
      </c>
      <c r="N149" s="19">
        <f>IF(G149="","",G149-MAX(I149:M149))</f>
        <v/>
      </c>
      <c r="O149" s="20">
        <f>IF(N149="","",IF(OR($D$18="",$H$18="X",N149&lt;N($C$18)),0,IF(B149="G마켓",ROUNDDOWN(MIN(IF($D$18&gt;=1,MIN($D$18,N149),N149*$D$18),IF($E$18="",9E+99,$E$18)),0),ROUNDUP(MIN(IF($D$18&gt;=1,MIN($D$18,N149),N149*$D$18),IF($E$18="",9E+99,$E$18)),0))))</f>
        <v/>
      </c>
      <c r="P149" s="20">
        <f>IF(N149="","",IF(OR($D$19="",$H$19="X",N149&lt;N($C$19)),0,IF(B149="G마켓",ROUNDDOWN(MIN(IF($D$19&gt;=1,MIN($D$19,N149),N149*$D$19),IF($E$19="",9E+99,$E$19)),0),ROUNDUP(MIN(IF($D$19&gt;=1,MIN($D$19,N149),N149*$D$19),IF($E$19="",9E+99,$E$19)),0))))</f>
        <v/>
      </c>
      <c r="Q149" s="20">
        <f>IF(N149="","",IF(OR($D$20="",$H$20="X",N149&lt;N($C$20)),0,IF(B149="G마켓",ROUNDDOWN(MIN(IF($D$20&gt;=1,MIN($D$20,N149),N149*$D$20),IF($E$20="",9E+99,$E$20)),0),ROUNDUP(MIN(IF($D$20&gt;=1,MIN($D$20,N149),N149*$D$20),IF($E$20="",9E+99,$E$20)),0))))</f>
        <v/>
      </c>
      <c r="R149" s="20">
        <f>IF(N149="","",IF(OR($D$21="",$H$21="X",N149&lt;N($C$21)),0,IF(B149="G마켓",ROUNDDOWN(MIN(IF($D$21&gt;=1,MIN($D$21,N149),N149*$D$21),IF($E$21="",9E+99,$E$21)),0),ROUNDUP(MIN(IF($D$21&gt;=1,MIN($D$21,N149),N149*$D$21),IF($E$21="",9E+99,$E$21)),0))))</f>
        <v/>
      </c>
      <c r="S149" s="19">
        <f>IF(G149="","",N149-MAX(O149:R149))</f>
        <v/>
      </c>
      <c r="T149" s="20">
        <f>IF(S149="","",IF(OR($D$25="",S149&lt;N($C$25)),0,IF(B149="G마켓",ROUNDDOWN(MIN(IF($D$25&gt;=1,MIN($D$25,S149),S149*$D$25),IF($E$25="",9E+99,$E$25)),0),ROUNDUP(MIN(IF($D$25&gt;=1,MIN($D$25,S149),S149*$D$25),IF($E$25="",9E+99,$E$25)),0))))</f>
        <v/>
      </c>
      <c r="U149" s="20">
        <f>IF(S149="","",IF(OR($D$26="",S149&lt;N($C$26)),0,IF(B149="G마켓",ROUNDDOWN(MIN(IF($D$26&gt;=1,MIN($D$26,S149),S149*$D$26),IF($E$26="",9E+99,$E$26)),0),ROUNDUP(MIN(IF($D$26&gt;=1,MIN($D$26,S149),S149*$D$26),IF($E$26="",9E+99,$E$26)),0))))</f>
        <v/>
      </c>
      <c r="V149" s="20">
        <f>IF(S149="","",IF(OR($D$27="",S149&lt;N($C$27)),0,IF(B149="G마켓",ROUNDDOWN(MIN(IF($D$27&gt;=1,MIN($D$27,S149),S149*$D$27),IF($E$27="",9E+99,$E$27)),0),ROUNDUP(MIN(IF($D$27&gt;=1,MIN($D$27,S149),S149*$D$27),IF($E$27="",9E+99,$E$27)),0))))</f>
        <v/>
      </c>
      <c r="W149" s="19">
        <f>IF(G149="","",MAX(T149:V149))</f>
        <v/>
      </c>
      <c r="X149" s="21">
        <f>IF(G149="","",S149-W149)</f>
        <v/>
      </c>
      <c r="Y149" s="19">
        <f>IF(G149="","",IF(B149="G마켓",ROUNDDOWN(MAX(I149*N($G$10),J149*N($G$11),K149*N($G$12),L149*N($G$13),M149*N($G$14))+MAX(O149*N($G$18),P149*N($G$19),Q149*N($G$20),R149*N($G$21))+MAX(T149*N($G$25),U149*N($G$26),V149*N($G$27)),0),ROUNDUP(MAX(I149*N($G$10),J149*N($G$11),K149*N($G$12),L149*N($G$13),M149*N($G$14))+MAX(O149*N($G$18),P149*N($G$19),Q149*N($G$20),R149*N($G$21))+MAX(T149*N($G$25),U149*N($G$26),V149*N($G$27)),0)))</f>
        <v/>
      </c>
      <c r="Z149" s="21">
        <f>IF(G149="","",IF(B149="G마켓",ROUNDDOWN(G149-G149*$Q$6-Y149,0),ROUNDUP(G149-G149*$Q$6-Y149,0)))</f>
        <v/>
      </c>
    </row>
    <row r="150">
      <c r="B150" s="7" t="n"/>
      <c r="C150" s="7" t="n"/>
      <c r="D150" s="22" t="n"/>
      <c r="E150" s="23" t="n"/>
      <c r="F150" s="23" t="n"/>
      <c r="G150" s="19">
        <f>IF(E150="","",E150-N(F150))</f>
        <v/>
      </c>
      <c r="I150" s="20">
        <f>IF(G150="","",IF(OR($D$10="",$H$10="X",G150&lt;N($C$10)),0,IF(B150="G마켓",ROUNDDOWN(MIN(IF($D$10&gt;=1,MIN($D$10,G150),G150*$D$10),IF($E$10="",9E+99,$E$10)),0),ROUNDUP(MIN(IF($D$10&gt;=1,MIN($D$10,G150),G150*$D$10),IF($E$10="",9E+99,$E$10)),0))))</f>
        <v/>
      </c>
      <c r="J150" s="20">
        <f>IF(G150="","",IF(OR($D$11="",$H$11="X",G150&lt;N($C$11)),0,IF(B150="G마켓",ROUNDDOWN(MIN(IF($D$11&gt;=1,MIN($D$11,G150),G150*$D$11),IF($E$11="",9E+99,$E$11)),0),ROUNDUP(MIN(IF($D$11&gt;=1,MIN($D$11,G150),G150*$D$11),IF($E$11="",9E+99,$E$11)),0))))</f>
        <v/>
      </c>
      <c r="K150" s="20">
        <f>IF(G150="","",IF(OR($D$12="",$H$12="X",G150&lt;N($C$12)),0,IF(B150="G마켓",ROUNDDOWN(MIN(IF($D$12&gt;=1,MIN($D$12,G150),G150*$D$12),IF($E$12="",9E+99,$E$12)),0),ROUNDUP(MIN(IF($D$12&gt;=1,MIN($D$12,G150),G150*$D$12),IF($E$12="",9E+99,$E$12)),0))))</f>
        <v/>
      </c>
      <c r="L150" s="20">
        <f>IF(G150="","",IF(OR($D$13="",$H$13="X",G150&lt;N($C$13)),0,IF(B150="G마켓",ROUNDDOWN(MIN(IF($D$13&gt;=1,MIN($D$13,G150),G150*$D$13),IF($E$13="",9E+99,$E$13)),0),ROUNDUP(MIN(IF($D$13&gt;=1,MIN($D$13,G150),G150*$D$13),IF($E$13="",9E+99,$E$13)),0))))</f>
        <v/>
      </c>
      <c r="M150" s="20">
        <f>IF(G150="","",IF(OR($D$14="",$H$14="X",G150&lt;N($C$14)),0,IF(B150="G마켓",ROUNDDOWN(MIN(IF($D$14&gt;=1,MIN($D$14,G150),G150*$D$14),IF($E$14="",9E+99,$E$14)),0),ROUNDUP(MIN(IF($D$14&gt;=1,MIN($D$14,G150),G150*$D$14),IF($E$14="",9E+99,$E$14)),0))))</f>
        <v/>
      </c>
      <c r="N150" s="19">
        <f>IF(G150="","",G150-MAX(I150:M150))</f>
        <v/>
      </c>
      <c r="O150" s="20">
        <f>IF(N150="","",IF(OR($D$18="",$H$18="X",N150&lt;N($C$18)),0,IF(B150="G마켓",ROUNDDOWN(MIN(IF($D$18&gt;=1,MIN($D$18,N150),N150*$D$18),IF($E$18="",9E+99,$E$18)),0),ROUNDUP(MIN(IF($D$18&gt;=1,MIN($D$18,N150),N150*$D$18),IF($E$18="",9E+99,$E$18)),0))))</f>
        <v/>
      </c>
      <c r="P150" s="20">
        <f>IF(N150="","",IF(OR($D$19="",$H$19="X",N150&lt;N($C$19)),0,IF(B150="G마켓",ROUNDDOWN(MIN(IF($D$19&gt;=1,MIN($D$19,N150),N150*$D$19),IF($E$19="",9E+99,$E$19)),0),ROUNDUP(MIN(IF($D$19&gt;=1,MIN($D$19,N150),N150*$D$19),IF($E$19="",9E+99,$E$19)),0))))</f>
        <v/>
      </c>
      <c r="Q150" s="20">
        <f>IF(N150="","",IF(OR($D$20="",$H$20="X",N150&lt;N($C$20)),0,IF(B150="G마켓",ROUNDDOWN(MIN(IF($D$20&gt;=1,MIN($D$20,N150),N150*$D$20),IF($E$20="",9E+99,$E$20)),0),ROUNDUP(MIN(IF($D$20&gt;=1,MIN($D$20,N150),N150*$D$20),IF($E$20="",9E+99,$E$20)),0))))</f>
        <v/>
      </c>
      <c r="R150" s="20">
        <f>IF(N150="","",IF(OR($D$21="",$H$21="X",N150&lt;N($C$21)),0,IF(B150="G마켓",ROUNDDOWN(MIN(IF($D$21&gt;=1,MIN($D$21,N150),N150*$D$21),IF($E$21="",9E+99,$E$21)),0),ROUNDUP(MIN(IF($D$21&gt;=1,MIN($D$21,N150),N150*$D$21),IF($E$21="",9E+99,$E$21)),0))))</f>
        <v/>
      </c>
      <c r="S150" s="19">
        <f>IF(G150="","",N150-MAX(O150:R150))</f>
        <v/>
      </c>
      <c r="T150" s="20">
        <f>IF(S150="","",IF(OR($D$25="",S150&lt;N($C$25)),0,IF(B150="G마켓",ROUNDDOWN(MIN(IF($D$25&gt;=1,MIN($D$25,S150),S150*$D$25),IF($E$25="",9E+99,$E$25)),0),ROUNDUP(MIN(IF($D$25&gt;=1,MIN($D$25,S150),S150*$D$25),IF($E$25="",9E+99,$E$25)),0))))</f>
        <v/>
      </c>
      <c r="U150" s="20">
        <f>IF(S150="","",IF(OR($D$26="",S150&lt;N($C$26)),0,IF(B150="G마켓",ROUNDDOWN(MIN(IF($D$26&gt;=1,MIN($D$26,S150),S150*$D$26),IF($E$26="",9E+99,$E$26)),0),ROUNDUP(MIN(IF($D$26&gt;=1,MIN($D$26,S150),S150*$D$26),IF($E$26="",9E+99,$E$26)),0))))</f>
        <v/>
      </c>
      <c r="V150" s="20">
        <f>IF(S150="","",IF(OR($D$27="",S150&lt;N($C$27)),0,IF(B150="G마켓",ROUNDDOWN(MIN(IF($D$27&gt;=1,MIN($D$27,S150),S150*$D$27),IF($E$27="",9E+99,$E$27)),0),ROUNDUP(MIN(IF($D$27&gt;=1,MIN($D$27,S150),S150*$D$27),IF($E$27="",9E+99,$E$27)),0))))</f>
        <v/>
      </c>
      <c r="W150" s="19">
        <f>IF(G150="","",MAX(T150:V150))</f>
        <v/>
      </c>
      <c r="X150" s="21">
        <f>IF(G150="","",S150-W150)</f>
        <v/>
      </c>
      <c r="Y150" s="19">
        <f>IF(G150="","",IF(B150="G마켓",ROUNDDOWN(MAX(I150*N($G$10),J150*N($G$11),K150*N($G$12),L150*N($G$13),M150*N($G$14))+MAX(O150*N($G$18),P150*N($G$19),Q150*N($G$20),R150*N($G$21))+MAX(T150*N($G$25),U150*N($G$26),V150*N($G$27)),0),ROUNDUP(MAX(I150*N($G$10),J150*N($G$11),K150*N($G$12),L150*N($G$13),M150*N($G$14))+MAX(O150*N($G$18),P150*N($G$19),Q150*N($G$20),R150*N($G$21))+MAX(T150*N($G$25),U150*N($G$26),V150*N($G$27)),0)))</f>
        <v/>
      </c>
      <c r="Z150" s="21">
        <f>IF(G150="","",IF(B150="G마켓",ROUNDDOWN(G150-G150*$Q$6-Y150,0),ROUNDUP(G150-G150*$Q$6-Y150,0)))</f>
        <v/>
      </c>
    </row>
    <row r="151">
      <c r="B151" s="7" t="n"/>
      <c r="C151" s="7" t="n"/>
      <c r="D151" s="22" t="n"/>
      <c r="E151" s="23" t="n"/>
      <c r="F151" s="23" t="n"/>
      <c r="G151" s="19">
        <f>IF(E151="","",E151-N(F151))</f>
        <v/>
      </c>
      <c r="I151" s="20">
        <f>IF(G151="","",IF(OR($D$10="",$H$10="X",G151&lt;N($C$10)),0,IF(B151="G마켓",ROUNDDOWN(MIN(IF($D$10&gt;=1,MIN($D$10,G151),G151*$D$10),IF($E$10="",9E+99,$E$10)),0),ROUNDUP(MIN(IF($D$10&gt;=1,MIN($D$10,G151),G151*$D$10),IF($E$10="",9E+99,$E$10)),0))))</f>
        <v/>
      </c>
      <c r="J151" s="20">
        <f>IF(G151="","",IF(OR($D$11="",$H$11="X",G151&lt;N($C$11)),0,IF(B151="G마켓",ROUNDDOWN(MIN(IF($D$11&gt;=1,MIN($D$11,G151),G151*$D$11),IF($E$11="",9E+99,$E$11)),0),ROUNDUP(MIN(IF($D$11&gt;=1,MIN($D$11,G151),G151*$D$11),IF($E$11="",9E+99,$E$11)),0))))</f>
        <v/>
      </c>
      <c r="K151" s="20">
        <f>IF(G151="","",IF(OR($D$12="",$H$12="X",G151&lt;N($C$12)),0,IF(B151="G마켓",ROUNDDOWN(MIN(IF($D$12&gt;=1,MIN($D$12,G151),G151*$D$12),IF($E$12="",9E+99,$E$12)),0),ROUNDUP(MIN(IF($D$12&gt;=1,MIN($D$12,G151),G151*$D$12),IF($E$12="",9E+99,$E$12)),0))))</f>
        <v/>
      </c>
      <c r="L151" s="20">
        <f>IF(G151="","",IF(OR($D$13="",$H$13="X",G151&lt;N($C$13)),0,IF(B151="G마켓",ROUNDDOWN(MIN(IF($D$13&gt;=1,MIN($D$13,G151),G151*$D$13),IF($E$13="",9E+99,$E$13)),0),ROUNDUP(MIN(IF($D$13&gt;=1,MIN($D$13,G151),G151*$D$13),IF($E$13="",9E+99,$E$13)),0))))</f>
        <v/>
      </c>
      <c r="M151" s="20">
        <f>IF(G151="","",IF(OR($D$14="",$H$14="X",G151&lt;N($C$14)),0,IF(B151="G마켓",ROUNDDOWN(MIN(IF($D$14&gt;=1,MIN($D$14,G151),G151*$D$14),IF($E$14="",9E+99,$E$14)),0),ROUNDUP(MIN(IF($D$14&gt;=1,MIN($D$14,G151),G151*$D$14),IF($E$14="",9E+99,$E$14)),0))))</f>
        <v/>
      </c>
      <c r="N151" s="19">
        <f>IF(G151="","",G151-MAX(I151:M151))</f>
        <v/>
      </c>
      <c r="O151" s="20">
        <f>IF(N151="","",IF(OR($D$18="",$H$18="X",N151&lt;N($C$18)),0,IF(B151="G마켓",ROUNDDOWN(MIN(IF($D$18&gt;=1,MIN($D$18,N151),N151*$D$18),IF($E$18="",9E+99,$E$18)),0),ROUNDUP(MIN(IF($D$18&gt;=1,MIN($D$18,N151),N151*$D$18),IF($E$18="",9E+99,$E$18)),0))))</f>
        <v/>
      </c>
      <c r="P151" s="20">
        <f>IF(N151="","",IF(OR($D$19="",$H$19="X",N151&lt;N($C$19)),0,IF(B151="G마켓",ROUNDDOWN(MIN(IF($D$19&gt;=1,MIN($D$19,N151),N151*$D$19),IF($E$19="",9E+99,$E$19)),0),ROUNDUP(MIN(IF($D$19&gt;=1,MIN($D$19,N151),N151*$D$19),IF($E$19="",9E+99,$E$19)),0))))</f>
        <v/>
      </c>
      <c r="Q151" s="20">
        <f>IF(N151="","",IF(OR($D$20="",$H$20="X",N151&lt;N($C$20)),0,IF(B151="G마켓",ROUNDDOWN(MIN(IF($D$20&gt;=1,MIN($D$20,N151),N151*$D$20),IF($E$20="",9E+99,$E$20)),0),ROUNDUP(MIN(IF($D$20&gt;=1,MIN($D$20,N151),N151*$D$20),IF($E$20="",9E+99,$E$20)),0))))</f>
        <v/>
      </c>
      <c r="R151" s="20">
        <f>IF(N151="","",IF(OR($D$21="",$H$21="X",N151&lt;N($C$21)),0,IF(B151="G마켓",ROUNDDOWN(MIN(IF($D$21&gt;=1,MIN($D$21,N151),N151*$D$21),IF($E$21="",9E+99,$E$21)),0),ROUNDUP(MIN(IF($D$21&gt;=1,MIN($D$21,N151),N151*$D$21),IF($E$21="",9E+99,$E$21)),0))))</f>
        <v/>
      </c>
      <c r="S151" s="19">
        <f>IF(G151="","",N151-MAX(O151:R151))</f>
        <v/>
      </c>
      <c r="T151" s="20">
        <f>IF(S151="","",IF(OR($D$25="",S151&lt;N($C$25)),0,IF(B151="G마켓",ROUNDDOWN(MIN(IF($D$25&gt;=1,MIN($D$25,S151),S151*$D$25),IF($E$25="",9E+99,$E$25)),0),ROUNDUP(MIN(IF($D$25&gt;=1,MIN($D$25,S151),S151*$D$25),IF($E$25="",9E+99,$E$25)),0))))</f>
        <v/>
      </c>
      <c r="U151" s="20">
        <f>IF(S151="","",IF(OR($D$26="",S151&lt;N($C$26)),0,IF(B151="G마켓",ROUNDDOWN(MIN(IF($D$26&gt;=1,MIN($D$26,S151),S151*$D$26),IF($E$26="",9E+99,$E$26)),0),ROUNDUP(MIN(IF($D$26&gt;=1,MIN($D$26,S151),S151*$D$26),IF($E$26="",9E+99,$E$26)),0))))</f>
        <v/>
      </c>
      <c r="V151" s="20">
        <f>IF(S151="","",IF(OR($D$27="",S151&lt;N($C$27)),0,IF(B151="G마켓",ROUNDDOWN(MIN(IF($D$27&gt;=1,MIN($D$27,S151),S151*$D$27),IF($E$27="",9E+99,$E$27)),0),ROUNDUP(MIN(IF($D$27&gt;=1,MIN($D$27,S151),S151*$D$27),IF($E$27="",9E+99,$E$27)),0))))</f>
        <v/>
      </c>
      <c r="W151" s="19">
        <f>IF(G151="","",MAX(T151:V151))</f>
        <v/>
      </c>
      <c r="X151" s="21">
        <f>IF(G151="","",S151-W151)</f>
        <v/>
      </c>
      <c r="Y151" s="19">
        <f>IF(G151="","",IF(B151="G마켓",ROUNDDOWN(MAX(I151*N($G$10),J151*N($G$11),K151*N($G$12),L151*N($G$13),M151*N($G$14))+MAX(O151*N($G$18),P151*N($G$19),Q151*N($G$20),R151*N($G$21))+MAX(T151*N($G$25),U151*N($G$26),V151*N($G$27)),0),ROUNDUP(MAX(I151*N($G$10),J151*N($G$11),K151*N($G$12),L151*N($G$13),M151*N($G$14))+MAX(O151*N($G$18),P151*N($G$19),Q151*N($G$20),R151*N($G$21))+MAX(T151*N($G$25),U151*N($G$26),V151*N($G$27)),0)))</f>
        <v/>
      </c>
      <c r="Z151" s="21">
        <f>IF(G151="","",IF(B151="G마켓",ROUNDDOWN(G151-G151*$Q$6-Y151,0),ROUNDUP(G151-G151*$Q$6-Y151,0)))</f>
        <v/>
      </c>
    </row>
    <row r="152">
      <c r="B152" s="7" t="n"/>
      <c r="C152" s="7" t="n"/>
      <c r="D152" s="22" t="n"/>
      <c r="E152" s="23" t="n"/>
      <c r="F152" s="23" t="n"/>
      <c r="G152" s="19">
        <f>IF(E152="","",E152-N(F152))</f>
        <v/>
      </c>
      <c r="I152" s="20">
        <f>IF(G152="","",IF(OR($D$10="",$H$10="X",G152&lt;N($C$10)),0,IF(B152="G마켓",ROUNDDOWN(MIN(IF($D$10&gt;=1,MIN($D$10,G152),G152*$D$10),IF($E$10="",9E+99,$E$10)),0),ROUNDUP(MIN(IF($D$10&gt;=1,MIN($D$10,G152),G152*$D$10),IF($E$10="",9E+99,$E$10)),0))))</f>
        <v/>
      </c>
      <c r="J152" s="20">
        <f>IF(G152="","",IF(OR($D$11="",$H$11="X",G152&lt;N($C$11)),0,IF(B152="G마켓",ROUNDDOWN(MIN(IF($D$11&gt;=1,MIN($D$11,G152),G152*$D$11),IF($E$11="",9E+99,$E$11)),0),ROUNDUP(MIN(IF($D$11&gt;=1,MIN($D$11,G152),G152*$D$11),IF($E$11="",9E+99,$E$11)),0))))</f>
        <v/>
      </c>
      <c r="K152" s="20">
        <f>IF(G152="","",IF(OR($D$12="",$H$12="X",G152&lt;N($C$12)),0,IF(B152="G마켓",ROUNDDOWN(MIN(IF($D$12&gt;=1,MIN($D$12,G152),G152*$D$12),IF($E$12="",9E+99,$E$12)),0),ROUNDUP(MIN(IF($D$12&gt;=1,MIN($D$12,G152),G152*$D$12),IF($E$12="",9E+99,$E$12)),0))))</f>
        <v/>
      </c>
      <c r="L152" s="20">
        <f>IF(G152="","",IF(OR($D$13="",$H$13="X",G152&lt;N($C$13)),0,IF(B152="G마켓",ROUNDDOWN(MIN(IF($D$13&gt;=1,MIN($D$13,G152),G152*$D$13),IF($E$13="",9E+99,$E$13)),0),ROUNDUP(MIN(IF($D$13&gt;=1,MIN($D$13,G152),G152*$D$13),IF($E$13="",9E+99,$E$13)),0))))</f>
        <v/>
      </c>
      <c r="M152" s="20">
        <f>IF(G152="","",IF(OR($D$14="",$H$14="X",G152&lt;N($C$14)),0,IF(B152="G마켓",ROUNDDOWN(MIN(IF($D$14&gt;=1,MIN($D$14,G152),G152*$D$14),IF($E$14="",9E+99,$E$14)),0),ROUNDUP(MIN(IF($D$14&gt;=1,MIN($D$14,G152),G152*$D$14),IF($E$14="",9E+99,$E$14)),0))))</f>
        <v/>
      </c>
      <c r="N152" s="19">
        <f>IF(G152="","",G152-MAX(I152:M152))</f>
        <v/>
      </c>
      <c r="O152" s="20">
        <f>IF(N152="","",IF(OR($D$18="",$H$18="X",N152&lt;N($C$18)),0,IF(B152="G마켓",ROUNDDOWN(MIN(IF($D$18&gt;=1,MIN($D$18,N152),N152*$D$18),IF($E$18="",9E+99,$E$18)),0),ROUNDUP(MIN(IF($D$18&gt;=1,MIN($D$18,N152),N152*$D$18),IF($E$18="",9E+99,$E$18)),0))))</f>
        <v/>
      </c>
      <c r="P152" s="20">
        <f>IF(N152="","",IF(OR($D$19="",$H$19="X",N152&lt;N($C$19)),0,IF(B152="G마켓",ROUNDDOWN(MIN(IF($D$19&gt;=1,MIN($D$19,N152),N152*$D$19),IF($E$19="",9E+99,$E$19)),0),ROUNDUP(MIN(IF($D$19&gt;=1,MIN($D$19,N152),N152*$D$19),IF($E$19="",9E+99,$E$19)),0))))</f>
        <v/>
      </c>
      <c r="Q152" s="20">
        <f>IF(N152="","",IF(OR($D$20="",$H$20="X",N152&lt;N($C$20)),0,IF(B152="G마켓",ROUNDDOWN(MIN(IF($D$20&gt;=1,MIN($D$20,N152),N152*$D$20),IF($E$20="",9E+99,$E$20)),0),ROUNDUP(MIN(IF($D$20&gt;=1,MIN($D$20,N152),N152*$D$20),IF($E$20="",9E+99,$E$20)),0))))</f>
        <v/>
      </c>
      <c r="R152" s="20">
        <f>IF(N152="","",IF(OR($D$21="",$H$21="X",N152&lt;N($C$21)),0,IF(B152="G마켓",ROUNDDOWN(MIN(IF($D$21&gt;=1,MIN($D$21,N152),N152*$D$21),IF($E$21="",9E+99,$E$21)),0),ROUNDUP(MIN(IF($D$21&gt;=1,MIN($D$21,N152),N152*$D$21),IF($E$21="",9E+99,$E$21)),0))))</f>
        <v/>
      </c>
      <c r="S152" s="19">
        <f>IF(G152="","",N152-MAX(O152:R152))</f>
        <v/>
      </c>
      <c r="T152" s="20">
        <f>IF(S152="","",IF(OR($D$25="",S152&lt;N($C$25)),0,IF(B152="G마켓",ROUNDDOWN(MIN(IF($D$25&gt;=1,MIN($D$25,S152),S152*$D$25),IF($E$25="",9E+99,$E$25)),0),ROUNDUP(MIN(IF($D$25&gt;=1,MIN($D$25,S152),S152*$D$25),IF($E$25="",9E+99,$E$25)),0))))</f>
        <v/>
      </c>
      <c r="U152" s="20">
        <f>IF(S152="","",IF(OR($D$26="",S152&lt;N($C$26)),0,IF(B152="G마켓",ROUNDDOWN(MIN(IF($D$26&gt;=1,MIN($D$26,S152),S152*$D$26),IF($E$26="",9E+99,$E$26)),0),ROUNDUP(MIN(IF($D$26&gt;=1,MIN($D$26,S152),S152*$D$26),IF($E$26="",9E+99,$E$26)),0))))</f>
        <v/>
      </c>
      <c r="V152" s="20">
        <f>IF(S152="","",IF(OR($D$27="",S152&lt;N($C$27)),0,IF(B152="G마켓",ROUNDDOWN(MIN(IF($D$27&gt;=1,MIN($D$27,S152),S152*$D$27),IF($E$27="",9E+99,$E$27)),0),ROUNDUP(MIN(IF($D$27&gt;=1,MIN($D$27,S152),S152*$D$27),IF($E$27="",9E+99,$E$27)),0))))</f>
        <v/>
      </c>
      <c r="W152" s="19">
        <f>IF(G152="","",MAX(T152:V152))</f>
        <v/>
      </c>
      <c r="X152" s="21">
        <f>IF(G152="","",S152-W152)</f>
        <v/>
      </c>
      <c r="Y152" s="19">
        <f>IF(G152="","",IF(B152="G마켓",ROUNDDOWN(MAX(I152*N($G$10),J152*N($G$11),K152*N($G$12),L152*N($G$13),M152*N($G$14))+MAX(O152*N($G$18),P152*N($G$19),Q152*N($G$20),R152*N($G$21))+MAX(T152*N($G$25),U152*N($G$26),V152*N($G$27)),0),ROUNDUP(MAX(I152*N($G$10),J152*N($G$11),K152*N($G$12),L152*N($G$13),M152*N($G$14))+MAX(O152*N($G$18),P152*N($G$19),Q152*N($G$20),R152*N($G$21))+MAX(T152*N($G$25),U152*N($G$26),V152*N($G$27)),0)))</f>
        <v/>
      </c>
      <c r="Z152" s="21">
        <f>IF(G152="","",IF(B152="G마켓",ROUNDDOWN(G152-G152*$Q$6-Y152,0),ROUNDUP(G152-G152*$Q$6-Y152,0)))</f>
        <v/>
      </c>
    </row>
    <row r="153">
      <c r="B153" s="7" t="n"/>
      <c r="C153" s="7" t="n"/>
      <c r="D153" s="22" t="n"/>
      <c r="E153" s="23" t="n"/>
      <c r="F153" s="23" t="n"/>
      <c r="G153" s="19">
        <f>IF(E153="","",E153-N(F153))</f>
        <v/>
      </c>
      <c r="I153" s="20">
        <f>IF(G153="","",IF(OR($D$10="",$H$10="X",G153&lt;N($C$10)),0,IF(B153="G마켓",ROUNDDOWN(MIN(IF($D$10&gt;=1,MIN($D$10,G153),G153*$D$10),IF($E$10="",9E+99,$E$10)),0),ROUNDUP(MIN(IF($D$10&gt;=1,MIN($D$10,G153),G153*$D$10),IF($E$10="",9E+99,$E$10)),0))))</f>
        <v/>
      </c>
      <c r="J153" s="20">
        <f>IF(G153="","",IF(OR($D$11="",$H$11="X",G153&lt;N($C$11)),0,IF(B153="G마켓",ROUNDDOWN(MIN(IF($D$11&gt;=1,MIN($D$11,G153),G153*$D$11),IF($E$11="",9E+99,$E$11)),0),ROUNDUP(MIN(IF($D$11&gt;=1,MIN($D$11,G153),G153*$D$11),IF($E$11="",9E+99,$E$11)),0))))</f>
        <v/>
      </c>
      <c r="K153" s="20">
        <f>IF(G153="","",IF(OR($D$12="",$H$12="X",G153&lt;N($C$12)),0,IF(B153="G마켓",ROUNDDOWN(MIN(IF($D$12&gt;=1,MIN($D$12,G153),G153*$D$12),IF($E$12="",9E+99,$E$12)),0),ROUNDUP(MIN(IF($D$12&gt;=1,MIN($D$12,G153),G153*$D$12),IF($E$12="",9E+99,$E$12)),0))))</f>
        <v/>
      </c>
      <c r="L153" s="20">
        <f>IF(G153="","",IF(OR($D$13="",$H$13="X",G153&lt;N($C$13)),0,IF(B153="G마켓",ROUNDDOWN(MIN(IF($D$13&gt;=1,MIN($D$13,G153),G153*$D$13),IF($E$13="",9E+99,$E$13)),0),ROUNDUP(MIN(IF($D$13&gt;=1,MIN($D$13,G153),G153*$D$13),IF($E$13="",9E+99,$E$13)),0))))</f>
        <v/>
      </c>
      <c r="M153" s="20">
        <f>IF(G153="","",IF(OR($D$14="",$H$14="X",G153&lt;N($C$14)),0,IF(B153="G마켓",ROUNDDOWN(MIN(IF($D$14&gt;=1,MIN($D$14,G153),G153*$D$14),IF($E$14="",9E+99,$E$14)),0),ROUNDUP(MIN(IF($D$14&gt;=1,MIN($D$14,G153),G153*$D$14),IF($E$14="",9E+99,$E$14)),0))))</f>
        <v/>
      </c>
      <c r="N153" s="19">
        <f>IF(G153="","",G153-MAX(I153:M153))</f>
        <v/>
      </c>
      <c r="O153" s="20">
        <f>IF(N153="","",IF(OR($D$18="",$H$18="X",N153&lt;N($C$18)),0,IF(B153="G마켓",ROUNDDOWN(MIN(IF($D$18&gt;=1,MIN($D$18,N153),N153*$D$18),IF($E$18="",9E+99,$E$18)),0),ROUNDUP(MIN(IF($D$18&gt;=1,MIN($D$18,N153),N153*$D$18),IF($E$18="",9E+99,$E$18)),0))))</f>
        <v/>
      </c>
      <c r="P153" s="20">
        <f>IF(N153="","",IF(OR($D$19="",$H$19="X",N153&lt;N($C$19)),0,IF(B153="G마켓",ROUNDDOWN(MIN(IF($D$19&gt;=1,MIN($D$19,N153),N153*$D$19),IF($E$19="",9E+99,$E$19)),0),ROUNDUP(MIN(IF($D$19&gt;=1,MIN($D$19,N153),N153*$D$19),IF($E$19="",9E+99,$E$19)),0))))</f>
        <v/>
      </c>
      <c r="Q153" s="20">
        <f>IF(N153="","",IF(OR($D$20="",$H$20="X",N153&lt;N($C$20)),0,IF(B153="G마켓",ROUNDDOWN(MIN(IF($D$20&gt;=1,MIN($D$20,N153),N153*$D$20),IF($E$20="",9E+99,$E$20)),0),ROUNDUP(MIN(IF($D$20&gt;=1,MIN($D$20,N153),N153*$D$20),IF($E$20="",9E+99,$E$20)),0))))</f>
        <v/>
      </c>
      <c r="R153" s="20">
        <f>IF(N153="","",IF(OR($D$21="",$H$21="X",N153&lt;N($C$21)),0,IF(B153="G마켓",ROUNDDOWN(MIN(IF($D$21&gt;=1,MIN($D$21,N153),N153*$D$21),IF($E$21="",9E+99,$E$21)),0),ROUNDUP(MIN(IF($D$21&gt;=1,MIN($D$21,N153),N153*$D$21),IF($E$21="",9E+99,$E$21)),0))))</f>
        <v/>
      </c>
      <c r="S153" s="19">
        <f>IF(G153="","",N153-MAX(O153:R153))</f>
        <v/>
      </c>
      <c r="T153" s="20">
        <f>IF(S153="","",IF(OR($D$25="",S153&lt;N($C$25)),0,IF(B153="G마켓",ROUNDDOWN(MIN(IF($D$25&gt;=1,MIN($D$25,S153),S153*$D$25),IF($E$25="",9E+99,$E$25)),0),ROUNDUP(MIN(IF($D$25&gt;=1,MIN($D$25,S153),S153*$D$25),IF($E$25="",9E+99,$E$25)),0))))</f>
        <v/>
      </c>
      <c r="U153" s="20">
        <f>IF(S153="","",IF(OR($D$26="",S153&lt;N($C$26)),0,IF(B153="G마켓",ROUNDDOWN(MIN(IF($D$26&gt;=1,MIN($D$26,S153),S153*$D$26),IF($E$26="",9E+99,$E$26)),0),ROUNDUP(MIN(IF($D$26&gt;=1,MIN($D$26,S153),S153*$D$26),IF($E$26="",9E+99,$E$26)),0))))</f>
        <v/>
      </c>
      <c r="V153" s="20">
        <f>IF(S153="","",IF(OR($D$27="",S153&lt;N($C$27)),0,IF(B153="G마켓",ROUNDDOWN(MIN(IF($D$27&gt;=1,MIN($D$27,S153),S153*$D$27),IF($E$27="",9E+99,$E$27)),0),ROUNDUP(MIN(IF($D$27&gt;=1,MIN($D$27,S153),S153*$D$27),IF($E$27="",9E+99,$E$27)),0))))</f>
        <v/>
      </c>
      <c r="W153" s="19">
        <f>IF(G153="","",MAX(T153:V153))</f>
        <v/>
      </c>
      <c r="X153" s="21">
        <f>IF(G153="","",S153-W153)</f>
        <v/>
      </c>
      <c r="Y153" s="19">
        <f>IF(G153="","",IF(B153="G마켓",ROUNDDOWN(MAX(I153*N($G$10),J153*N($G$11),K153*N($G$12),L153*N($G$13),M153*N($G$14))+MAX(O153*N($G$18),P153*N($G$19),Q153*N($G$20),R153*N($G$21))+MAX(T153*N($G$25),U153*N($G$26),V153*N($G$27)),0),ROUNDUP(MAX(I153*N($G$10),J153*N($G$11),K153*N($G$12),L153*N($G$13),M153*N($G$14))+MAX(O153*N($G$18),P153*N($G$19),Q153*N($G$20),R153*N($G$21))+MAX(T153*N($G$25),U153*N($G$26),V153*N($G$27)),0)))</f>
        <v/>
      </c>
      <c r="Z153" s="21">
        <f>IF(G153="","",IF(B153="G마켓",ROUNDDOWN(G153-G153*$Q$6-Y153,0),ROUNDUP(G153-G153*$Q$6-Y153,0)))</f>
        <v/>
      </c>
    </row>
    <row r="154">
      <c r="B154" s="7" t="n"/>
      <c r="C154" s="7" t="n"/>
      <c r="D154" s="22" t="n"/>
      <c r="E154" s="23" t="n"/>
      <c r="F154" s="23" t="n"/>
      <c r="G154" s="19">
        <f>IF(E154="","",E154-N(F154))</f>
        <v/>
      </c>
      <c r="I154" s="20">
        <f>IF(G154="","",IF(OR($D$10="",$H$10="X",G154&lt;N($C$10)),0,IF(B154="G마켓",ROUNDDOWN(MIN(IF($D$10&gt;=1,MIN($D$10,G154),G154*$D$10),IF($E$10="",9E+99,$E$10)),0),ROUNDUP(MIN(IF($D$10&gt;=1,MIN($D$10,G154),G154*$D$10),IF($E$10="",9E+99,$E$10)),0))))</f>
        <v/>
      </c>
      <c r="J154" s="20">
        <f>IF(G154="","",IF(OR($D$11="",$H$11="X",G154&lt;N($C$11)),0,IF(B154="G마켓",ROUNDDOWN(MIN(IF($D$11&gt;=1,MIN($D$11,G154),G154*$D$11),IF($E$11="",9E+99,$E$11)),0),ROUNDUP(MIN(IF($D$11&gt;=1,MIN($D$11,G154),G154*$D$11),IF($E$11="",9E+99,$E$11)),0))))</f>
        <v/>
      </c>
      <c r="K154" s="20">
        <f>IF(G154="","",IF(OR($D$12="",$H$12="X",G154&lt;N($C$12)),0,IF(B154="G마켓",ROUNDDOWN(MIN(IF($D$12&gt;=1,MIN($D$12,G154),G154*$D$12),IF($E$12="",9E+99,$E$12)),0),ROUNDUP(MIN(IF($D$12&gt;=1,MIN($D$12,G154),G154*$D$12),IF($E$12="",9E+99,$E$12)),0))))</f>
        <v/>
      </c>
      <c r="L154" s="20">
        <f>IF(G154="","",IF(OR($D$13="",$H$13="X",G154&lt;N($C$13)),0,IF(B154="G마켓",ROUNDDOWN(MIN(IF($D$13&gt;=1,MIN($D$13,G154),G154*$D$13),IF($E$13="",9E+99,$E$13)),0),ROUNDUP(MIN(IF($D$13&gt;=1,MIN($D$13,G154),G154*$D$13),IF($E$13="",9E+99,$E$13)),0))))</f>
        <v/>
      </c>
      <c r="M154" s="20">
        <f>IF(G154="","",IF(OR($D$14="",$H$14="X",G154&lt;N($C$14)),0,IF(B154="G마켓",ROUNDDOWN(MIN(IF($D$14&gt;=1,MIN($D$14,G154),G154*$D$14),IF($E$14="",9E+99,$E$14)),0),ROUNDUP(MIN(IF($D$14&gt;=1,MIN($D$14,G154),G154*$D$14),IF($E$14="",9E+99,$E$14)),0))))</f>
        <v/>
      </c>
      <c r="N154" s="19">
        <f>IF(G154="","",G154-MAX(I154:M154))</f>
        <v/>
      </c>
      <c r="O154" s="20">
        <f>IF(N154="","",IF(OR($D$18="",$H$18="X",N154&lt;N($C$18)),0,IF(B154="G마켓",ROUNDDOWN(MIN(IF($D$18&gt;=1,MIN($D$18,N154),N154*$D$18),IF($E$18="",9E+99,$E$18)),0),ROUNDUP(MIN(IF($D$18&gt;=1,MIN($D$18,N154),N154*$D$18),IF($E$18="",9E+99,$E$18)),0))))</f>
        <v/>
      </c>
      <c r="P154" s="20">
        <f>IF(N154="","",IF(OR($D$19="",$H$19="X",N154&lt;N($C$19)),0,IF(B154="G마켓",ROUNDDOWN(MIN(IF($D$19&gt;=1,MIN($D$19,N154),N154*$D$19),IF($E$19="",9E+99,$E$19)),0),ROUNDUP(MIN(IF($D$19&gt;=1,MIN($D$19,N154),N154*$D$19),IF($E$19="",9E+99,$E$19)),0))))</f>
        <v/>
      </c>
      <c r="Q154" s="20">
        <f>IF(N154="","",IF(OR($D$20="",$H$20="X",N154&lt;N($C$20)),0,IF(B154="G마켓",ROUNDDOWN(MIN(IF($D$20&gt;=1,MIN($D$20,N154),N154*$D$20),IF($E$20="",9E+99,$E$20)),0),ROUNDUP(MIN(IF($D$20&gt;=1,MIN($D$20,N154),N154*$D$20),IF($E$20="",9E+99,$E$20)),0))))</f>
        <v/>
      </c>
      <c r="R154" s="20">
        <f>IF(N154="","",IF(OR($D$21="",$H$21="X",N154&lt;N($C$21)),0,IF(B154="G마켓",ROUNDDOWN(MIN(IF($D$21&gt;=1,MIN($D$21,N154),N154*$D$21),IF($E$21="",9E+99,$E$21)),0),ROUNDUP(MIN(IF($D$21&gt;=1,MIN($D$21,N154),N154*$D$21),IF($E$21="",9E+99,$E$21)),0))))</f>
        <v/>
      </c>
      <c r="S154" s="19">
        <f>IF(G154="","",N154-MAX(O154:R154))</f>
        <v/>
      </c>
      <c r="T154" s="20">
        <f>IF(S154="","",IF(OR($D$25="",S154&lt;N($C$25)),0,IF(B154="G마켓",ROUNDDOWN(MIN(IF($D$25&gt;=1,MIN($D$25,S154),S154*$D$25),IF($E$25="",9E+99,$E$25)),0),ROUNDUP(MIN(IF($D$25&gt;=1,MIN($D$25,S154),S154*$D$25),IF($E$25="",9E+99,$E$25)),0))))</f>
        <v/>
      </c>
      <c r="U154" s="20">
        <f>IF(S154="","",IF(OR($D$26="",S154&lt;N($C$26)),0,IF(B154="G마켓",ROUNDDOWN(MIN(IF($D$26&gt;=1,MIN($D$26,S154),S154*$D$26),IF($E$26="",9E+99,$E$26)),0),ROUNDUP(MIN(IF($D$26&gt;=1,MIN($D$26,S154),S154*$D$26),IF($E$26="",9E+99,$E$26)),0))))</f>
        <v/>
      </c>
      <c r="V154" s="20">
        <f>IF(S154="","",IF(OR($D$27="",S154&lt;N($C$27)),0,IF(B154="G마켓",ROUNDDOWN(MIN(IF($D$27&gt;=1,MIN($D$27,S154),S154*$D$27),IF($E$27="",9E+99,$E$27)),0),ROUNDUP(MIN(IF($D$27&gt;=1,MIN($D$27,S154),S154*$D$27),IF($E$27="",9E+99,$E$27)),0))))</f>
        <v/>
      </c>
      <c r="W154" s="19">
        <f>IF(G154="","",MAX(T154:V154))</f>
        <v/>
      </c>
      <c r="X154" s="21">
        <f>IF(G154="","",S154-W154)</f>
        <v/>
      </c>
      <c r="Y154" s="19">
        <f>IF(G154="","",IF(B154="G마켓",ROUNDDOWN(MAX(I154*N($G$10),J154*N($G$11),K154*N($G$12),L154*N($G$13),M154*N($G$14))+MAX(O154*N($G$18),P154*N($G$19),Q154*N($G$20),R154*N($G$21))+MAX(T154*N($G$25),U154*N($G$26),V154*N($G$27)),0),ROUNDUP(MAX(I154*N($G$10),J154*N($G$11),K154*N($G$12),L154*N($G$13),M154*N($G$14))+MAX(O154*N($G$18),P154*N($G$19),Q154*N($G$20),R154*N($G$21))+MAX(T154*N($G$25),U154*N($G$26),V154*N($G$27)),0)))</f>
        <v/>
      </c>
      <c r="Z154" s="21">
        <f>IF(G154="","",IF(B154="G마켓",ROUNDDOWN(G154-G154*$Q$6-Y154,0),ROUNDUP(G154-G154*$Q$6-Y154,0)))</f>
        <v/>
      </c>
    </row>
    <row r="155">
      <c r="B155" s="7" t="n"/>
      <c r="C155" s="7" t="n"/>
      <c r="D155" s="22" t="n"/>
      <c r="E155" s="23" t="n"/>
      <c r="F155" s="23" t="n"/>
      <c r="G155" s="19">
        <f>IF(E155="","",E155-N(F155))</f>
        <v/>
      </c>
      <c r="I155" s="20">
        <f>IF(G155="","",IF(OR($D$10="",$H$10="X",G155&lt;N($C$10)),0,IF(B155="G마켓",ROUNDDOWN(MIN(IF($D$10&gt;=1,MIN($D$10,G155),G155*$D$10),IF($E$10="",9E+99,$E$10)),0),ROUNDUP(MIN(IF($D$10&gt;=1,MIN($D$10,G155),G155*$D$10),IF($E$10="",9E+99,$E$10)),0))))</f>
        <v/>
      </c>
      <c r="J155" s="20">
        <f>IF(G155="","",IF(OR($D$11="",$H$11="X",G155&lt;N($C$11)),0,IF(B155="G마켓",ROUNDDOWN(MIN(IF($D$11&gt;=1,MIN($D$11,G155),G155*$D$11),IF($E$11="",9E+99,$E$11)),0),ROUNDUP(MIN(IF($D$11&gt;=1,MIN($D$11,G155),G155*$D$11),IF($E$11="",9E+99,$E$11)),0))))</f>
        <v/>
      </c>
      <c r="K155" s="20">
        <f>IF(G155="","",IF(OR($D$12="",$H$12="X",G155&lt;N($C$12)),0,IF(B155="G마켓",ROUNDDOWN(MIN(IF($D$12&gt;=1,MIN($D$12,G155),G155*$D$12),IF($E$12="",9E+99,$E$12)),0),ROUNDUP(MIN(IF($D$12&gt;=1,MIN($D$12,G155),G155*$D$12),IF($E$12="",9E+99,$E$12)),0))))</f>
        <v/>
      </c>
      <c r="L155" s="20">
        <f>IF(G155="","",IF(OR($D$13="",$H$13="X",G155&lt;N($C$13)),0,IF(B155="G마켓",ROUNDDOWN(MIN(IF($D$13&gt;=1,MIN($D$13,G155),G155*$D$13),IF($E$13="",9E+99,$E$13)),0),ROUNDUP(MIN(IF($D$13&gt;=1,MIN($D$13,G155),G155*$D$13),IF($E$13="",9E+99,$E$13)),0))))</f>
        <v/>
      </c>
      <c r="M155" s="20">
        <f>IF(G155="","",IF(OR($D$14="",$H$14="X",G155&lt;N($C$14)),0,IF(B155="G마켓",ROUNDDOWN(MIN(IF($D$14&gt;=1,MIN($D$14,G155),G155*$D$14),IF($E$14="",9E+99,$E$14)),0),ROUNDUP(MIN(IF($D$14&gt;=1,MIN($D$14,G155),G155*$D$14),IF($E$14="",9E+99,$E$14)),0))))</f>
        <v/>
      </c>
      <c r="N155" s="19">
        <f>IF(G155="","",G155-MAX(I155:M155))</f>
        <v/>
      </c>
      <c r="O155" s="20">
        <f>IF(N155="","",IF(OR($D$18="",$H$18="X",N155&lt;N($C$18)),0,IF(B155="G마켓",ROUNDDOWN(MIN(IF($D$18&gt;=1,MIN($D$18,N155),N155*$D$18),IF($E$18="",9E+99,$E$18)),0),ROUNDUP(MIN(IF($D$18&gt;=1,MIN($D$18,N155),N155*$D$18),IF($E$18="",9E+99,$E$18)),0))))</f>
        <v/>
      </c>
      <c r="P155" s="20">
        <f>IF(N155="","",IF(OR($D$19="",$H$19="X",N155&lt;N($C$19)),0,IF(B155="G마켓",ROUNDDOWN(MIN(IF($D$19&gt;=1,MIN($D$19,N155),N155*$D$19),IF($E$19="",9E+99,$E$19)),0),ROUNDUP(MIN(IF($D$19&gt;=1,MIN($D$19,N155),N155*$D$19),IF($E$19="",9E+99,$E$19)),0))))</f>
        <v/>
      </c>
      <c r="Q155" s="20">
        <f>IF(N155="","",IF(OR($D$20="",$H$20="X",N155&lt;N($C$20)),0,IF(B155="G마켓",ROUNDDOWN(MIN(IF($D$20&gt;=1,MIN($D$20,N155),N155*$D$20),IF($E$20="",9E+99,$E$20)),0),ROUNDUP(MIN(IF($D$20&gt;=1,MIN($D$20,N155),N155*$D$20),IF($E$20="",9E+99,$E$20)),0))))</f>
        <v/>
      </c>
      <c r="R155" s="20">
        <f>IF(N155="","",IF(OR($D$21="",$H$21="X",N155&lt;N($C$21)),0,IF(B155="G마켓",ROUNDDOWN(MIN(IF($D$21&gt;=1,MIN($D$21,N155),N155*$D$21),IF($E$21="",9E+99,$E$21)),0),ROUNDUP(MIN(IF($D$21&gt;=1,MIN($D$21,N155),N155*$D$21),IF($E$21="",9E+99,$E$21)),0))))</f>
        <v/>
      </c>
      <c r="S155" s="19">
        <f>IF(G155="","",N155-MAX(O155:R155))</f>
        <v/>
      </c>
      <c r="T155" s="20">
        <f>IF(S155="","",IF(OR($D$25="",S155&lt;N($C$25)),0,IF(B155="G마켓",ROUNDDOWN(MIN(IF($D$25&gt;=1,MIN($D$25,S155),S155*$D$25),IF($E$25="",9E+99,$E$25)),0),ROUNDUP(MIN(IF($D$25&gt;=1,MIN($D$25,S155),S155*$D$25),IF($E$25="",9E+99,$E$25)),0))))</f>
        <v/>
      </c>
      <c r="U155" s="20">
        <f>IF(S155="","",IF(OR($D$26="",S155&lt;N($C$26)),0,IF(B155="G마켓",ROUNDDOWN(MIN(IF($D$26&gt;=1,MIN($D$26,S155),S155*$D$26),IF($E$26="",9E+99,$E$26)),0),ROUNDUP(MIN(IF($D$26&gt;=1,MIN($D$26,S155),S155*$D$26),IF($E$26="",9E+99,$E$26)),0))))</f>
        <v/>
      </c>
      <c r="V155" s="20">
        <f>IF(S155="","",IF(OR($D$27="",S155&lt;N($C$27)),0,IF(B155="G마켓",ROUNDDOWN(MIN(IF($D$27&gt;=1,MIN($D$27,S155),S155*$D$27),IF($E$27="",9E+99,$E$27)),0),ROUNDUP(MIN(IF($D$27&gt;=1,MIN($D$27,S155),S155*$D$27),IF($E$27="",9E+99,$E$27)),0))))</f>
        <v/>
      </c>
      <c r="W155" s="19">
        <f>IF(G155="","",MAX(T155:V155))</f>
        <v/>
      </c>
      <c r="X155" s="21">
        <f>IF(G155="","",S155-W155)</f>
        <v/>
      </c>
      <c r="Y155" s="19">
        <f>IF(G155="","",IF(B155="G마켓",ROUNDDOWN(MAX(I155*N($G$10),J155*N($G$11),K155*N($G$12),L155*N($G$13),M155*N($G$14))+MAX(O155*N($G$18),P155*N($G$19),Q155*N($G$20),R155*N($G$21))+MAX(T155*N($G$25),U155*N($G$26),V155*N($G$27)),0),ROUNDUP(MAX(I155*N($G$10),J155*N($G$11),K155*N($G$12),L155*N($G$13),M155*N($G$14))+MAX(O155*N($G$18),P155*N($G$19),Q155*N($G$20),R155*N($G$21))+MAX(T155*N($G$25),U155*N($G$26),V155*N($G$27)),0)))</f>
        <v/>
      </c>
      <c r="Z155" s="21">
        <f>IF(G155="","",IF(B155="G마켓",ROUNDDOWN(G155-G155*$Q$6-Y155,0),ROUNDUP(G155-G155*$Q$6-Y155,0)))</f>
        <v/>
      </c>
    </row>
    <row r="156">
      <c r="B156" s="7" t="n"/>
      <c r="C156" s="7" t="n"/>
      <c r="D156" s="22" t="n"/>
      <c r="E156" s="23" t="n"/>
      <c r="F156" s="23" t="n"/>
      <c r="G156" s="19">
        <f>IF(E156="","",E156-N(F156))</f>
        <v/>
      </c>
      <c r="I156" s="20">
        <f>IF(G156="","",IF(OR($D$10="",$H$10="X",G156&lt;N($C$10)),0,IF(B156="G마켓",ROUNDDOWN(MIN(IF($D$10&gt;=1,MIN($D$10,G156),G156*$D$10),IF($E$10="",9E+99,$E$10)),0),ROUNDUP(MIN(IF($D$10&gt;=1,MIN($D$10,G156),G156*$D$10),IF($E$10="",9E+99,$E$10)),0))))</f>
        <v/>
      </c>
      <c r="J156" s="20">
        <f>IF(G156="","",IF(OR($D$11="",$H$11="X",G156&lt;N($C$11)),0,IF(B156="G마켓",ROUNDDOWN(MIN(IF($D$11&gt;=1,MIN($D$11,G156),G156*$D$11),IF($E$11="",9E+99,$E$11)),0),ROUNDUP(MIN(IF($D$11&gt;=1,MIN($D$11,G156),G156*$D$11),IF($E$11="",9E+99,$E$11)),0))))</f>
        <v/>
      </c>
      <c r="K156" s="20">
        <f>IF(G156="","",IF(OR($D$12="",$H$12="X",G156&lt;N($C$12)),0,IF(B156="G마켓",ROUNDDOWN(MIN(IF($D$12&gt;=1,MIN($D$12,G156),G156*$D$12),IF($E$12="",9E+99,$E$12)),0),ROUNDUP(MIN(IF($D$12&gt;=1,MIN($D$12,G156),G156*$D$12),IF($E$12="",9E+99,$E$12)),0))))</f>
        <v/>
      </c>
      <c r="L156" s="20">
        <f>IF(G156="","",IF(OR($D$13="",$H$13="X",G156&lt;N($C$13)),0,IF(B156="G마켓",ROUNDDOWN(MIN(IF($D$13&gt;=1,MIN($D$13,G156),G156*$D$13),IF($E$13="",9E+99,$E$13)),0),ROUNDUP(MIN(IF($D$13&gt;=1,MIN($D$13,G156),G156*$D$13),IF($E$13="",9E+99,$E$13)),0))))</f>
        <v/>
      </c>
      <c r="M156" s="20">
        <f>IF(G156="","",IF(OR($D$14="",$H$14="X",G156&lt;N($C$14)),0,IF(B156="G마켓",ROUNDDOWN(MIN(IF($D$14&gt;=1,MIN($D$14,G156),G156*$D$14),IF($E$14="",9E+99,$E$14)),0),ROUNDUP(MIN(IF($D$14&gt;=1,MIN($D$14,G156),G156*$D$14),IF($E$14="",9E+99,$E$14)),0))))</f>
        <v/>
      </c>
      <c r="N156" s="19">
        <f>IF(G156="","",G156-MAX(I156:M156))</f>
        <v/>
      </c>
      <c r="O156" s="20">
        <f>IF(N156="","",IF(OR($D$18="",$H$18="X",N156&lt;N($C$18)),0,IF(B156="G마켓",ROUNDDOWN(MIN(IF($D$18&gt;=1,MIN($D$18,N156),N156*$D$18),IF($E$18="",9E+99,$E$18)),0),ROUNDUP(MIN(IF($D$18&gt;=1,MIN($D$18,N156),N156*$D$18),IF($E$18="",9E+99,$E$18)),0))))</f>
        <v/>
      </c>
      <c r="P156" s="20">
        <f>IF(N156="","",IF(OR($D$19="",$H$19="X",N156&lt;N($C$19)),0,IF(B156="G마켓",ROUNDDOWN(MIN(IF($D$19&gt;=1,MIN($D$19,N156),N156*$D$19),IF($E$19="",9E+99,$E$19)),0),ROUNDUP(MIN(IF($D$19&gt;=1,MIN($D$19,N156),N156*$D$19),IF($E$19="",9E+99,$E$19)),0))))</f>
        <v/>
      </c>
      <c r="Q156" s="20">
        <f>IF(N156="","",IF(OR($D$20="",$H$20="X",N156&lt;N($C$20)),0,IF(B156="G마켓",ROUNDDOWN(MIN(IF($D$20&gt;=1,MIN($D$20,N156),N156*$D$20),IF($E$20="",9E+99,$E$20)),0),ROUNDUP(MIN(IF($D$20&gt;=1,MIN($D$20,N156),N156*$D$20),IF($E$20="",9E+99,$E$20)),0))))</f>
        <v/>
      </c>
      <c r="R156" s="20">
        <f>IF(N156="","",IF(OR($D$21="",$H$21="X",N156&lt;N($C$21)),0,IF(B156="G마켓",ROUNDDOWN(MIN(IF($D$21&gt;=1,MIN($D$21,N156),N156*$D$21),IF($E$21="",9E+99,$E$21)),0),ROUNDUP(MIN(IF($D$21&gt;=1,MIN($D$21,N156),N156*$D$21),IF($E$21="",9E+99,$E$21)),0))))</f>
        <v/>
      </c>
      <c r="S156" s="19">
        <f>IF(G156="","",N156-MAX(O156:R156))</f>
        <v/>
      </c>
      <c r="T156" s="20">
        <f>IF(S156="","",IF(OR($D$25="",S156&lt;N($C$25)),0,IF(B156="G마켓",ROUNDDOWN(MIN(IF($D$25&gt;=1,MIN($D$25,S156),S156*$D$25),IF($E$25="",9E+99,$E$25)),0),ROUNDUP(MIN(IF($D$25&gt;=1,MIN($D$25,S156),S156*$D$25),IF($E$25="",9E+99,$E$25)),0))))</f>
        <v/>
      </c>
      <c r="U156" s="20">
        <f>IF(S156="","",IF(OR($D$26="",S156&lt;N($C$26)),0,IF(B156="G마켓",ROUNDDOWN(MIN(IF($D$26&gt;=1,MIN($D$26,S156),S156*$D$26),IF($E$26="",9E+99,$E$26)),0),ROUNDUP(MIN(IF($D$26&gt;=1,MIN($D$26,S156),S156*$D$26),IF($E$26="",9E+99,$E$26)),0))))</f>
        <v/>
      </c>
      <c r="V156" s="20">
        <f>IF(S156="","",IF(OR($D$27="",S156&lt;N($C$27)),0,IF(B156="G마켓",ROUNDDOWN(MIN(IF($D$27&gt;=1,MIN($D$27,S156),S156*$D$27),IF($E$27="",9E+99,$E$27)),0),ROUNDUP(MIN(IF($D$27&gt;=1,MIN($D$27,S156),S156*$D$27),IF($E$27="",9E+99,$E$27)),0))))</f>
        <v/>
      </c>
      <c r="W156" s="19">
        <f>IF(G156="","",MAX(T156:V156))</f>
        <v/>
      </c>
      <c r="X156" s="21">
        <f>IF(G156="","",S156-W156)</f>
        <v/>
      </c>
      <c r="Y156" s="19">
        <f>IF(G156="","",IF(B156="G마켓",ROUNDDOWN(MAX(I156*N($G$10),J156*N($G$11),K156*N($G$12),L156*N($G$13),M156*N($G$14))+MAX(O156*N($G$18),P156*N($G$19),Q156*N($G$20),R156*N($G$21))+MAX(T156*N($G$25),U156*N($G$26),V156*N($G$27)),0),ROUNDUP(MAX(I156*N($G$10),J156*N($G$11),K156*N($G$12),L156*N($G$13),M156*N($G$14))+MAX(O156*N($G$18),P156*N($G$19),Q156*N($G$20),R156*N($G$21))+MAX(T156*N($G$25),U156*N($G$26),V156*N($G$27)),0)))</f>
        <v/>
      </c>
      <c r="Z156" s="21">
        <f>IF(G156="","",IF(B156="G마켓",ROUNDDOWN(G156-G156*$Q$6-Y156,0),ROUNDUP(G156-G156*$Q$6-Y156,0)))</f>
        <v/>
      </c>
    </row>
    <row r="157">
      <c r="B157" s="7" t="n"/>
      <c r="C157" s="7" t="n"/>
      <c r="D157" s="22" t="n"/>
      <c r="E157" s="23" t="n"/>
      <c r="F157" s="23" t="n"/>
      <c r="G157" s="19">
        <f>IF(E157="","",E157-N(F157))</f>
        <v/>
      </c>
      <c r="I157" s="20">
        <f>IF(G157="","",IF(OR($D$10="",$H$10="X",G157&lt;N($C$10)),0,IF(B157="G마켓",ROUNDDOWN(MIN(IF($D$10&gt;=1,MIN($D$10,G157),G157*$D$10),IF($E$10="",9E+99,$E$10)),0),ROUNDUP(MIN(IF($D$10&gt;=1,MIN($D$10,G157),G157*$D$10),IF($E$10="",9E+99,$E$10)),0))))</f>
        <v/>
      </c>
      <c r="J157" s="20">
        <f>IF(G157="","",IF(OR($D$11="",$H$11="X",G157&lt;N($C$11)),0,IF(B157="G마켓",ROUNDDOWN(MIN(IF($D$11&gt;=1,MIN($D$11,G157),G157*$D$11),IF($E$11="",9E+99,$E$11)),0),ROUNDUP(MIN(IF($D$11&gt;=1,MIN($D$11,G157),G157*$D$11),IF($E$11="",9E+99,$E$11)),0))))</f>
        <v/>
      </c>
      <c r="K157" s="20">
        <f>IF(G157="","",IF(OR($D$12="",$H$12="X",G157&lt;N($C$12)),0,IF(B157="G마켓",ROUNDDOWN(MIN(IF($D$12&gt;=1,MIN($D$12,G157),G157*$D$12),IF($E$12="",9E+99,$E$12)),0),ROUNDUP(MIN(IF($D$12&gt;=1,MIN($D$12,G157),G157*$D$12),IF($E$12="",9E+99,$E$12)),0))))</f>
        <v/>
      </c>
      <c r="L157" s="20">
        <f>IF(G157="","",IF(OR($D$13="",$H$13="X",G157&lt;N($C$13)),0,IF(B157="G마켓",ROUNDDOWN(MIN(IF($D$13&gt;=1,MIN($D$13,G157),G157*$D$13),IF($E$13="",9E+99,$E$13)),0),ROUNDUP(MIN(IF($D$13&gt;=1,MIN($D$13,G157),G157*$D$13),IF($E$13="",9E+99,$E$13)),0))))</f>
        <v/>
      </c>
      <c r="M157" s="20">
        <f>IF(G157="","",IF(OR($D$14="",$H$14="X",G157&lt;N($C$14)),0,IF(B157="G마켓",ROUNDDOWN(MIN(IF($D$14&gt;=1,MIN($D$14,G157),G157*$D$14),IF($E$14="",9E+99,$E$14)),0),ROUNDUP(MIN(IF($D$14&gt;=1,MIN($D$14,G157),G157*$D$14),IF($E$14="",9E+99,$E$14)),0))))</f>
        <v/>
      </c>
      <c r="N157" s="19">
        <f>IF(G157="","",G157-MAX(I157:M157))</f>
        <v/>
      </c>
      <c r="O157" s="20">
        <f>IF(N157="","",IF(OR($D$18="",$H$18="X",N157&lt;N($C$18)),0,IF(B157="G마켓",ROUNDDOWN(MIN(IF($D$18&gt;=1,MIN($D$18,N157),N157*$D$18),IF($E$18="",9E+99,$E$18)),0),ROUNDUP(MIN(IF($D$18&gt;=1,MIN($D$18,N157),N157*$D$18),IF($E$18="",9E+99,$E$18)),0))))</f>
        <v/>
      </c>
      <c r="P157" s="20">
        <f>IF(N157="","",IF(OR($D$19="",$H$19="X",N157&lt;N($C$19)),0,IF(B157="G마켓",ROUNDDOWN(MIN(IF($D$19&gt;=1,MIN($D$19,N157),N157*$D$19),IF($E$19="",9E+99,$E$19)),0),ROUNDUP(MIN(IF($D$19&gt;=1,MIN($D$19,N157),N157*$D$19),IF($E$19="",9E+99,$E$19)),0))))</f>
        <v/>
      </c>
      <c r="Q157" s="20">
        <f>IF(N157="","",IF(OR($D$20="",$H$20="X",N157&lt;N($C$20)),0,IF(B157="G마켓",ROUNDDOWN(MIN(IF($D$20&gt;=1,MIN($D$20,N157),N157*$D$20),IF($E$20="",9E+99,$E$20)),0),ROUNDUP(MIN(IF($D$20&gt;=1,MIN($D$20,N157),N157*$D$20),IF($E$20="",9E+99,$E$20)),0))))</f>
        <v/>
      </c>
      <c r="R157" s="20">
        <f>IF(N157="","",IF(OR($D$21="",$H$21="X",N157&lt;N($C$21)),0,IF(B157="G마켓",ROUNDDOWN(MIN(IF($D$21&gt;=1,MIN($D$21,N157),N157*$D$21),IF($E$21="",9E+99,$E$21)),0),ROUNDUP(MIN(IF($D$21&gt;=1,MIN($D$21,N157),N157*$D$21),IF($E$21="",9E+99,$E$21)),0))))</f>
        <v/>
      </c>
      <c r="S157" s="19">
        <f>IF(G157="","",N157-MAX(O157:R157))</f>
        <v/>
      </c>
      <c r="T157" s="20">
        <f>IF(S157="","",IF(OR($D$25="",S157&lt;N($C$25)),0,IF(B157="G마켓",ROUNDDOWN(MIN(IF($D$25&gt;=1,MIN($D$25,S157),S157*$D$25),IF($E$25="",9E+99,$E$25)),0),ROUNDUP(MIN(IF($D$25&gt;=1,MIN($D$25,S157),S157*$D$25),IF($E$25="",9E+99,$E$25)),0))))</f>
        <v/>
      </c>
      <c r="U157" s="20">
        <f>IF(S157="","",IF(OR($D$26="",S157&lt;N($C$26)),0,IF(B157="G마켓",ROUNDDOWN(MIN(IF($D$26&gt;=1,MIN($D$26,S157),S157*$D$26),IF($E$26="",9E+99,$E$26)),0),ROUNDUP(MIN(IF($D$26&gt;=1,MIN($D$26,S157),S157*$D$26),IF($E$26="",9E+99,$E$26)),0))))</f>
        <v/>
      </c>
      <c r="V157" s="20">
        <f>IF(S157="","",IF(OR($D$27="",S157&lt;N($C$27)),0,IF(B157="G마켓",ROUNDDOWN(MIN(IF($D$27&gt;=1,MIN($D$27,S157),S157*$D$27),IF($E$27="",9E+99,$E$27)),0),ROUNDUP(MIN(IF($D$27&gt;=1,MIN($D$27,S157),S157*$D$27),IF($E$27="",9E+99,$E$27)),0))))</f>
        <v/>
      </c>
      <c r="W157" s="19">
        <f>IF(G157="","",MAX(T157:V157))</f>
        <v/>
      </c>
      <c r="X157" s="21">
        <f>IF(G157="","",S157-W157)</f>
        <v/>
      </c>
      <c r="Y157" s="19">
        <f>IF(G157="","",IF(B157="G마켓",ROUNDDOWN(MAX(I157*N($G$10),J157*N($G$11),K157*N($G$12),L157*N($G$13),M157*N($G$14))+MAX(O157*N($G$18),P157*N($G$19),Q157*N($G$20),R157*N($G$21))+MAX(T157*N($G$25),U157*N($G$26),V157*N($G$27)),0),ROUNDUP(MAX(I157*N($G$10),J157*N($G$11),K157*N($G$12),L157*N($G$13),M157*N($G$14))+MAX(O157*N($G$18),P157*N($G$19),Q157*N($G$20),R157*N($G$21))+MAX(T157*N($G$25),U157*N($G$26),V157*N($G$27)),0)))</f>
        <v/>
      </c>
      <c r="Z157" s="21">
        <f>IF(G157="","",IF(B157="G마켓",ROUNDDOWN(G157-G157*$Q$6-Y157,0),ROUNDUP(G157-G157*$Q$6-Y157,0)))</f>
        <v/>
      </c>
    </row>
    <row r="158">
      <c r="B158" s="7" t="n"/>
      <c r="C158" s="7" t="n"/>
      <c r="D158" s="22" t="n"/>
      <c r="E158" s="23" t="n"/>
      <c r="F158" s="23" t="n"/>
      <c r="G158" s="19">
        <f>IF(E158="","",E158-N(F158))</f>
        <v/>
      </c>
      <c r="I158" s="20">
        <f>IF(G158="","",IF(OR($D$10="",$H$10="X",G158&lt;N($C$10)),0,IF(B158="G마켓",ROUNDDOWN(MIN(IF($D$10&gt;=1,MIN($D$10,G158),G158*$D$10),IF($E$10="",9E+99,$E$10)),0),ROUNDUP(MIN(IF($D$10&gt;=1,MIN($D$10,G158),G158*$D$10),IF($E$10="",9E+99,$E$10)),0))))</f>
        <v/>
      </c>
      <c r="J158" s="20">
        <f>IF(G158="","",IF(OR($D$11="",$H$11="X",G158&lt;N($C$11)),0,IF(B158="G마켓",ROUNDDOWN(MIN(IF($D$11&gt;=1,MIN($D$11,G158),G158*$D$11),IF($E$11="",9E+99,$E$11)),0),ROUNDUP(MIN(IF($D$11&gt;=1,MIN($D$11,G158),G158*$D$11),IF($E$11="",9E+99,$E$11)),0))))</f>
        <v/>
      </c>
      <c r="K158" s="20">
        <f>IF(G158="","",IF(OR($D$12="",$H$12="X",G158&lt;N($C$12)),0,IF(B158="G마켓",ROUNDDOWN(MIN(IF($D$12&gt;=1,MIN($D$12,G158),G158*$D$12),IF($E$12="",9E+99,$E$12)),0),ROUNDUP(MIN(IF($D$12&gt;=1,MIN($D$12,G158),G158*$D$12),IF($E$12="",9E+99,$E$12)),0))))</f>
        <v/>
      </c>
      <c r="L158" s="20">
        <f>IF(G158="","",IF(OR($D$13="",$H$13="X",G158&lt;N($C$13)),0,IF(B158="G마켓",ROUNDDOWN(MIN(IF($D$13&gt;=1,MIN($D$13,G158),G158*$D$13),IF($E$13="",9E+99,$E$13)),0),ROUNDUP(MIN(IF($D$13&gt;=1,MIN($D$13,G158),G158*$D$13),IF($E$13="",9E+99,$E$13)),0))))</f>
        <v/>
      </c>
      <c r="M158" s="20">
        <f>IF(G158="","",IF(OR($D$14="",$H$14="X",G158&lt;N($C$14)),0,IF(B158="G마켓",ROUNDDOWN(MIN(IF($D$14&gt;=1,MIN($D$14,G158),G158*$D$14),IF($E$14="",9E+99,$E$14)),0),ROUNDUP(MIN(IF($D$14&gt;=1,MIN($D$14,G158),G158*$D$14),IF($E$14="",9E+99,$E$14)),0))))</f>
        <v/>
      </c>
      <c r="N158" s="19">
        <f>IF(G158="","",G158-MAX(I158:M158))</f>
        <v/>
      </c>
      <c r="O158" s="20">
        <f>IF(N158="","",IF(OR($D$18="",$H$18="X",N158&lt;N($C$18)),0,IF(B158="G마켓",ROUNDDOWN(MIN(IF($D$18&gt;=1,MIN($D$18,N158),N158*$D$18),IF($E$18="",9E+99,$E$18)),0),ROUNDUP(MIN(IF($D$18&gt;=1,MIN($D$18,N158),N158*$D$18),IF($E$18="",9E+99,$E$18)),0))))</f>
        <v/>
      </c>
      <c r="P158" s="20">
        <f>IF(N158="","",IF(OR($D$19="",$H$19="X",N158&lt;N($C$19)),0,IF(B158="G마켓",ROUNDDOWN(MIN(IF($D$19&gt;=1,MIN($D$19,N158),N158*$D$19),IF($E$19="",9E+99,$E$19)),0),ROUNDUP(MIN(IF($D$19&gt;=1,MIN($D$19,N158),N158*$D$19),IF($E$19="",9E+99,$E$19)),0))))</f>
        <v/>
      </c>
      <c r="Q158" s="20">
        <f>IF(N158="","",IF(OR($D$20="",$H$20="X",N158&lt;N($C$20)),0,IF(B158="G마켓",ROUNDDOWN(MIN(IF($D$20&gt;=1,MIN($D$20,N158),N158*$D$20),IF($E$20="",9E+99,$E$20)),0),ROUNDUP(MIN(IF($D$20&gt;=1,MIN($D$20,N158),N158*$D$20),IF($E$20="",9E+99,$E$20)),0))))</f>
        <v/>
      </c>
      <c r="R158" s="20">
        <f>IF(N158="","",IF(OR($D$21="",$H$21="X",N158&lt;N($C$21)),0,IF(B158="G마켓",ROUNDDOWN(MIN(IF($D$21&gt;=1,MIN($D$21,N158),N158*$D$21),IF($E$21="",9E+99,$E$21)),0),ROUNDUP(MIN(IF($D$21&gt;=1,MIN($D$21,N158),N158*$D$21),IF($E$21="",9E+99,$E$21)),0))))</f>
        <v/>
      </c>
      <c r="S158" s="19">
        <f>IF(G158="","",N158-MAX(O158:R158))</f>
        <v/>
      </c>
      <c r="T158" s="20">
        <f>IF(S158="","",IF(OR($D$25="",S158&lt;N($C$25)),0,IF(B158="G마켓",ROUNDDOWN(MIN(IF($D$25&gt;=1,MIN($D$25,S158),S158*$D$25),IF($E$25="",9E+99,$E$25)),0),ROUNDUP(MIN(IF($D$25&gt;=1,MIN($D$25,S158),S158*$D$25),IF($E$25="",9E+99,$E$25)),0))))</f>
        <v/>
      </c>
      <c r="U158" s="20">
        <f>IF(S158="","",IF(OR($D$26="",S158&lt;N($C$26)),0,IF(B158="G마켓",ROUNDDOWN(MIN(IF($D$26&gt;=1,MIN($D$26,S158),S158*$D$26),IF($E$26="",9E+99,$E$26)),0),ROUNDUP(MIN(IF($D$26&gt;=1,MIN($D$26,S158),S158*$D$26),IF($E$26="",9E+99,$E$26)),0))))</f>
        <v/>
      </c>
      <c r="V158" s="20">
        <f>IF(S158="","",IF(OR($D$27="",S158&lt;N($C$27)),0,IF(B158="G마켓",ROUNDDOWN(MIN(IF($D$27&gt;=1,MIN($D$27,S158),S158*$D$27),IF($E$27="",9E+99,$E$27)),0),ROUNDUP(MIN(IF($D$27&gt;=1,MIN($D$27,S158),S158*$D$27),IF($E$27="",9E+99,$E$27)),0))))</f>
        <v/>
      </c>
      <c r="W158" s="19">
        <f>IF(G158="","",MAX(T158:V158))</f>
        <v/>
      </c>
      <c r="X158" s="21">
        <f>IF(G158="","",S158-W158)</f>
        <v/>
      </c>
      <c r="Y158" s="19">
        <f>IF(G158="","",IF(B158="G마켓",ROUNDDOWN(MAX(I158*N($G$10),J158*N($G$11),K158*N($G$12),L158*N($G$13),M158*N($G$14))+MAX(O158*N($G$18),P158*N($G$19),Q158*N($G$20),R158*N($G$21))+MAX(T158*N($G$25),U158*N($G$26),V158*N($G$27)),0),ROUNDUP(MAX(I158*N($G$10),J158*N($G$11),K158*N($G$12),L158*N($G$13),M158*N($G$14))+MAX(O158*N($G$18),P158*N($G$19),Q158*N($G$20),R158*N($G$21))+MAX(T158*N($G$25),U158*N($G$26),V158*N($G$27)),0)))</f>
        <v/>
      </c>
      <c r="Z158" s="21">
        <f>IF(G158="","",IF(B158="G마켓",ROUNDDOWN(G158-G158*$Q$6-Y158,0),ROUNDUP(G158-G158*$Q$6-Y158,0)))</f>
        <v/>
      </c>
    </row>
    <row r="159">
      <c r="B159" s="7" t="n"/>
      <c r="C159" s="7" t="n"/>
      <c r="D159" s="22" t="n"/>
      <c r="E159" s="23" t="n"/>
      <c r="F159" s="23" t="n"/>
      <c r="G159" s="19">
        <f>IF(E159="","",E159-N(F159))</f>
        <v/>
      </c>
      <c r="I159" s="20">
        <f>IF(G159="","",IF(OR($D$10="",$H$10="X",G159&lt;N($C$10)),0,IF(B159="G마켓",ROUNDDOWN(MIN(IF($D$10&gt;=1,MIN($D$10,G159),G159*$D$10),IF($E$10="",9E+99,$E$10)),0),ROUNDUP(MIN(IF($D$10&gt;=1,MIN($D$10,G159),G159*$D$10),IF($E$10="",9E+99,$E$10)),0))))</f>
        <v/>
      </c>
      <c r="J159" s="20">
        <f>IF(G159="","",IF(OR($D$11="",$H$11="X",G159&lt;N($C$11)),0,IF(B159="G마켓",ROUNDDOWN(MIN(IF($D$11&gt;=1,MIN($D$11,G159),G159*$D$11),IF($E$11="",9E+99,$E$11)),0),ROUNDUP(MIN(IF($D$11&gt;=1,MIN($D$11,G159),G159*$D$11),IF($E$11="",9E+99,$E$11)),0))))</f>
        <v/>
      </c>
      <c r="K159" s="20">
        <f>IF(G159="","",IF(OR($D$12="",$H$12="X",G159&lt;N($C$12)),0,IF(B159="G마켓",ROUNDDOWN(MIN(IF($D$12&gt;=1,MIN($D$12,G159),G159*$D$12),IF($E$12="",9E+99,$E$12)),0),ROUNDUP(MIN(IF($D$12&gt;=1,MIN($D$12,G159),G159*$D$12),IF($E$12="",9E+99,$E$12)),0))))</f>
        <v/>
      </c>
      <c r="L159" s="20">
        <f>IF(G159="","",IF(OR($D$13="",$H$13="X",G159&lt;N($C$13)),0,IF(B159="G마켓",ROUNDDOWN(MIN(IF($D$13&gt;=1,MIN($D$13,G159),G159*$D$13),IF($E$13="",9E+99,$E$13)),0),ROUNDUP(MIN(IF($D$13&gt;=1,MIN($D$13,G159),G159*$D$13),IF($E$13="",9E+99,$E$13)),0))))</f>
        <v/>
      </c>
      <c r="M159" s="20">
        <f>IF(G159="","",IF(OR($D$14="",$H$14="X",G159&lt;N($C$14)),0,IF(B159="G마켓",ROUNDDOWN(MIN(IF($D$14&gt;=1,MIN($D$14,G159),G159*$D$14),IF($E$14="",9E+99,$E$14)),0),ROUNDUP(MIN(IF($D$14&gt;=1,MIN($D$14,G159),G159*$D$14),IF($E$14="",9E+99,$E$14)),0))))</f>
        <v/>
      </c>
      <c r="N159" s="19">
        <f>IF(G159="","",G159-MAX(I159:M159))</f>
        <v/>
      </c>
      <c r="O159" s="20">
        <f>IF(N159="","",IF(OR($D$18="",$H$18="X",N159&lt;N($C$18)),0,IF(B159="G마켓",ROUNDDOWN(MIN(IF($D$18&gt;=1,MIN($D$18,N159),N159*$D$18),IF($E$18="",9E+99,$E$18)),0),ROUNDUP(MIN(IF($D$18&gt;=1,MIN($D$18,N159),N159*$D$18),IF($E$18="",9E+99,$E$18)),0))))</f>
        <v/>
      </c>
      <c r="P159" s="20">
        <f>IF(N159="","",IF(OR($D$19="",$H$19="X",N159&lt;N($C$19)),0,IF(B159="G마켓",ROUNDDOWN(MIN(IF($D$19&gt;=1,MIN($D$19,N159),N159*$D$19),IF($E$19="",9E+99,$E$19)),0),ROUNDUP(MIN(IF($D$19&gt;=1,MIN($D$19,N159),N159*$D$19),IF($E$19="",9E+99,$E$19)),0))))</f>
        <v/>
      </c>
      <c r="Q159" s="20">
        <f>IF(N159="","",IF(OR($D$20="",$H$20="X",N159&lt;N($C$20)),0,IF(B159="G마켓",ROUNDDOWN(MIN(IF($D$20&gt;=1,MIN($D$20,N159),N159*$D$20),IF($E$20="",9E+99,$E$20)),0),ROUNDUP(MIN(IF($D$20&gt;=1,MIN($D$20,N159),N159*$D$20),IF($E$20="",9E+99,$E$20)),0))))</f>
        <v/>
      </c>
      <c r="R159" s="20">
        <f>IF(N159="","",IF(OR($D$21="",$H$21="X",N159&lt;N($C$21)),0,IF(B159="G마켓",ROUNDDOWN(MIN(IF($D$21&gt;=1,MIN($D$21,N159),N159*$D$21),IF($E$21="",9E+99,$E$21)),0),ROUNDUP(MIN(IF($D$21&gt;=1,MIN($D$21,N159),N159*$D$21),IF($E$21="",9E+99,$E$21)),0))))</f>
        <v/>
      </c>
      <c r="S159" s="19">
        <f>IF(G159="","",N159-MAX(O159:R159))</f>
        <v/>
      </c>
      <c r="T159" s="20">
        <f>IF(S159="","",IF(OR($D$25="",S159&lt;N($C$25)),0,IF(B159="G마켓",ROUNDDOWN(MIN(IF($D$25&gt;=1,MIN($D$25,S159),S159*$D$25),IF($E$25="",9E+99,$E$25)),0),ROUNDUP(MIN(IF($D$25&gt;=1,MIN($D$25,S159),S159*$D$25),IF($E$25="",9E+99,$E$25)),0))))</f>
        <v/>
      </c>
      <c r="U159" s="20">
        <f>IF(S159="","",IF(OR($D$26="",S159&lt;N($C$26)),0,IF(B159="G마켓",ROUNDDOWN(MIN(IF($D$26&gt;=1,MIN($D$26,S159),S159*$D$26),IF($E$26="",9E+99,$E$26)),0),ROUNDUP(MIN(IF($D$26&gt;=1,MIN($D$26,S159),S159*$D$26),IF($E$26="",9E+99,$E$26)),0))))</f>
        <v/>
      </c>
      <c r="V159" s="20">
        <f>IF(S159="","",IF(OR($D$27="",S159&lt;N($C$27)),0,IF(B159="G마켓",ROUNDDOWN(MIN(IF($D$27&gt;=1,MIN($D$27,S159),S159*$D$27),IF($E$27="",9E+99,$E$27)),0),ROUNDUP(MIN(IF($D$27&gt;=1,MIN($D$27,S159),S159*$D$27),IF($E$27="",9E+99,$E$27)),0))))</f>
        <v/>
      </c>
      <c r="W159" s="19">
        <f>IF(G159="","",MAX(T159:V159))</f>
        <v/>
      </c>
      <c r="X159" s="21">
        <f>IF(G159="","",S159-W159)</f>
        <v/>
      </c>
      <c r="Y159" s="19">
        <f>IF(G159="","",IF(B159="G마켓",ROUNDDOWN(MAX(I159*N($G$10),J159*N($G$11),K159*N($G$12),L159*N($G$13),M159*N($G$14))+MAX(O159*N($G$18),P159*N($G$19),Q159*N($G$20),R159*N($G$21))+MAX(T159*N($G$25),U159*N($G$26),V159*N($G$27)),0),ROUNDUP(MAX(I159*N($G$10),J159*N($G$11),K159*N($G$12),L159*N($G$13),M159*N($G$14))+MAX(O159*N($G$18),P159*N($G$19),Q159*N($G$20),R159*N($G$21))+MAX(T159*N($G$25),U159*N($G$26),V159*N($G$27)),0)))</f>
        <v/>
      </c>
      <c r="Z159" s="21">
        <f>IF(G159="","",IF(B159="G마켓",ROUNDDOWN(G159-G159*$Q$6-Y159,0),ROUNDUP(G159-G159*$Q$6-Y159,0)))</f>
        <v/>
      </c>
    </row>
    <row r="160">
      <c r="B160" s="7" t="n"/>
      <c r="C160" s="7" t="n"/>
      <c r="D160" s="22" t="n"/>
      <c r="E160" s="23" t="n"/>
      <c r="F160" s="23" t="n"/>
      <c r="G160" s="19">
        <f>IF(E160="","",E160-N(F160))</f>
        <v/>
      </c>
      <c r="I160" s="20">
        <f>IF(G160="","",IF(OR($D$10="",$H$10="X",G160&lt;N($C$10)),0,IF(B160="G마켓",ROUNDDOWN(MIN(IF($D$10&gt;=1,MIN($D$10,G160),G160*$D$10),IF($E$10="",9E+99,$E$10)),0),ROUNDUP(MIN(IF($D$10&gt;=1,MIN($D$10,G160),G160*$D$10),IF($E$10="",9E+99,$E$10)),0))))</f>
        <v/>
      </c>
      <c r="J160" s="20">
        <f>IF(G160="","",IF(OR($D$11="",$H$11="X",G160&lt;N($C$11)),0,IF(B160="G마켓",ROUNDDOWN(MIN(IF($D$11&gt;=1,MIN($D$11,G160),G160*$D$11),IF($E$11="",9E+99,$E$11)),0),ROUNDUP(MIN(IF($D$11&gt;=1,MIN($D$11,G160),G160*$D$11),IF($E$11="",9E+99,$E$11)),0))))</f>
        <v/>
      </c>
      <c r="K160" s="20">
        <f>IF(G160="","",IF(OR($D$12="",$H$12="X",G160&lt;N($C$12)),0,IF(B160="G마켓",ROUNDDOWN(MIN(IF($D$12&gt;=1,MIN($D$12,G160),G160*$D$12),IF($E$12="",9E+99,$E$12)),0),ROUNDUP(MIN(IF($D$12&gt;=1,MIN($D$12,G160),G160*$D$12),IF($E$12="",9E+99,$E$12)),0))))</f>
        <v/>
      </c>
      <c r="L160" s="20">
        <f>IF(G160="","",IF(OR($D$13="",$H$13="X",G160&lt;N($C$13)),0,IF(B160="G마켓",ROUNDDOWN(MIN(IF($D$13&gt;=1,MIN($D$13,G160),G160*$D$13),IF($E$13="",9E+99,$E$13)),0),ROUNDUP(MIN(IF($D$13&gt;=1,MIN($D$13,G160),G160*$D$13),IF($E$13="",9E+99,$E$13)),0))))</f>
        <v/>
      </c>
      <c r="M160" s="20">
        <f>IF(G160="","",IF(OR($D$14="",$H$14="X",G160&lt;N($C$14)),0,IF(B160="G마켓",ROUNDDOWN(MIN(IF($D$14&gt;=1,MIN($D$14,G160),G160*$D$14),IF($E$14="",9E+99,$E$14)),0),ROUNDUP(MIN(IF($D$14&gt;=1,MIN($D$14,G160),G160*$D$14),IF($E$14="",9E+99,$E$14)),0))))</f>
        <v/>
      </c>
      <c r="N160" s="19">
        <f>IF(G160="","",G160-MAX(I160:M160))</f>
        <v/>
      </c>
      <c r="O160" s="20">
        <f>IF(N160="","",IF(OR($D$18="",$H$18="X",N160&lt;N($C$18)),0,IF(B160="G마켓",ROUNDDOWN(MIN(IF($D$18&gt;=1,MIN($D$18,N160),N160*$D$18),IF($E$18="",9E+99,$E$18)),0),ROUNDUP(MIN(IF($D$18&gt;=1,MIN($D$18,N160),N160*$D$18),IF($E$18="",9E+99,$E$18)),0))))</f>
        <v/>
      </c>
      <c r="P160" s="20">
        <f>IF(N160="","",IF(OR($D$19="",$H$19="X",N160&lt;N($C$19)),0,IF(B160="G마켓",ROUNDDOWN(MIN(IF($D$19&gt;=1,MIN($D$19,N160),N160*$D$19),IF($E$19="",9E+99,$E$19)),0),ROUNDUP(MIN(IF($D$19&gt;=1,MIN($D$19,N160),N160*$D$19),IF($E$19="",9E+99,$E$19)),0))))</f>
        <v/>
      </c>
      <c r="Q160" s="20">
        <f>IF(N160="","",IF(OR($D$20="",$H$20="X",N160&lt;N($C$20)),0,IF(B160="G마켓",ROUNDDOWN(MIN(IF($D$20&gt;=1,MIN($D$20,N160),N160*$D$20),IF($E$20="",9E+99,$E$20)),0),ROUNDUP(MIN(IF($D$20&gt;=1,MIN($D$20,N160),N160*$D$20),IF($E$20="",9E+99,$E$20)),0))))</f>
        <v/>
      </c>
      <c r="R160" s="20">
        <f>IF(N160="","",IF(OR($D$21="",$H$21="X",N160&lt;N($C$21)),0,IF(B160="G마켓",ROUNDDOWN(MIN(IF($D$21&gt;=1,MIN($D$21,N160),N160*$D$21),IF($E$21="",9E+99,$E$21)),0),ROUNDUP(MIN(IF($D$21&gt;=1,MIN($D$21,N160),N160*$D$21),IF($E$21="",9E+99,$E$21)),0))))</f>
        <v/>
      </c>
      <c r="S160" s="19">
        <f>IF(G160="","",N160-MAX(O160:R160))</f>
        <v/>
      </c>
      <c r="T160" s="20">
        <f>IF(S160="","",IF(OR($D$25="",S160&lt;N($C$25)),0,IF(B160="G마켓",ROUNDDOWN(MIN(IF($D$25&gt;=1,MIN($D$25,S160),S160*$D$25),IF($E$25="",9E+99,$E$25)),0),ROUNDUP(MIN(IF($D$25&gt;=1,MIN($D$25,S160),S160*$D$25),IF($E$25="",9E+99,$E$25)),0))))</f>
        <v/>
      </c>
      <c r="U160" s="20">
        <f>IF(S160="","",IF(OR($D$26="",S160&lt;N($C$26)),0,IF(B160="G마켓",ROUNDDOWN(MIN(IF($D$26&gt;=1,MIN($D$26,S160),S160*$D$26),IF($E$26="",9E+99,$E$26)),0),ROUNDUP(MIN(IF($D$26&gt;=1,MIN($D$26,S160),S160*$D$26),IF($E$26="",9E+99,$E$26)),0))))</f>
        <v/>
      </c>
      <c r="V160" s="20">
        <f>IF(S160="","",IF(OR($D$27="",S160&lt;N($C$27)),0,IF(B160="G마켓",ROUNDDOWN(MIN(IF($D$27&gt;=1,MIN($D$27,S160),S160*$D$27),IF($E$27="",9E+99,$E$27)),0),ROUNDUP(MIN(IF($D$27&gt;=1,MIN($D$27,S160),S160*$D$27),IF($E$27="",9E+99,$E$27)),0))))</f>
        <v/>
      </c>
      <c r="W160" s="19">
        <f>IF(G160="","",MAX(T160:V160))</f>
        <v/>
      </c>
      <c r="X160" s="21">
        <f>IF(G160="","",S160-W160)</f>
        <v/>
      </c>
      <c r="Y160" s="19">
        <f>IF(G160="","",IF(B160="G마켓",ROUNDDOWN(MAX(I160*N($G$10),J160*N($G$11),K160*N($G$12),L160*N($G$13),M160*N($G$14))+MAX(O160*N($G$18),P160*N($G$19),Q160*N($G$20),R160*N($G$21))+MAX(T160*N($G$25),U160*N($G$26),V160*N($G$27)),0),ROUNDUP(MAX(I160*N($G$10),J160*N($G$11),K160*N($G$12),L160*N($G$13),M160*N($G$14))+MAX(O160*N($G$18),P160*N($G$19),Q160*N($G$20),R160*N($G$21))+MAX(T160*N($G$25),U160*N($G$26),V160*N($G$27)),0)))</f>
        <v/>
      </c>
      <c r="Z160" s="21">
        <f>IF(G160="","",IF(B160="G마켓",ROUNDDOWN(G160-G160*$Q$6-Y160,0),ROUNDUP(G160-G160*$Q$6-Y160,0)))</f>
        <v/>
      </c>
    </row>
    <row r="161">
      <c r="B161" s="7" t="n"/>
      <c r="C161" s="7" t="n"/>
      <c r="D161" s="22" t="n"/>
      <c r="E161" s="23" t="n"/>
      <c r="F161" s="23" t="n"/>
      <c r="G161" s="19">
        <f>IF(E161="","",E161-N(F161))</f>
        <v/>
      </c>
      <c r="I161" s="20">
        <f>IF(G161="","",IF(OR($D$10="",$H$10="X",G161&lt;N($C$10)),0,IF(B161="G마켓",ROUNDDOWN(MIN(IF($D$10&gt;=1,MIN($D$10,G161),G161*$D$10),IF($E$10="",9E+99,$E$10)),0),ROUNDUP(MIN(IF($D$10&gt;=1,MIN($D$10,G161),G161*$D$10),IF($E$10="",9E+99,$E$10)),0))))</f>
        <v/>
      </c>
      <c r="J161" s="20">
        <f>IF(G161="","",IF(OR($D$11="",$H$11="X",G161&lt;N($C$11)),0,IF(B161="G마켓",ROUNDDOWN(MIN(IF($D$11&gt;=1,MIN($D$11,G161),G161*$D$11),IF($E$11="",9E+99,$E$11)),0),ROUNDUP(MIN(IF($D$11&gt;=1,MIN($D$11,G161),G161*$D$11),IF($E$11="",9E+99,$E$11)),0))))</f>
        <v/>
      </c>
      <c r="K161" s="20">
        <f>IF(G161="","",IF(OR($D$12="",$H$12="X",G161&lt;N($C$12)),0,IF(B161="G마켓",ROUNDDOWN(MIN(IF($D$12&gt;=1,MIN($D$12,G161),G161*$D$12),IF($E$12="",9E+99,$E$12)),0),ROUNDUP(MIN(IF($D$12&gt;=1,MIN($D$12,G161),G161*$D$12),IF($E$12="",9E+99,$E$12)),0))))</f>
        <v/>
      </c>
      <c r="L161" s="20">
        <f>IF(G161="","",IF(OR($D$13="",$H$13="X",G161&lt;N($C$13)),0,IF(B161="G마켓",ROUNDDOWN(MIN(IF($D$13&gt;=1,MIN($D$13,G161),G161*$D$13),IF($E$13="",9E+99,$E$13)),0),ROUNDUP(MIN(IF($D$13&gt;=1,MIN($D$13,G161),G161*$D$13),IF($E$13="",9E+99,$E$13)),0))))</f>
        <v/>
      </c>
      <c r="M161" s="20">
        <f>IF(G161="","",IF(OR($D$14="",$H$14="X",G161&lt;N($C$14)),0,IF(B161="G마켓",ROUNDDOWN(MIN(IF($D$14&gt;=1,MIN($D$14,G161),G161*$D$14),IF($E$14="",9E+99,$E$14)),0),ROUNDUP(MIN(IF($D$14&gt;=1,MIN($D$14,G161),G161*$D$14),IF($E$14="",9E+99,$E$14)),0))))</f>
        <v/>
      </c>
      <c r="N161" s="19">
        <f>IF(G161="","",G161-MAX(I161:M161))</f>
        <v/>
      </c>
      <c r="O161" s="20">
        <f>IF(N161="","",IF(OR($D$18="",$H$18="X",N161&lt;N($C$18)),0,IF(B161="G마켓",ROUNDDOWN(MIN(IF($D$18&gt;=1,MIN($D$18,N161),N161*$D$18),IF($E$18="",9E+99,$E$18)),0),ROUNDUP(MIN(IF($D$18&gt;=1,MIN($D$18,N161),N161*$D$18),IF($E$18="",9E+99,$E$18)),0))))</f>
        <v/>
      </c>
      <c r="P161" s="20">
        <f>IF(N161="","",IF(OR($D$19="",$H$19="X",N161&lt;N($C$19)),0,IF(B161="G마켓",ROUNDDOWN(MIN(IF($D$19&gt;=1,MIN($D$19,N161),N161*$D$19),IF($E$19="",9E+99,$E$19)),0),ROUNDUP(MIN(IF($D$19&gt;=1,MIN($D$19,N161),N161*$D$19),IF($E$19="",9E+99,$E$19)),0))))</f>
        <v/>
      </c>
      <c r="Q161" s="20">
        <f>IF(N161="","",IF(OR($D$20="",$H$20="X",N161&lt;N($C$20)),0,IF(B161="G마켓",ROUNDDOWN(MIN(IF($D$20&gt;=1,MIN($D$20,N161),N161*$D$20),IF($E$20="",9E+99,$E$20)),0),ROUNDUP(MIN(IF($D$20&gt;=1,MIN($D$20,N161),N161*$D$20),IF($E$20="",9E+99,$E$20)),0))))</f>
        <v/>
      </c>
      <c r="R161" s="20">
        <f>IF(N161="","",IF(OR($D$21="",$H$21="X",N161&lt;N($C$21)),0,IF(B161="G마켓",ROUNDDOWN(MIN(IF($D$21&gt;=1,MIN($D$21,N161),N161*$D$21),IF($E$21="",9E+99,$E$21)),0),ROUNDUP(MIN(IF($D$21&gt;=1,MIN($D$21,N161),N161*$D$21),IF($E$21="",9E+99,$E$21)),0))))</f>
        <v/>
      </c>
      <c r="S161" s="19">
        <f>IF(G161="","",N161-MAX(O161:R161))</f>
        <v/>
      </c>
      <c r="T161" s="20">
        <f>IF(S161="","",IF(OR($D$25="",S161&lt;N($C$25)),0,IF(B161="G마켓",ROUNDDOWN(MIN(IF($D$25&gt;=1,MIN($D$25,S161),S161*$D$25),IF($E$25="",9E+99,$E$25)),0),ROUNDUP(MIN(IF($D$25&gt;=1,MIN($D$25,S161),S161*$D$25),IF($E$25="",9E+99,$E$25)),0))))</f>
        <v/>
      </c>
      <c r="U161" s="20">
        <f>IF(S161="","",IF(OR($D$26="",S161&lt;N($C$26)),0,IF(B161="G마켓",ROUNDDOWN(MIN(IF($D$26&gt;=1,MIN($D$26,S161),S161*$D$26),IF($E$26="",9E+99,$E$26)),0),ROUNDUP(MIN(IF($D$26&gt;=1,MIN($D$26,S161),S161*$D$26),IF($E$26="",9E+99,$E$26)),0))))</f>
        <v/>
      </c>
      <c r="V161" s="20">
        <f>IF(S161="","",IF(OR($D$27="",S161&lt;N($C$27)),0,IF(B161="G마켓",ROUNDDOWN(MIN(IF($D$27&gt;=1,MIN($D$27,S161),S161*$D$27),IF($E$27="",9E+99,$E$27)),0),ROUNDUP(MIN(IF($D$27&gt;=1,MIN($D$27,S161),S161*$D$27),IF($E$27="",9E+99,$E$27)),0))))</f>
        <v/>
      </c>
      <c r="W161" s="19">
        <f>IF(G161="","",MAX(T161:V161))</f>
        <v/>
      </c>
      <c r="X161" s="21">
        <f>IF(G161="","",S161-W161)</f>
        <v/>
      </c>
      <c r="Y161" s="19">
        <f>IF(G161="","",IF(B161="G마켓",ROUNDDOWN(MAX(I161*N($G$10),J161*N($G$11),K161*N($G$12),L161*N($G$13),M161*N($G$14))+MAX(O161*N($G$18),P161*N($G$19),Q161*N($G$20),R161*N($G$21))+MAX(T161*N($G$25),U161*N($G$26),V161*N($G$27)),0),ROUNDUP(MAX(I161*N($G$10),J161*N($G$11),K161*N($G$12),L161*N($G$13),M161*N($G$14))+MAX(O161*N($G$18),P161*N($G$19),Q161*N($G$20),R161*N($G$21))+MAX(T161*N($G$25),U161*N($G$26),V161*N($G$27)),0)))</f>
        <v/>
      </c>
      <c r="Z161" s="21">
        <f>IF(G161="","",IF(B161="G마켓",ROUNDDOWN(G161-G161*$Q$6-Y161,0),ROUNDUP(G161-G161*$Q$6-Y161,0)))</f>
        <v/>
      </c>
    </row>
    <row r="162">
      <c r="B162" s="7" t="n"/>
      <c r="C162" s="7" t="n"/>
      <c r="D162" s="22" t="n"/>
      <c r="E162" s="23" t="n"/>
      <c r="F162" s="23" t="n"/>
      <c r="G162" s="19">
        <f>IF(E162="","",E162-N(F162))</f>
        <v/>
      </c>
      <c r="I162" s="20">
        <f>IF(G162="","",IF(OR($D$10="",$H$10="X",G162&lt;N($C$10)),0,IF(B162="G마켓",ROUNDDOWN(MIN(IF($D$10&gt;=1,MIN($D$10,G162),G162*$D$10),IF($E$10="",9E+99,$E$10)),0),ROUNDUP(MIN(IF($D$10&gt;=1,MIN($D$10,G162),G162*$D$10),IF($E$10="",9E+99,$E$10)),0))))</f>
        <v/>
      </c>
      <c r="J162" s="20">
        <f>IF(G162="","",IF(OR($D$11="",$H$11="X",G162&lt;N($C$11)),0,IF(B162="G마켓",ROUNDDOWN(MIN(IF($D$11&gt;=1,MIN($D$11,G162),G162*$D$11),IF($E$11="",9E+99,$E$11)),0),ROUNDUP(MIN(IF($D$11&gt;=1,MIN($D$11,G162),G162*$D$11),IF($E$11="",9E+99,$E$11)),0))))</f>
        <v/>
      </c>
      <c r="K162" s="20">
        <f>IF(G162="","",IF(OR($D$12="",$H$12="X",G162&lt;N($C$12)),0,IF(B162="G마켓",ROUNDDOWN(MIN(IF($D$12&gt;=1,MIN($D$12,G162),G162*$D$12),IF($E$12="",9E+99,$E$12)),0),ROUNDUP(MIN(IF($D$12&gt;=1,MIN($D$12,G162),G162*$D$12),IF($E$12="",9E+99,$E$12)),0))))</f>
        <v/>
      </c>
      <c r="L162" s="20">
        <f>IF(G162="","",IF(OR($D$13="",$H$13="X",G162&lt;N($C$13)),0,IF(B162="G마켓",ROUNDDOWN(MIN(IF($D$13&gt;=1,MIN($D$13,G162),G162*$D$13),IF($E$13="",9E+99,$E$13)),0),ROUNDUP(MIN(IF($D$13&gt;=1,MIN($D$13,G162),G162*$D$13),IF($E$13="",9E+99,$E$13)),0))))</f>
        <v/>
      </c>
      <c r="M162" s="20">
        <f>IF(G162="","",IF(OR($D$14="",$H$14="X",G162&lt;N($C$14)),0,IF(B162="G마켓",ROUNDDOWN(MIN(IF($D$14&gt;=1,MIN($D$14,G162),G162*$D$14),IF($E$14="",9E+99,$E$14)),0),ROUNDUP(MIN(IF($D$14&gt;=1,MIN($D$14,G162),G162*$D$14),IF($E$14="",9E+99,$E$14)),0))))</f>
        <v/>
      </c>
      <c r="N162" s="19">
        <f>IF(G162="","",G162-MAX(I162:M162))</f>
        <v/>
      </c>
      <c r="O162" s="20">
        <f>IF(N162="","",IF(OR($D$18="",$H$18="X",N162&lt;N($C$18)),0,IF(B162="G마켓",ROUNDDOWN(MIN(IF($D$18&gt;=1,MIN($D$18,N162),N162*$D$18),IF($E$18="",9E+99,$E$18)),0),ROUNDUP(MIN(IF($D$18&gt;=1,MIN($D$18,N162),N162*$D$18),IF($E$18="",9E+99,$E$18)),0))))</f>
        <v/>
      </c>
      <c r="P162" s="20">
        <f>IF(N162="","",IF(OR($D$19="",$H$19="X",N162&lt;N($C$19)),0,IF(B162="G마켓",ROUNDDOWN(MIN(IF($D$19&gt;=1,MIN($D$19,N162),N162*$D$19),IF($E$19="",9E+99,$E$19)),0),ROUNDUP(MIN(IF($D$19&gt;=1,MIN($D$19,N162),N162*$D$19),IF($E$19="",9E+99,$E$19)),0))))</f>
        <v/>
      </c>
      <c r="Q162" s="20">
        <f>IF(N162="","",IF(OR($D$20="",$H$20="X",N162&lt;N($C$20)),0,IF(B162="G마켓",ROUNDDOWN(MIN(IF($D$20&gt;=1,MIN($D$20,N162),N162*$D$20),IF($E$20="",9E+99,$E$20)),0),ROUNDUP(MIN(IF($D$20&gt;=1,MIN($D$20,N162),N162*$D$20),IF($E$20="",9E+99,$E$20)),0))))</f>
        <v/>
      </c>
      <c r="R162" s="20">
        <f>IF(N162="","",IF(OR($D$21="",$H$21="X",N162&lt;N($C$21)),0,IF(B162="G마켓",ROUNDDOWN(MIN(IF($D$21&gt;=1,MIN($D$21,N162),N162*$D$21),IF($E$21="",9E+99,$E$21)),0),ROUNDUP(MIN(IF($D$21&gt;=1,MIN($D$21,N162),N162*$D$21),IF($E$21="",9E+99,$E$21)),0))))</f>
        <v/>
      </c>
      <c r="S162" s="19">
        <f>IF(G162="","",N162-MAX(O162:R162))</f>
        <v/>
      </c>
      <c r="T162" s="20">
        <f>IF(S162="","",IF(OR($D$25="",S162&lt;N($C$25)),0,IF(B162="G마켓",ROUNDDOWN(MIN(IF($D$25&gt;=1,MIN($D$25,S162),S162*$D$25),IF($E$25="",9E+99,$E$25)),0),ROUNDUP(MIN(IF($D$25&gt;=1,MIN($D$25,S162),S162*$D$25),IF($E$25="",9E+99,$E$25)),0))))</f>
        <v/>
      </c>
      <c r="U162" s="20">
        <f>IF(S162="","",IF(OR($D$26="",S162&lt;N($C$26)),0,IF(B162="G마켓",ROUNDDOWN(MIN(IF($D$26&gt;=1,MIN($D$26,S162),S162*$D$26),IF($E$26="",9E+99,$E$26)),0),ROUNDUP(MIN(IF($D$26&gt;=1,MIN($D$26,S162),S162*$D$26),IF($E$26="",9E+99,$E$26)),0))))</f>
        <v/>
      </c>
      <c r="V162" s="20">
        <f>IF(S162="","",IF(OR($D$27="",S162&lt;N($C$27)),0,IF(B162="G마켓",ROUNDDOWN(MIN(IF($D$27&gt;=1,MIN($D$27,S162),S162*$D$27),IF($E$27="",9E+99,$E$27)),0),ROUNDUP(MIN(IF($D$27&gt;=1,MIN($D$27,S162),S162*$D$27),IF($E$27="",9E+99,$E$27)),0))))</f>
        <v/>
      </c>
      <c r="W162" s="19">
        <f>IF(G162="","",MAX(T162:V162))</f>
        <v/>
      </c>
      <c r="X162" s="21">
        <f>IF(G162="","",S162-W162)</f>
        <v/>
      </c>
      <c r="Y162" s="19">
        <f>IF(G162="","",IF(B162="G마켓",ROUNDDOWN(MAX(I162*N($G$10),J162*N($G$11),K162*N($G$12),L162*N($G$13),M162*N($G$14))+MAX(O162*N($G$18),P162*N($G$19),Q162*N($G$20),R162*N($G$21))+MAX(T162*N($G$25),U162*N($G$26),V162*N($G$27)),0),ROUNDUP(MAX(I162*N($G$10),J162*N($G$11),K162*N($G$12),L162*N($G$13),M162*N($G$14))+MAX(O162*N($G$18),P162*N($G$19),Q162*N($G$20),R162*N($G$21))+MAX(T162*N($G$25),U162*N($G$26),V162*N($G$27)),0)))</f>
        <v/>
      </c>
      <c r="Z162" s="21">
        <f>IF(G162="","",IF(B162="G마켓",ROUNDDOWN(G162-G162*$Q$6-Y162,0),ROUNDUP(G162-G162*$Q$6-Y162,0)))</f>
        <v/>
      </c>
    </row>
    <row r="163">
      <c r="B163" s="7" t="n"/>
      <c r="C163" s="7" t="n"/>
      <c r="D163" s="22" t="n"/>
      <c r="E163" s="23" t="n"/>
      <c r="F163" s="23" t="n"/>
      <c r="G163" s="19">
        <f>IF(E163="","",E163-N(F163))</f>
        <v/>
      </c>
      <c r="I163" s="20">
        <f>IF(G163="","",IF(OR($D$10="",$H$10="X",G163&lt;N($C$10)),0,IF(B163="G마켓",ROUNDDOWN(MIN(IF($D$10&gt;=1,MIN($D$10,G163),G163*$D$10),IF($E$10="",9E+99,$E$10)),0),ROUNDUP(MIN(IF($D$10&gt;=1,MIN($D$10,G163),G163*$D$10),IF($E$10="",9E+99,$E$10)),0))))</f>
        <v/>
      </c>
      <c r="J163" s="20">
        <f>IF(G163="","",IF(OR($D$11="",$H$11="X",G163&lt;N($C$11)),0,IF(B163="G마켓",ROUNDDOWN(MIN(IF($D$11&gt;=1,MIN($D$11,G163),G163*$D$11),IF($E$11="",9E+99,$E$11)),0),ROUNDUP(MIN(IF($D$11&gt;=1,MIN($D$11,G163),G163*$D$11),IF($E$11="",9E+99,$E$11)),0))))</f>
        <v/>
      </c>
      <c r="K163" s="20">
        <f>IF(G163="","",IF(OR($D$12="",$H$12="X",G163&lt;N($C$12)),0,IF(B163="G마켓",ROUNDDOWN(MIN(IF($D$12&gt;=1,MIN($D$12,G163),G163*$D$12),IF($E$12="",9E+99,$E$12)),0),ROUNDUP(MIN(IF($D$12&gt;=1,MIN($D$12,G163),G163*$D$12),IF($E$12="",9E+99,$E$12)),0))))</f>
        <v/>
      </c>
      <c r="L163" s="20">
        <f>IF(G163="","",IF(OR($D$13="",$H$13="X",G163&lt;N($C$13)),0,IF(B163="G마켓",ROUNDDOWN(MIN(IF($D$13&gt;=1,MIN($D$13,G163),G163*$D$13),IF($E$13="",9E+99,$E$13)),0),ROUNDUP(MIN(IF($D$13&gt;=1,MIN($D$13,G163),G163*$D$13),IF($E$13="",9E+99,$E$13)),0))))</f>
        <v/>
      </c>
      <c r="M163" s="20">
        <f>IF(G163="","",IF(OR($D$14="",$H$14="X",G163&lt;N($C$14)),0,IF(B163="G마켓",ROUNDDOWN(MIN(IF($D$14&gt;=1,MIN($D$14,G163),G163*$D$14),IF($E$14="",9E+99,$E$14)),0),ROUNDUP(MIN(IF($D$14&gt;=1,MIN($D$14,G163),G163*$D$14),IF($E$14="",9E+99,$E$14)),0))))</f>
        <v/>
      </c>
      <c r="N163" s="19">
        <f>IF(G163="","",G163-MAX(I163:M163))</f>
        <v/>
      </c>
      <c r="O163" s="20">
        <f>IF(N163="","",IF(OR($D$18="",$H$18="X",N163&lt;N($C$18)),0,IF(B163="G마켓",ROUNDDOWN(MIN(IF($D$18&gt;=1,MIN($D$18,N163),N163*$D$18),IF($E$18="",9E+99,$E$18)),0),ROUNDUP(MIN(IF($D$18&gt;=1,MIN($D$18,N163),N163*$D$18),IF($E$18="",9E+99,$E$18)),0))))</f>
        <v/>
      </c>
      <c r="P163" s="20">
        <f>IF(N163="","",IF(OR($D$19="",$H$19="X",N163&lt;N($C$19)),0,IF(B163="G마켓",ROUNDDOWN(MIN(IF($D$19&gt;=1,MIN($D$19,N163),N163*$D$19),IF($E$19="",9E+99,$E$19)),0),ROUNDUP(MIN(IF($D$19&gt;=1,MIN($D$19,N163),N163*$D$19),IF($E$19="",9E+99,$E$19)),0))))</f>
        <v/>
      </c>
      <c r="Q163" s="20">
        <f>IF(N163="","",IF(OR($D$20="",$H$20="X",N163&lt;N($C$20)),0,IF(B163="G마켓",ROUNDDOWN(MIN(IF($D$20&gt;=1,MIN($D$20,N163),N163*$D$20),IF($E$20="",9E+99,$E$20)),0),ROUNDUP(MIN(IF($D$20&gt;=1,MIN($D$20,N163),N163*$D$20),IF($E$20="",9E+99,$E$20)),0))))</f>
        <v/>
      </c>
      <c r="R163" s="20">
        <f>IF(N163="","",IF(OR($D$21="",$H$21="X",N163&lt;N($C$21)),0,IF(B163="G마켓",ROUNDDOWN(MIN(IF($D$21&gt;=1,MIN($D$21,N163),N163*$D$21),IF($E$21="",9E+99,$E$21)),0),ROUNDUP(MIN(IF($D$21&gt;=1,MIN($D$21,N163),N163*$D$21),IF($E$21="",9E+99,$E$21)),0))))</f>
        <v/>
      </c>
      <c r="S163" s="19">
        <f>IF(G163="","",N163-MAX(O163:R163))</f>
        <v/>
      </c>
      <c r="T163" s="20">
        <f>IF(S163="","",IF(OR($D$25="",S163&lt;N($C$25)),0,IF(B163="G마켓",ROUNDDOWN(MIN(IF($D$25&gt;=1,MIN($D$25,S163),S163*$D$25),IF($E$25="",9E+99,$E$25)),0),ROUNDUP(MIN(IF($D$25&gt;=1,MIN($D$25,S163),S163*$D$25),IF($E$25="",9E+99,$E$25)),0))))</f>
        <v/>
      </c>
      <c r="U163" s="20">
        <f>IF(S163="","",IF(OR($D$26="",S163&lt;N($C$26)),0,IF(B163="G마켓",ROUNDDOWN(MIN(IF($D$26&gt;=1,MIN($D$26,S163),S163*$D$26),IF($E$26="",9E+99,$E$26)),0),ROUNDUP(MIN(IF($D$26&gt;=1,MIN($D$26,S163),S163*$D$26),IF($E$26="",9E+99,$E$26)),0))))</f>
        <v/>
      </c>
      <c r="V163" s="20">
        <f>IF(S163="","",IF(OR($D$27="",S163&lt;N($C$27)),0,IF(B163="G마켓",ROUNDDOWN(MIN(IF($D$27&gt;=1,MIN($D$27,S163),S163*$D$27),IF($E$27="",9E+99,$E$27)),0),ROUNDUP(MIN(IF($D$27&gt;=1,MIN($D$27,S163),S163*$D$27),IF($E$27="",9E+99,$E$27)),0))))</f>
        <v/>
      </c>
      <c r="W163" s="19">
        <f>IF(G163="","",MAX(T163:V163))</f>
        <v/>
      </c>
      <c r="X163" s="21">
        <f>IF(G163="","",S163-W163)</f>
        <v/>
      </c>
      <c r="Y163" s="19">
        <f>IF(G163="","",IF(B163="G마켓",ROUNDDOWN(MAX(I163*N($G$10),J163*N($G$11),K163*N($G$12),L163*N($G$13),M163*N($G$14))+MAX(O163*N($G$18),P163*N($G$19),Q163*N($G$20),R163*N($G$21))+MAX(T163*N($G$25),U163*N($G$26),V163*N($G$27)),0),ROUNDUP(MAX(I163*N($G$10),J163*N($G$11),K163*N($G$12),L163*N($G$13),M163*N($G$14))+MAX(O163*N($G$18),P163*N($G$19),Q163*N($G$20),R163*N($G$21))+MAX(T163*N($G$25),U163*N($G$26),V163*N($G$27)),0)))</f>
        <v/>
      </c>
      <c r="Z163" s="21">
        <f>IF(G163="","",IF(B163="G마켓",ROUNDDOWN(G163-G163*$Q$6-Y163,0),ROUNDUP(G163-G163*$Q$6-Y163,0)))</f>
        <v/>
      </c>
    </row>
    <row r="164">
      <c r="B164" s="7" t="n"/>
      <c r="C164" s="7" t="n"/>
      <c r="D164" s="22" t="n"/>
      <c r="E164" s="23" t="n"/>
      <c r="F164" s="23" t="n"/>
      <c r="G164" s="19">
        <f>IF(E164="","",E164-N(F164))</f>
        <v/>
      </c>
      <c r="I164" s="20">
        <f>IF(G164="","",IF(OR($D$10="",$H$10="X",G164&lt;N($C$10)),0,IF(B164="G마켓",ROUNDDOWN(MIN(IF($D$10&gt;=1,MIN($D$10,G164),G164*$D$10),IF($E$10="",9E+99,$E$10)),0),ROUNDUP(MIN(IF($D$10&gt;=1,MIN($D$10,G164),G164*$D$10),IF($E$10="",9E+99,$E$10)),0))))</f>
        <v/>
      </c>
      <c r="J164" s="20">
        <f>IF(G164="","",IF(OR($D$11="",$H$11="X",G164&lt;N($C$11)),0,IF(B164="G마켓",ROUNDDOWN(MIN(IF($D$11&gt;=1,MIN($D$11,G164),G164*$D$11),IF($E$11="",9E+99,$E$11)),0),ROUNDUP(MIN(IF($D$11&gt;=1,MIN($D$11,G164),G164*$D$11),IF($E$11="",9E+99,$E$11)),0))))</f>
        <v/>
      </c>
      <c r="K164" s="20">
        <f>IF(G164="","",IF(OR($D$12="",$H$12="X",G164&lt;N($C$12)),0,IF(B164="G마켓",ROUNDDOWN(MIN(IF($D$12&gt;=1,MIN($D$12,G164),G164*$D$12),IF($E$12="",9E+99,$E$12)),0),ROUNDUP(MIN(IF($D$12&gt;=1,MIN($D$12,G164),G164*$D$12),IF($E$12="",9E+99,$E$12)),0))))</f>
        <v/>
      </c>
      <c r="L164" s="20">
        <f>IF(G164="","",IF(OR($D$13="",$H$13="X",G164&lt;N($C$13)),0,IF(B164="G마켓",ROUNDDOWN(MIN(IF($D$13&gt;=1,MIN($D$13,G164),G164*$D$13),IF($E$13="",9E+99,$E$13)),0),ROUNDUP(MIN(IF($D$13&gt;=1,MIN($D$13,G164),G164*$D$13),IF($E$13="",9E+99,$E$13)),0))))</f>
        <v/>
      </c>
      <c r="M164" s="20">
        <f>IF(G164="","",IF(OR($D$14="",$H$14="X",G164&lt;N($C$14)),0,IF(B164="G마켓",ROUNDDOWN(MIN(IF($D$14&gt;=1,MIN($D$14,G164),G164*$D$14),IF($E$14="",9E+99,$E$14)),0),ROUNDUP(MIN(IF($D$14&gt;=1,MIN($D$14,G164),G164*$D$14),IF($E$14="",9E+99,$E$14)),0))))</f>
        <v/>
      </c>
      <c r="N164" s="19">
        <f>IF(G164="","",G164-MAX(I164:M164))</f>
        <v/>
      </c>
      <c r="O164" s="20">
        <f>IF(N164="","",IF(OR($D$18="",$H$18="X",N164&lt;N($C$18)),0,IF(B164="G마켓",ROUNDDOWN(MIN(IF($D$18&gt;=1,MIN($D$18,N164),N164*$D$18),IF($E$18="",9E+99,$E$18)),0),ROUNDUP(MIN(IF($D$18&gt;=1,MIN($D$18,N164),N164*$D$18),IF($E$18="",9E+99,$E$18)),0))))</f>
        <v/>
      </c>
      <c r="P164" s="20">
        <f>IF(N164="","",IF(OR($D$19="",$H$19="X",N164&lt;N($C$19)),0,IF(B164="G마켓",ROUNDDOWN(MIN(IF($D$19&gt;=1,MIN($D$19,N164),N164*$D$19),IF($E$19="",9E+99,$E$19)),0),ROUNDUP(MIN(IF($D$19&gt;=1,MIN($D$19,N164),N164*$D$19),IF($E$19="",9E+99,$E$19)),0))))</f>
        <v/>
      </c>
      <c r="Q164" s="20">
        <f>IF(N164="","",IF(OR($D$20="",$H$20="X",N164&lt;N($C$20)),0,IF(B164="G마켓",ROUNDDOWN(MIN(IF($D$20&gt;=1,MIN($D$20,N164),N164*$D$20),IF($E$20="",9E+99,$E$20)),0),ROUNDUP(MIN(IF($D$20&gt;=1,MIN($D$20,N164),N164*$D$20),IF($E$20="",9E+99,$E$20)),0))))</f>
        <v/>
      </c>
      <c r="R164" s="20">
        <f>IF(N164="","",IF(OR($D$21="",$H$21="X",N164&lt;N($C$21)),0,IF(B164="G마켓",ROUNDDOWN(MIN(IF($D$21&gt;=1,MIN($D$21,N164),N164*$D$21),IF($E$21="",9E+99,$E$21)),0),ROUNDUP(MIN(IF($D$21&gt;=1,MIN($D$21,N164),N164*$D$21),IF($E$21="",9E+99,$E$21)),0))))</f>
        <v/>
      </c>
      <c r="S164" s="19">
        <f>IF(G164="","",N164-MAX(O164:R164))</f>
        <v/>
      </c>
      <c r="T164" s="20">
        <f>IF(S164="","",IF(OR($D$25="",S164&lt;N($C$25)),0,IF(B164="G마켓",ROUNDDOWN(MIN(IF($D$25&gt;=1,MIN($D$25,S164),S164*$D$25),IF($E$25="",9E+99,$E$25)),0),ROUNDUP(MIN(IF($D$25&gt;=1,MIN($D$25,S164),S164*$D$25),IF($E$25="",9E+99,$E$25)),0))))</f>
        <v/>
      </c>
      <c r="U164" s="20">
        <f>IF(S164="","",IF(OR($D$26="",S164&lt;N($C$26)),0,IF(B164="G마켓",ROUNDDOWN(MIN(IF($D$26&gt;=1,MIN($D$26,S164),S164*$D$26),IF($E$26="",9E+99,$E$26)),0),ROUNDUP(MIN(IF($D$26&gt;=1,MIN($D$26,S164),S164*$D$26),IF($E$26="",9E+99,$E$26)),0))))</f>
        <v/>
      </c>
      <c r="V164" s="20">
        <f>IF(S164="","",IF(OR($D$27="",S164&lt;N($C$27)),0,IF(B164="G마켓",ROUNDDOWN(MIN(IF($D$27&gt;=1,MIN($D$27,S164),S164*$D$27),IF($E$27="",9E+99,$E$27)),0),ROUNDUP(MIN(IF($D$27&gt;=1,MIN($D$27,S164),S164*$D$27),IF($E$27="",9E+99,$E$27)),0))))</f>
        <v/>
      </c>
      <c r="W164" s="19">
        <f>IF(G164="","",MAX(T164:V164))</f>
        <v/>
      </c>
      <c r="X164" s="21">
        <f>IF(G164="","",S164-W164)</f>
        <v/>
      </c>
      <c r="Y164" s="19">
        <f>IF(G164="","",IF(B164="G마켓",ROUNDDOWN(MAX(I164*N($G$10),J164*N($G$11),K164*N($G$12),L164*N($G$13),M164*N($G$14))+MAX(O164*N($G$18),P164*N($G$19),Q164*N($G$20),R164*N($G$21))+MAX(T164*N($G$25),U164*N($G$26),V164*N($G$27)),0),ROUNDUP(MAX(I164*N($G$10),J164*N($G$11),K164*N($G$12),L164*N($G$13),M164*N($G$14))+MAX(O164*N($G$18),P164*N($G$19),Q164*N($G$20),R164*N($G$21))+MAX(T164*N($G$25),U164*N($G$26),V164*N($G$27)),0)))</f>
        <v/>
      </c>
      <c r="Z164" s="21">
        <f>IF(G164="","",IF(B164="G마켓",ROUNDDOWN(G164-G164*$Q$6-Y164,0),ROUNDUP(G164-G164*$Q$6-Y164,0)))</f>
        <v/>
      </c>
    </row>
    <row r="165">
      <c r="B165" s="7" t="n"/>
      <c r="C165" s="7" t="n"/>
      <c r="D165" s="22" t="n"/>
      <c r="E165" s="23" t="n"/>
      <c r="F165" s="23" t="n"/>
      <c r="G165" s="19">
        <f>IF(E165="","",E165-N(F165))</f>
        <v/>
      </c>
      <c r="I165" s="20">
        <f>IF(G165="","",IF(OR($D$10="",$H$10="X",G165&lt;N($C$10)),0,IF(B165="G마켓",ROUNDDOWN(MIN(IF($D$10&gt;=1,MIN($D$10,G165),G165*$D$10),IF($E$10="",9E+99,$E$10)),0),ROUNDUP(MIN(IF($D$10&gt;=1,MIN($D$10,G165),G165*$D$10),IF($E$10="",9E+99,$E$10)),0))))</f>
        <v/>
      </c>
      <c r="J165" s="20">
        <f>IF(G165="","",IF(OR($D$11="",$H$11="X",G165&lt;N($C$11)),0,IF(B165="G마켓",ROUNDDOWN(MIN(IF($D$11&gt;=1,MIN($D$11,G165),G165*$D$11),IF($E$11="",9E+99,$E$11)),0),ROUNDUP(MIN(IF($D$11&gt;=1,MIN($D$11,G165),G165*$D$11),IF($E$11="",9E+99,$E$11)),0))))</f>
        <v/>
      </c>
      <c r="K165" s="20">
        <f>IF(G165="","",IF(OR($D$12="",$H$12="X",G165&lt;N($C$12)),0,IF(B165="G마켓",ROUNDDOWN(MIN(IF($D$12&gt;=1,MIN($D$12,G165),G165*$D$12),IF($E$12="",9E+99,$E$12)),0),ROUNDUP(MIN(IF($D$12&gt;=1,MIN($D$12,G165),G165*$D$12),IF($E$12="",9E+99,$E$12)),0))))</f>
        <v/>
      </c>
      <c r="L165" s="20">
        <f>IF(G165="","",IF(OR($D$13="",$H$13="X",G165&lt;N($C$13)),0,IF(B165="G마켓",ROUNDDOWN(MIN(IF($D$13&gt;=1,MIN($D$13,G165),G165*$D$13),IF($E$13="",9E+99,$E$13)),0),ROUNDUP(MIN(IF($D$13&gt;=1,MIN($D$13,G165),G165*$D$13),IF($E$13="",9E+99,$E$13)),0))))</f>
        <v/>
      </c>
      <c r="M165" s="20">
        <f>IF(G165="","",IF(OR($D$14="",$H$14="X",G165&lt;N($C$14)),0,IF(B165="G마켓",ROUNDDOWN(MIN(IF($D$14&gt;=1,MIN($D$14,G165),G165*$D$14),IF($E$14="",9E+99,$E$14)),0),ROUNDUP(MIN(IF($D$14&gt;=1,MIN($D$14,G165),G165*$D$14),IF($E$14="",9E+99,$E$14)),0))))</f>
        <v/>
      </c>
      <c r="N165" s="19">
        <f>IF(G165="","",G165-MAX(I165:M165))</f>
        <v/>
      </c>
      <c r="O165" s="20">
        <f>IF(N165="","",IF(OR($D$18="",$H$18="X",N165&lt;N($C$18)),0,IF(B165="G마켓",ROUNDDOWN(MIN(IF($D$18&gt;=1,MIN($D$18,N165),N165*$D$18),IF($E$18="",9E+99,$E$18)),0),ROUNDUP(MIN(IF($D$18&gt;=1,MIN($D$18,N165),N165*$D$18),IF($E$18="",9E+99,$E$18)),0))))</f>
        <v/>
      </c>
      <c r="P165" s="20">
        <f>IF(N165="","",IF(OR($D$19="",$H$19="X",N165&lt;N($C$19)),0,IF(B165="G마켓",ROUNDDOWN(MIN(IF($D$19&gt;=1,MIN($D$19,N165),N165*$D$19),IF($E$19="",9E+99,$E$19)),0),ROUNDUP(MIN(IF($D$19&gt;=1,MIN($D$19,N165),N165*$D$19),IF($E$19="",9E+99,$E$19)),0))))</f>
        <v/>
      </c>
      <c r="Q165" s="20">
        <f>IF(N165="","",IF(OR($D$20="",$H$20="X",N165&lt;N($C$20)),0,IF(B165="G마켓",ROUNDDOWN(MIN(IF($D$20&gt;=1,MIN($D$20,N165),N165*$D$20),IF($E$20="",9E+99,$E$20)),0),ROUNDUP(MIN(IF($D$20&gt;=1,MIN($D$20,N165),N165*$D$20),IF($E$20="",9E+99,$E$20)),0))))</f>
        <v/>
      </c>
      <c r="R165" s="20">
        <f>IF(N165="","",IF(OR($D$21="",$H$21="X",N165&lt;N($C$21)),0,IF(B165="G마켓",ROUNDDOWN(MIN(IF($D$21&gt;=1,MIN($D$21,N165),N165*$D$21),IF($E$21="",9E+99,$E$21)),0),ROUNDUP(MIN(IF($D$21&gt;=1,MIN($D$21,N165),N165*$D$21),IF($E$21="",9E+99,$E$21)),0))))</f>
        <v/>
      </c>
      <c r="S165" s="19">
        <f>IF(G165="","",N165-MAX(O165:R165))</f>
        <v/>
      </c>
      <c r="T165" s="20">
        <f>IF(S165="","",IF(OR($D$25="",S165&lt;N($C$25)),0,IF(B165="G마켓",ROUNDDOWN(MIN(IF($D$25&gt;=1,MIN($D$25,S165),S165*$D$25),IF($E$25="",9E+99,$E$25)),0),ROUNDUP(MIN(IF($D$25&gt;=1,MIN($D$25,S165),S165*$D$25),IF($E$25="",9E+99,$E$25)),0))))</f>
        <v/>
      </c>
      <c r="U165" s="20">
        <f>IF(S165="","",IF(OR($D$26="",S165&lt;N($C$26)),0,IF(B165="G마켓",ROUNDDOWN(MIN(IF($D$26&gt;=1,MIN($D$26,S165),S165*$D$26),IF($E$26="",9E+99,$E$26)),0),ROUNDUP(MIN(IF($D$26&gt;=1,MIN($D$26,S165),S165*$D$26),IF($E$26="",9E+99,$E$26)),0))))</f>
        <v/>
      </c>
      <c r="V165" s="20">
        <f>IF(S165="","",IF(OR($D$27="",S165&lt;N($C$27)),0,IF(B165="G마켓",ROUNDDOWN(MIN(IF($D$27&gt;=1,MIN($D$27,S165),S165*$D$27),IF($E$27="",9E+99,$E$27)),0),ROUNDUP(MIN(IF($D$27&gt;=1,MIN($D$27,S165),S165*$D$27),IF($E$27="",9E+99,$E$27)),0))))</f>
        <v/>
      </c>
      <c r="W165" s="19">
        <f>IF(G165="","",MAX(T165:V165))</f>
        <v/>
      </c>
      <c r="X165" s="21">
        <f>IF(G165="","",S165-W165)</f>
        <v/>
      </c>
      <c r="Y165" s="19">
        <f>IF(G165="","",IF(B165="G마켓",ROUNDDOWN(MAX(I165*N($G$10),J165*N($G$11),K165*N($G$12),L165*N($G$13),M165*N($G$14))+MAX(O165*N($G$18),P165*N($G$19),Q165*N($G$20),R165*N($G$21))+MAX(T165*N($G$25),U165*N($G$26),V165*N($G$27)),0),ROUNDUP(MAX(I165*N($G$10),J165*N($G$11),K165*N($G$12),L165*N($G$13),M165*N($G$14))+MAX(O165*N($G$18),P165*N($G$19),Q165*N($G$20),R165*N($G$21))+MAX(T165*N($G$25),U165*N($G$26),V165*N($G$27)),0)))</f>
        <v/>
      </c>
      <c r="Z165" s="21">
        <f>IF(G165="","",IF(B165="G마켓",ROUNDDOWN(G165-G165*$Q$6-Y165,0),ROUNDUP(G165-G165*$Q$6-Y165,0)))</f>
        <v/>
      </c>
    </row>
    <row r="166">
      <c r="B166" s="7" t="n"/>
      <c r="C166" s="7" t="n"/>
      <c r="D166" s="22" t="n"/>
      <c r="E166" s="23" t="n"/>
      <c r="F166" s="23" t="n"/>
      <c r="G166" s="19">
        <f>IF(E166="","",E166-N(F166))</f>
        <v/>
      </c>
      <c r="I166" s="20">
        <f>IF(G166="","",IF(OR($D$10="",$H$10="X",G166&lt;N($C$10)),0,IF(B166="G마켓",ROUNDDOWN(MIN(IF($D$10&gt;=1,MIN($D$10,G166),G166*$D$10),IF($E$10="",9E+99,$E$10)),0),ROUNDUP(MIN(IF($D$10&gt;=1,MIN($D$10,G166),G166*$D$10),IF($E$10="",9E+99,$E$10)),0))))</f>
        <v/>
      </c>
      <c r="J166" s="20">
        <f>IF(G166="","",IF(OR($D$11="",$H$11="X",G166&lt;N($C$11)),0,IF(B166="G마켓",ROUNDDOWN(MIN(IF($D$11&gt;=1,MIN($D$11,G166),G166*$D$11),IF($E$11="",9E+99,$E$11)),0),ROUNDUP(MIN(IF($D$11&gt;=1,MIN($D$11,G166),G166*$D$11),IF($E$11="",9E+99,$E$11)),0))))</f>
        <v/>
      </c>
      <c r="K166" s="20">
        <f>IF(G166="","",IF(OR($D$12="",$H$12="X",G166&lt;N($C$12)),0,IF(B166="G마켓",ROUNDDOWN(MIN(IF($D$12&gt;=1,MIN($D$12,G166),G166*$D$12),IF($E$12="",9E+99,$E$12)),0),ROUNDUP(MIN(IF($D$12&gt;=1,MIN($D$12,G166),G166*$D$12),IF($E$12="",9E+99,$E$12)),0))))</f>
        <v/>
      </c>
      <c r="L166" s="20">
        <f>IF(G166="","",IF(OR($D$13="",$H$13="X",G166&lt;N($C$13)),0,IF(B166="G마켓",ROUNDDOWN(MIN(IF($D$13&gt;=1,MIN($D$13,G166),G166*$D$13),IF($E$13="",9E+99,$E$13)),0),ROUNDUP(MIN(IF($D$13&gt;=1,MIN($D$13,G166),G166*$D$13),IF($E$13="",9E+99,$E$13)),0))))</f>
        <v/>
      </c>
      <c r="M166" s="20">
        <f>IF(G166="","",IF(OR($D$14="",$H$14="X",G166&lt;N($C$14)),0,IF(B166="G마켓",ROUNDDOWN(MIN(IF($D$14&gt;=1,MIN($D$14,G166),G166*$D$14),IF($E$14="",9E+99,$E$14)),0),ROUNDUP(MIN(IF($D$14&gt;=1,MIN($D$14,G166),G166*$D$14),IF($E$14="",9E+99,$E$14)),0))))</f>
        <v/>
      </c>
      <c r="N166" s="19">
        <f>IF(G166="","",G166-MAX(I166:M166))</f>
        <v/>
      </c>
      <c r="O166" s="20">
        <f>IF(N166="","",IF(OR($D$18="",$H$18="X",N166&lt;N($C$18)),0,IF(B166="G마켓",ROUNDDOWN(MIN(IF($D$18&gt;=1,MIN($D$18,N166),N166*$D$18),IF($E$18="",9E+99,$E$18)),0),ROUNDUP(MIN(IF($D$18&gt;=1,MIN($D$18,N166),N166*$D$18),IF($E$18="",9E+99,$E$18)),0))))</f>
        <v/>
      </c>
      <c r="P166" s="20">
        <f>IF(N166="","",IF(OR($D$19="",$H$19="X",N166&lt;N($C$19)),0,IF(B166="G마켓",ROUNDDOWN(MIN(IF($D$19&gt;=1,MIN($D$19,N166),N166*$D$19),IF($E$19="",9E+99,$E$19)),0),ROUNDUP(MIN(IF($D$19&gt;=1,MIN($D$19,N166),N166*$D$19),IF($E$19="",9E+99,$E$19)),0))))</f>
        <v/>
      </c>
      <c r="Q166" s="20">
        <f>IF(N166="","",IF(OR($D$20="",$H$20="X",N166&lt;N($C$20)),0,IF(B166="G마켓",ROUNDDOWN(MIN(IF($D$20&gt;=1,MIN($D$20,N166),N166*$D$20),IF($E$20="",9E+99,$E$20)),0),ROUNDUP(MIN(IF($D$20&gt;=1,MIN($D$20,N166),N166*$D$20),IF($E$20="",9E+99,$E$20)),0))))</f>
        <v/>
      </c>
      <c r="R166" s="20">
        <f>IF(N166="","",IF(OR($D$21="",$H$21="X",N166&lt;N($C$21)),0,IF(B166="G마켓",ROUNDDOWN(MIN(IF($D$21&gt;=1,MIN($D$21,N166),N166*$D$21),IF($E$21="",9E+99,$E$21)),0),ROUNDUP(MIN(IF($D$21&gt;=1,MIN($D$21,N166),N166*$D$21),IF($E$21="",9E+99,$E$21)),0))))</f>
        <v/>
      </c>
      <c r="S166" s="19">
        <f>IF(G166="","",N166-MAX(O166:R166))</f>
        <v/>
      </c>
      <c r="T166" s="20">
        <f>IF(S166="","",IF(OR($D$25="",S166&lt;N($C$25)),0,IF(B166="G마켓",ROUNDDOWN(MIN(IF($D$25&gt;=1,MIN($D$25,S166),S166*$D$25),IF($E$25="",9E+99,$E$25)),0),ROUNDUP(MIN(IF($D$25&gt;=1,MIN($D$25,S166),S166*$D$25),IF($E$25="",9E+99,$E$25)),0))))</f>
        <v/>
      </c>
      <c r="U166" s="20">
        <f>IF(S166="","",IF(OR($D$26="",S166&lt;N($C$26)),0,IF(B166="G마켓",ROUNDDOWN(MIN(IF($D$26&gt;=1,MIN($D$26,S166),S166*$D$26),IF($E$26="",9E+99,$E$26)),0),ROUNDUP(MIN(IF($D$26&gt;=1,MIN($D$26,S166),S166*$D$26),IF($E$26="",9E+99,$E$26)),0))))</f>
        <v/>
      </c>
      <c r="V166" s="20">
        <f>IF(S166="","",IF(OR($D$27="",S166&lt;N($C$27)),0,IF(B166="G마켓",ROUNDDOWN(MIN(IF($D$27&gt;=1,MIN($D$27,S166),S166*$D$27),IF($E$27="",9E+99,$E$27)),0),ROUNDUP(MIN(IF($D$27&gt;=1,MIN($D$27,S166),S166*$D$27),IF($E$27="",9E+99,$E$27)),0))))</f>
        <v/>
      </c>
      <c r="W166" s="19">
        <f>IF(G166="","",MAX(T166:V166))</f>
        <v/>
      </c>
      <c r="X166" s="21">
        <f>IF(G166="","",S166-W166)</f>
        <v/>
      </c>
      <c r="Y166" s="19">
        <f>IF(G166="","",IF(B166="G마켓",ROUNDDOWN(MAX(I166*N($G$10),J166*N($G$11),K166*N($G$12),L166*N($G$13),M166*N($G$14))+MAX(O166*N($G$18),P166*N($G$19),Q166*N($G$20),R166*N($G$21))+MAX(T166*N($G$25),U166*N($G$26),V166*N($G$27)),0),ROUNDUP(MAX(I166*N($G$10),J166*N($G$11),K166*N($G$12),L166*N($G$13),M166*N($G$14))+MAX(O166*N($G$18),P166*N($G$19),Q166*N($G$20),R166*N($G$21))+MAX(T166*N($G$25),U166*N($G$26),V166*N($G$27)),0)))</f>
        <v/>
      </c>
      <c r="Z166" s="21">
        <f>IF(G166="","",IF(B166="G마켓",ROUNDDOWN(G166-G166*$Q$6-Y166,0),ROUNDUP(G166-G166*$Q$6-Y166,0)))</f>
        <v/>
      </c>
    </row>
    <row r="167">
      <c r="B167" s="7" t="n"/>
      <c r="C167" s="7" t="n"/>
      <c r="D167" s="22" t="n"/>
      <c r="E167" s="23" t="n"/>
      <c r="F167" s="23" t="n"/>
      <c r="G167" s="19">
        <f>IF(E167="","",E167-N(F167))</f>
        <v/>
      </c>
      <c r="I167" s="20">
        <f>IF(G167="","",IF(OR($D$10="",$H$10="X",G167&lt;N($C$10)),0,IF(B167="G마켓",ROUNDDOWN(MIN(IF($D$10&gt;=1,MIN($D$10,G167),G167*$D$10),IF($E$10="",9E+99,$E$10)),0),ROUNDUP(MIN(IF($D$10&gt;=1,MIN($D$10,G167),G167*$D$10),IF($E$10="",9E+99,$E$10)),0))))</f>
        <v/>
      </c>
      <c r="J167" s="20">
        <f>IF(G167="","",IF(OR($D$11="",$H$11="X",G167&lt;N($C$11)),0,IF(B167="G마켓",ROUNDDOWN(MIN(IF($D$11&gt;=1,MIN($D$11,G167),G167*$D$11),IF($E$11="",9E+99,$E$11)),0),ROUNDUP(MIN(IF($D$11&gt;=1,MIN($D$11,G167),G167*$D$11),IF($E$11="",9E+99,$E$11)),0))))</f>
        <v/>
      </c>
      <c r="K167" s="20">
        <f>IF(G167="","",IF(OR($D$12="",$H$12="X",G167&lt;N($C$12)),0,IF(B167="G마켓",ROUNDDOWN(MIN(IF($D$12&gt;=1,MIN($D$12,G167),G167*$D$12),IF($E$12="",9E+99,$E$12)),0),ROUNDUP(MIN(IF($D$12&gt;=1,MIN($D$12,G167),G167*$D$12),IF($E$12="",9E+99,$E$12)),0))))</f>
        <v/>
      </c>
      <c r="L167" s="20">
        <f>IF(G167="","",IF(OR($D$13="",$H$13="X",G167&lt;N($C$13)),0,IF(B167="G마켓",ROUNDDOWN(MIN(IF($D$13&gt;=1,MIN($D$13,G167),G167*$D$13),IF($E$13="",9E+99,$E$13)),0),ROUNDUP(MIN(IF($D$13&gt;=1,MIN($D$13,G167),G167*$D$13),IF($E$13="",9E+99,$E$13)),0))))</f>
        <v/>
      </c>
      <c r="M167" s="20">
        <f>IF(G167="","",IF(OR($D$14="",$H$14="X",G167&lt;N($C$14)),0,IF(B167="G마켓",ROUNDDOWN(MIN(IF($D$14&gt;=1,MIN($D$14,G167),G167*$D$14),IF($E$14="",9E+99,$E$14)),0),ROUNDUP(MIN(IF($D$14&gt;=1,MIN($D$14,G167),G167*$D$14),IF($E$14="",9E+99,$E$14)),0))))</f>
        <v/>
      </c>
      <c r="N167" s="19">
        <f>IF(G167="","",G167-MAX(I167:M167))</f>
        <v/>
      </c>
      <c r="O167" s="20">
        <f>IF(N167="","",IF(OR($D$18="",$H$18="X",N167&lt;N($C$18)),0,IF(B167="G마켓",ROUNDDOWN(MIN(IF($D$18&gt;=1,MIN($D$18,N167),N167*$D$18),IF($E$18="",9E+99,$E$18)),0),ROUNDUP(MIN(IF($D$18&gt;=1,MIN($D$18,N167),N167*$D$18),IF($E$18="",9E+99,$E$18)),0))))</f>
        <v/>
      </c>
      <c r="P167" s="20">
        <f>IF(N167="","",IF(OR($D$19="",$H$19="X",N167&lt;N($C$19)),0,IF(B167="G마켓",ROUNDDOWN(MIN(IF($D$19&gt;=1,MIN($D$19,N167),N167*$D$19),IF($E$19="",9E+99,$E$19)),0),ROUNDUP(MIN(IF($D$19&gt;=1,MIN($D$19,N167),N167*$D$19),IF($E$19="",9E+99,$E$19)),0))))</f>
        <v/>
      </c>
      <c r="Q167" s="20">
        <f>IF(N167="","",IF(OR($D$20="",$H$20="X",N167&lt;N($C$20)),0,IF(B167="G마켓",ROUNDDOWN(MIN(IF($D$20&gt;=1,MIN($D$20,N167),N167*$D$20),IF($E$20="",9E+99,$E$20)),0),ROUNDUP(MIN(IF($D$20&gt;=1,MIN($D$20,N167),N167*$D$20),IF($E$20="",9E+99,$E$20)),0))))</f>
        <v/>
      </c>
      <c r="R167" s="20">
        <f>IF(N167="","",IF(OR($D$21="",$H$21="X",N167&lt;N($C$21)),0,IF(B167="G마켓",ROUNDDOWN(MIN(IF($D$21&gt;=1,MIN($D$21,N167),N167*$D$21),IF($E$21="",9E+99,$E$21)),0),ROUNDUP(MIN(IF($D$21&gt;=1,MIN($D$21,N167),N167*$D$21),IF($E$21="",9E+99,$E$21)),0))))</f>
        <v/>
      </c>
      <c r="S167" s="19">
        <f>IF(G167="","",N167-MAX(O167:R167))</f>
        <v/>
      </c>
      <c r="T167" s="20">
        <f>IF(S167="","",IF(OR($D$25="",S167&lt;N($C$25)),0,IF(B167="G마켓",ROUNDDOWN(MIN(IF($D$25&gt;=1,MIN($D$25,S167),S167*$D$25),IF($E$25="",9E+99,$E$25)),0),ROUNDUP(MIN(IF($D$25&gt;=1,MIN($D$25,S167),S167*$D$25),IF($E$25="",9E+99,$E$25)),0))))</f>
        <v/>
      </c>
      <c r="U167" s="20">
        <f>IF(S167="","",IF(OR($D$26="",S167&lt;N($C$26)),0,IF(B167="G마켓",ROUNDDOWN(MIN(IF($D$26&gt;=1,MIN($D$26,S167),S167*$D$26),IF($E$26="",9E+99,$E$26)),0),ROUNDUP(MIN(IF($D$26&gt;=1,MIN($D$26,S167),S167*$D$26),IF($E$26="",9E+99,$E$26)),0))))</f>
        <v/>
      </c>
      <c r="V167" s="20">
        <f>IF(S167="","",IF(OR($D$27="",S167&lt;N($C$27)),0,IF(B167="G마켓",ROUNDDOWN(MIN(IF($D$27&gt;=1,MIN($D$27,S167),S167*$D$27),IF($E$27="",9E+99,$E$27)),0),ROUNDUP(MIN(IF($D$27&gt;=1,MIN($D$27,S167),S167*$D$27),IF($E$27="",9E+99,$E$27)),0))))</f>
        <v/>
      </c>
      <c r="W167" s="19">
        <f>IF(G167="","",MAX(T167:V167))</f>
        <v/>
      </c>
      <c r="X167" s="21">
        <f>IF(G167="","",S167-W167)</f>
        <v/>
      </c>
      <c r="Y167" s="19">
        <f>IF(G167="","",IF(B167="G마켓",ROUNDDOWN(MAX(I167*N($G$10),J167*N($G$11),K167*N($G$12),L167*N($G$13),M167*N($G$14))+MAX(O167*N($G$18),P167*N($G$19),Q167*N($G$20),R167*N($G$21))+MAX(T167*N($G$25),U167*N($G$26),V167*N($G$27)),0),ROUNDUP(MAX(I167*N($G$10),J167*N($G$11),K167*N($G$12),L167*N($G$13),M167*N($G$14))+MAX(O167*N($G$18),P167*N($G$19),Q167*N($G$20),R167*N($G$21))+MAX(T167*N($G$25),U167*N($G$26),V167*N($G$27)),0)))</f>
        <v/>
      </c>
      <c r="Z167" s="21">
        <f>IF(G167="","",IF(B167="G마켓",ROUNDDOWN(G167-G167*$Q$6-Y167,0),ROUNDUP(G167-G167*$Q$6-Y167,0)))</f>
        <v/>
      </c>
    </row>
    <row r="168">
      <c r="B168" s="7" t="n"/>
      <c r="C168" s="7" t="n"/>
      <c r="D168" s="22" t="n"/>
      <c r="E168" s="23" t="n"/>
      <c r="F168" s="23" t="n"/>
      <c r="G168" s="19">
        <f>IF(E168="","",E168-N(F168))</f>
        <v/>
      </c>
      <c r="I168" s="20">
        <f>IF(G168="","",IF(OR($D$10="",$H$10="X",G168&lt;N($C$10)),0,IF(B168="G마켓",ROUNDDOWN(MIN(IF($D$10&gt;=1,MIN($D$10,G168),G168*$D$10),IF($E$10="",9E+99,$E$10)),0),ROUNDUP(MIN(IF($D$10&gt;=1,MIN($D$10,G168),G168*$D$10),IF($E$10="",9E+99,$E$10)),0))))</f>
        <v/>
      </c>
      <c r="J168" s="20">
        <f>IF(G168="","",IF(OR($D$11="",$H$11="X",G168&lt;N($C$11)),0,IF(B168="G마켓",ROUNDDOWN(MIN(IF($D$11&gt;=1,MIN($D$11,G168),G168*$D$11),IF($E$11="",9E+99,$E$11)),0),ROUNDUP(MIN(IF($D$11&gt;=1,MIN($D$11,G168),G168*$D$11),IF($E$11="",9E+99,$E$11)),0))))</f>
        <v/>
      </c>
      <c r="K168" s="20">
        <f>IF(G168="","",IF(OR($D$12="",$H$12="X",G168&lt;N($C$12)),0,IF(B168="G마켓",ROUNDDOWN(MIN(IF($D$12&gt;=1,MIN($D$12,G168),G168*$D$12),IF($E$12="",9E+99,$E$12)),0),ROUNDUP(MIN(IF($D$12&gt;=1,MIN($D$12,G168),G168*$D$12),IF($E$12="",9E+99,$E$12)),0))))</f>
        <v/>
      </c>
      <c r="L168" s="20">
        <f>IF(G168="","",IF(OR($D$13="",$H$13="X",G168&lt;N($C$13)),0,IF(B168="G마켓",ROUNDDOWN(MIN(IF($D$13&gt;=1,MIN($D$13,G168),G168*$D$13),IF($E$13="",9E+99,$E$13)),0),ROUNDUP(MIN(IF($D$13&gt;=1,MIN($D$13,G168),G168*$D$13),IF($E$13="",9E+99,$E$13)),0))))</f>
        <v/>
      </c>
      <c r="M168" s="20">
        <f>IF(G168="","",IF(OR($D$14="",$H$14="X",G168&lt;N($C$14)),0,IF(B168="G마켓",ROUNDDOWN(MIN(IF($D$14&gt;=1,MIN($D$14,G168),G168*$D$14),IF($E$14="",9E+99,$E$14)),0),ROUNDUP(MIN(IF($D$14&gt;=1,MIN($D$14,G168),G168*$D$14),IF($E$14="",9E+99,$E$14)),0))))</f>
        <v/>
      </c>
      <c r="N168" s="19">
        <f>IF(G168="","",G168-MAX(I168:M168))</f>
        <v/>
      </c>
      <c r="O168" s="20">
        <f>IF(N168="","",IF(OR($D$18="",$H$18="X",N168&lt;N($C$18)),0,IF(B168="G마켓",ROUNDDOWN(MIN(IF($D$18&gt;=1,MIN($D$18,N168),N168*$D$18),IF($E$18="",9E+99,$E$18)),0),ROUNDUP(MIN(IF($D$18&gt;=1,MIN($D$18,N168),N168*$D$18),IF($E$18="",9E+99,$E$18)),0))))</f>
        <v/>
      </c>
      <c r="P168" s="20">
        <f>IF(N168="","",IF(OR($D$19="",$H$19="X",N168&lt;N($C$19)),0,IF(B168="G마켓",ROUNDDOWN(MIN(IF($D$19&gt;=1,MIN($D$19,N168),N168*$D$19),IF($E$19="",9E+99,$E$19)),0),ROUNDUP(MIN(IF($D$19&gt;=1,MIN($D$19,N168),N168*$D$19),IF($E$19="",9E+99,$E$19)),0))))</f>
        <v/>
      </c>
      <c r="Q168" s="20">
        <f>IF(N168="","",IF(OR($D$20="",$H$20="X",N168&lt;N($C$20)),0,IF(B168="G마켓",ROUNDDOWN(MIN(IF($D$20&gt;=1,MIN($D$20,N168),N168*$D$20),IF($E$20="",9E+99,$E$20)),0),ROUNDUP(MIN(IF($D$20&gt;=1,MIN($D$20,N168),N168*$D$20),IF($E$20="",9E+99,$E$20)),0))))</f>
        <v/>
      </c>
      <c r="R168" s="20">
        <f>IF(N168="","",IF(OR($D$21="",$H$21="X",N168&lt;N($C$21)),0,IF(B168="G마켓",ROUNDDOWN(MIN(IF($D$21&gt;=1,MIN($D$21,N168),N168*$D$21),IF($E$21="",9E+99,$E$21)),0),ROUNDUP(MIN(IF($D$21&gt;=1,MIN($D$21,N168),N168*$D$21),IF($E$21="",9E+99,$E$21)),0))))</f>
        <v/>
      </c>
      <c r="S168" s="19">
        <f>IF(G168="","",N168-MAX(O168:R168))</f>
        <v/>
      </c>
      <c r="T168" s="20">
        <f>IF(S168="","",IF(OR($D$25="",S168&lt;N($C$25)),0,IF(B168="G마켓",ROUNDDOWN(MIN(IF($D$25&gt;=1,MIN($D$25,S168),S168*$D$25),IF($E$25="",9E+99,$E$25)),0),ROUNDUP(MIN(IF($D$25&gt;=1,MIN($D$25,S168),S168*$D$25),IF($E$25="",9E+99,$E$25)),0))))</f>
        <v/>
      </c>
      <c r="U168" s="20">
        <f>IF(S168="","",IF(OR($D$26="",S168&lt;N($C$26)),0,IF(B168="G마켓",ROUNDDOWN(MIN(IF($D$26&gt;=1,MIN($D$26,S168),S168*$D$26),IF($E$26="",9E+99,$E$26)),0),ROUNDUP(MIN(IF($D$26&gt;=1,MIN($D$26,S168),S168*$D$26),IF($E$26="",9E+99,$E$26)),0))))</f>
        <v/>
      </c>
      <c r="V168" s="20">
        <f>IF(S168="","",IF(OR($D$27="",S168&lt;N($C$27)),0,IF(B168="G마켓",ROUNDDOWN(MIN(IF($D$27&gt;=1,MIN($D$27,S168),S168*$D$27),IF($E$27="",9E+99,$E$27)),0),ROUNDUP(MIN(IF($D$27&gt;=1,MIN($D$27,S168),S168*$D$27),IF($E$27="",9E+99,$E$27)),0))))</f>
        <v/>
      </c>
      <c r="W168" s="19">
        <f>IF(G168="","",MAX(T168:V168))</f>
        <v/>
      </c>
      <c r="X168" s="21">
        <f>IF(G168="","",S168-W168)</f>
        <v/>
      </c>
      <c r="Y168" s="19">
        <f>IF(G168="","",IF(B168="G마켓",ROUNDDOWN(MAX(I168*N($G$10),J168*N($G$11),K168*N($G$12),L168*N($G$13),M168*N($G$14))+MAX(O168*N($G$18),P168*N($G$19),Q168*N($G$20),R168*N($G$21))+MAX(T168*N($G$25),U168*N($G$26),V168*N($G$27)),0),ROUNDUP(MAX(I168*N($G$10),J168*N($G$11),K168*N($G$12),L168*N($G$13),M168*N($G$14))+MAX(O168*N($G$18),P168*N($G$19),Q168*N($G$20),R168*N($G$21))+MAX(T168*N($G$25),U168*N($G$26),V168*N($G$27)),0)))</f>
        <v/>
      </c>
      <c r="Z168" s="21">
        <f>IF(G168="","",IF(B168="G마켓",ROUNDDOWN(G168-G168*$Q$6-Y168,0),ROUNDUP(G168-G168*$Q$6-Y168,0)))</f>
        <v/>
      </c>
    </row>
    <row r="169">
      <c r="B169" s="7" t="n"/>
      <c r="C169" s="7" t="n"/>
      <c r="D169" s="22" t="n"/>
      <c r="E169" s="23" t="n"/>
      <c r="F169" s="23" t="n"/>
      <c r="G169" s="19">
        <f>IF(E169="","",E169-N(F169))</f>
        <v/>
      </c>
      <c r="I169" s="20">
        <f>IF(G169="","",IF(OR($D$10="",$H$10="X",G169&lt;N($C$10)),0,IF(B169="G마켓",ROUNDDOWN(MIN(IF($D$10&gt;=1,MIN($D$10,G169),G169*$D$10),IF($E$10="",9E+99,$E$10)),0),ROUNDUP(MIN(IF($D$10&gt;=1,MIN($D$10,G169),G169*$D$10),IF($E$10="",9E+99,$E$10)),0))))</f>
        <v/>
      </c>
      <c r="J169" s="20">
        <f>IF(G169="","",IF(OR($D$11="",$H$11="X",G169&lt;N($C$11)),0,IF(B169="G마켓",ROUNDDOWN(MIN(IF($D$11&gt;=1,MIN($D$11,G169),G169*$D$11),IF($E$11="",9E+99,$E$11)),0),ROUNDUP(MIN(IF($D$11&gt;=1,MIN($D$11,G169),G169*$D$11),IF($E$11="",9E+99,$E$11)),0))))</f>
        <v/>
      </c>
      <c r="K169" s="20">
        <f>IF(G169="","",IF(OR($D$12="",$H$12="X",G169&lt;N($C$12)),0,IF(B169="G마켓",ROUNDDOWN(MIN(IF($D$12&gt;=1,MIN($D$12,G169),G169*$D$12),IF($E$12="",9E+99,$E$12)),0),ROUNDUP(MIN(IF($D$12&gt;=1,MIN($D$12,G169),G169*$D$12),IF($E$12="",9E+99,$E$12)),0))))</f>
        <v/>
      </c>
      <c r="L169" s="20">
        <f>IF(G169="","",IF(OR($D$13="",$H$13="X",G169&lt;N($C$13)),0,IF(B169="G마켓",ROUNDDOWN(MIN(IF($D$13&gt;=1,MIN($D$13,G169),G169*$D$13),IF($E$13="",9E+99,$E$13)),0),ROUNDUP(MIN(IF($D$13&gt;=1,MIN($D$13,G169),G169*$D$13),IF($E$13="",9E+99,$E$13)),0))))</f>
        <v/>
      </c>
      <c r="M169" s="20">
        <f>IF(G169="","",IF(OR($D$14="",$H$14="X",G169&lt;N($C$14)),0,IF(B169="G마켓",ROUNDDOWN(MIN(IF($D$14&gt;=1,MIN($D$14,G169),G169*$D$14),IF($E$14="",9E+99,$E$14)),0),ROUNDUP(MIN(IF($D$14&gt;=1,MIN($D$14,G169),G169*$D$14),IF($E$14="",9E+99,$E$14)),0))))</f>
        <v/>
      </c>
      <c r="N169" s="19">
        <f>IF(G169="","",G169-MAX(I169:M169))</f>
        <v/>
      </c>
      <c r="O169" s="20">
        <f>IF(N169="","",IF(OR($D$18="",$H$18="X",N169&lt;N($C$18)),0,IF(B169="G마켓",ROUNDDOWN(MIN(IF($D$18&gt;=1,MIN($D$18,N169),N169*$D$18),IF($E$18="",9E+99,$E$18)),0),ROUNDUP(MIN(IF($D$18&gt;=1,MIN($D$18,N169),N169*$D$18),IF($E$18="",9E+99,$E$18)),0))))</f>
        <v/>
      </c>
      <c r="P169" s="20">
        <f>IF(N169="","",IF(OR($D$19="",$H$19="X",N169&lt;N($C$19)),0,IF(B169="G마켓",ROUNDDOWN(MIN(IF($D$19&gt;=1,MIN($D$19,N169),N169*$D$19),IF($E$19="",9E+99,$E$19)),0),ROUNDUP(MIN(IF($D$19&gt;=1,MIN($D$19,N169),N169*$D$19),IF($E$19="",9E+99,$E$19)),0))))</f>
        <v/>
      </c>
      <c r="Q169" s="20">
        <f>IF(N169="","",IF(OR($D$20="",$H$20="X",N169&lt;N($C$20)),0,IF(B169="G마켓",ROUNDDOWN(MIN(IF($D$20&gt;=1,MIN($D$20,N169),N169*$D$20),IF($E$20="",9E+99,$E$20)),0),ROUNDUP(MIN(IF($D$20&gt;=1,MIN($D$20,N169),N169*$D$20),IF($E$20="",9E+99,$E$20)),0))))</f>
        <v/>
      </c>
      <c r="R169" s="20">
        <f>IF(N169="","",IF(OR($D$21="",$H$21="X",N169&lt;N($C$21)),0,IF(B169="G마켓",ROUNDDOWN(MIN(IF($D$21&gt;=1,MIN($D$21,N169),N169*$D$21),IF($E$21="",9E+99,$E$21)),0),ROUNDUP(MIN(IF($D$21&gt;=1,MIN($D$21,N169),N169*$D$21),IF($E$21="",9E+99,$E$21)),0))))</f>
        <v/>
      </c>
      <c r="S169" s="19">
        <f>IF(G169="","",N169-MAX(O169:R169))</f>
        <v/>
      </c>
      <c r="T169" s="20">
        <f>IF(S169="","",IF(OR($D$25="",S169&lt;N($C$25)),0,IF(B169="G마켓",ROUNDDOWN(MIN(IF($D$25&gt;=1,MIN($D$25,S169),S169*$D$25),IF($E$25="",9E+99,$E$25)),0),ROUNDUP(MIN(IF($D$25&gt;=1,MIN($D$25,S169),S169*$D$25),IF($E$25="",9E+99,$E$25)),0))))</f>
        <v/>
      </c>
      <c r="U169" s="20">
        <f>IF(S169="","",IF(OR($D$26="",S169&lt;N($C$26)),0,IF(B169="G마켓",ROUNDDOWN(MIN(IF($D$26&gt;=1,MIN($D$26,S169),S169*$D$26),IF($E$26="",9E+99,$E$26)),0),ROUNDUP(MIN(IF($D$26&gt;=1,MIN($D$26,S169),S169*$D$26),IF($E$26="",9E+99,$E$26)),0))))</f>
        <v/>
      </c>
      <c r="V169" s="20">
        <f>IF(S169="","",IF(OR($D$27="",S169&lt;N($C$27)),0,IF(B169="G마켓",ROUNDDOWN(MIN(IF($D$27&gt;=1,MIN($D$27,S169),S169*$D$27),IF($E$27="",9E+99,$E$27)),0),ROUNDUP(MIN(IF($D$27&gt;=1,MIN($D$27,S169),S169*$D$27),IF($E$27="",9E+99,$E$27)),0))))</f>
        <v/>
      </c>
      <c r="W169" s="19">
        <f>IF(G169="","",MAX(T169:V169))</f>
        <v/>
      </c>
      <c r="X169" s="21">
        <f>IF(G169="","",S169-W169)</f>
        <v/>
      </c>
      <c r="Y169" s="19">
        <f>IF(G169="","",IF(B169="G마켓",ROUNDDOWN(MAX(I169*N($G$10),J169*N($G$11),K169*N($G$12),L169*N($G$13),M169*N($G$14))+MAX(O169*N($G$18),P169*N($G$19),Q169*N($G$20),R169*N($G$21))+MAX(T169*N($G$25),U169*N($G$26),V169*N($G$27)),0),ROUNDUP(MAX(I169*N($G$10),J169*N($G$11),K169*N($G$12),L169*N($G$13),M169*N($G$14))+MAX(O169*N($G$18),P169*N($G$19),Q169*N($G$20),R169*N($G$21))+MAX(T169*N($G$25),U169*N($G$26),V169*N($G$27)),0)))</f>
        <v/>
      </c>
      <c r="Z169" s="21">
        <f>IF(G169="","",IF(B169="G마켓",ROUNDDOWN(G169-G169*$Q$6-Y169,0),ROUNDUP(G169-G169*$Q$6-Y169,0)))</f>
        <v/>
      </c>
    </row>
    <row r="170">
      <c r="B170" s="7" t="n"/>
      <c r="C170" s="7" t="n"/>
      <c r="D170" s="22" t="n"/>
      <c r="E170" s="23" t="n"/>
      <c r="F170" s="23" t="n"/>
      <c r="G170" s="19">
        <f>IF(E170="","",E170-N(F170))</f>
        <v/>
      </c>
      <c r="I170" s="20">
        <f>IF(G170="","",IF(OR($D$10="",$H$10="X",G170&lt;N($C$10)),0,IF(B170="G마켓",ROUNDDOWN(MIN(IF($D$10&gt;=1,MIN($D$10,G170),G170*$D$10),IF($E$10="",9E+99,$E$10)),0),ROUNDUP(MIN(IF($D$10&gt;=1,MIN($D$10,G170),G170*$D$10),IF($E$10="",9E+99,$E$10)),0))))</f>
        <v/>
      </c>
      <c r="J170" s="20">
        <f>IF(G170="","",IF(OR($D$11="",$H$11="X",G170&lt;N($C$11)),0,IF(B170="G마켓",ROUNDDOWN(MIN(IF($D$11&gt;=1,MIN($D$11,G170),G170*$D$11),IF($E$11="",9E+99,$E$11)),0),ROUNDUP(MIN(IF($D$11&gt;=1,MIN($D$11,G170),G170*$D$11),IF($E$11="",9E+99,$E$11)),0))))</f>
        <v/>
      </c>
      <c r="K170" s="20">
        <f>IF(G170="","",IF(OR($D$12="",$H$12="X",G170&lt;N($C$12)),0,IF(B170="G마켓",ROUNDDOWN(MIN(IF($D$12&gt;=1,MIN($D$12,G170),G170*$D$12),IF($E$12="",9E+99,$E$12)),0),ROUNDUP(MIN(IF($D$12&gt;=1,MIN($D$12,G170),G170*$D$12),IF($E$12="",9E+99,$E$12)),0))))</f>
        <v/>
      </c>
      <c r="L170" s="20">
        <f>IF(G170="","",IF(OR($D$13="",$H$13="X",G170&lt;N($C$13)),0,IF(B170="G마켓",ROUNDDOWN(MIN(IF($D$13&gt;=1,MIN($D$13,G170),G170*$D$13),IF($E$13="",9E+99,$E$13)),0),ROUNDUP(MIN(IF($D$13&gt;=1,MIN($D$13,G170),G170*$D$13),IF($E$13="",9E+99,$E$13)),0))))</f>
        <v/>
      </c>
      <c r="M170" s="20">
        <f>IF(G170="","",IF(OR($D$14="",$H$14="X",G170&lt;N($C$14)),0,IF(B170="G마켓",ROUNDDOWN(MIN(IF($D$14&gt;=1,MIN($D$14,G170),G170*$D$14),IF($E$14="",9E+99,$E$14)),0),ROUNDUP(MIN(IF($D$14&gt;=1,MIN($D$14,G170),G170*$D$14),IF($E$14="",9E+99,$E$14)),0))))</f>
        <v/>
      </c>
      <c r="N170" s="19">
        <f>IF(G170="","",G170-MAX(I170:M170))</f>
        <v/>
      </c>
      <c r="O170" s="20">
        <f>IF(N170="","",IF(OR($D$18="",$H$18="X",N170&lt;N($C$18)),0,IF(B170="G마켓",ROUNDDOWN(MIN(IF($D$18&gt;=1,MIN($D$18,N170),N170*$D$18),IF($E$18="",9E+99,$E$18)),0),ROUNDUP(MIN(IF($D$18&gt;=1,MIN($D$18,N170),N170*$D$18),IF($E$18="",9E+99,$E$18)),0))))</f>
        <v/>
      </c>
      <c r="P170" s="20">
        <f>IF(N170="","",IF(OR($D$19="",$H$19="X",N170&lt;N($C$19)),0,IF(B170="G마켓",ROUNDDOWN(MIN(IF($D$19&gt;=1,MIN($D$19,N170),N170*$D$19),IF($E$19="",9E+99,$E$19)),0),ROUNDUP(MIN(IF($D$19&gt;=1,MIN($D$19,N170),N170*$D$19),IF($E$19="",9E+99,$E$19)),0))))</f>
        <v/>
      </c>
      <c r="Q170" s="20">
        <f>IF(N170="","",IF(OR($D$20="",$H$20="X",N170&lt;N($C$20)),0,IF(B170="G마켓",ROUNDDOWN(MIN(IF($D$20&gt;=1,MIN($D$20,N170),N170*$D$20),IF($E$20="",9E+99,$E$20)),0),ROUNDUP(MIN(IF($D$20&gt;=1,MIN($D$20,N170),N170*$D$20),IF($E$20="",9E+99,$E$20)),0))))</f>
        <v/>
      </c>
      <c r="R170" s="20">
        <f>IF(N170="","",IF(OR($D$21="",$H$21="X",N170&lt;N($C$21)),0,IF(B170="G마켓",ROUNDDOWN(MIN(IF($D$21&gt;=1,MIN($D$21,N170),N170*$D$21),IF($E$21="",9E+99,$E$21)),0),ROUNDUP(MIN(IF($D$21&gt;=1,MIN($D$21,N170),N170*$D$21),IF($E$21="",9E+99,$E$21)),0))))</f>
        <v/>
      </c>
      <c r="S170" s="19">
        <f>IF(G170="","",N170-MAX(O170:R170))</f>
        <v/>
      </c>
      <c r="T170" s="20">
        <f>IF(S170="","",IF(OR($D$25="",S170&lt;N($C$25)),0,IF(B170="G마켓",ROUNDDOWN(MIN(IF($D$25&gt;=1,MIN($D$25,S170),S170*$D$25),IF($E$25="",9E+99,$E$25)),0),ROUNDUP(MIN(IF($D$25&gt;=1,MIN($D$25,S170),S170*$D$25),IF($E$25="",9E+99,$E$25)),0))))</f>
        <v/>
      </c>
      <c r="U170" s="20">
        <f>IF(S170="","",IF(OR($D$26="",S170&lt;N($C$26)),0,IF(B170="G마켓",ROUNDDOWN(MIN(IF($D$26&gt;=1,MIN($D$26,S170),S170*$D$26),IF($E$26="",9E+99,$E$26)),0),ROUNDUP(MIN(IF($D$26&gt;=1,MIN($D$26,S170),S170*$D$26),IF($E$26="",9E+99,$E$26)),0))))</f>
        <v/>
      </c>
      <c r="V170" s="20">
        <f>IF(S170="","",IF(OR($D$27="",S170&lt;N($C$27)),0,IF(B170="G마켓",ROUNDDOWN(MIN(IF($D$27&gt;=1,MIN($D$27,S170),S170*$D$27),IF($E$27="",9E+99,$E$27)),0),ROUNDUP(MIN(IF($D$27&gt;=1,MIN($D$27,S170),S170*$D$27),IF($E$27="",9E+99,$E$27)),0))))</f>
        <v/>
      </c>
      <c r="W170" s="19">
        <f>IF(G170="","",MAX(T170:V170))</f>
        <v/>
      </c>
      <c r="X170" s="21">
        <f>IF(G170="","",S170-W170)</f>
        <v/>
      </c>
      <c r="Y170" s="19">
        <f>IF(G170="","",IF(B170="G마켓",ROUNDDOWN(MAX(I170*N($G$10),J170*N($G$11),K170*N($G$12),L170*N($G$13),M170*N($G$14))+MAX(O170*N($G$18),P170*N($G$19),Q170*N($G$20),R170*N($G$21))+MAX(T170*N($G$25),U170*N($G$26),V170*N($G$27)),0),ROUNDUP(MAX(I170*N($G$10),J170*N($G$11),K170*N($G$12),L170*N($G$13),M170*N($G$14))+MAX(O170*N($G$18),P170*N($G$19),Q170*N($G$20),R170*N($G$21))+MAX(T170*N($G$25),U170*N($G$26),V170*N($G$27)),0)))</f>
        <v/>
      </c>
      <c r="Z170" s="21">
        <f>IF(G170="","",IF(B170="G마켓",ROUNDDOWN(G170-G170*$Q$6-Y170,0),ROUNDUP(G170-G170*$Q$6-Y170,0)))</f>
        <v/>
      </c>
    </row>
    <row r="171">
      <c r="B171" s="7" t="n"/>
      <c r="C171" s="7" t="n"/>
      <c r="D171" s="22" t="n"/>
      <c r="E171" s="23" t="n"/>
      <c r="F171" s="23" t="n"/>
      <c r="G171" s="19">
        <f>IF(E171="","",E171-N(F171))</f>
        <v/>
      </c>
      <c r="I171" s="20">
        <f>IF(G171="","",IF(OR($D$10="",$H$10="X",G171&lt;N($C$10)),0,IF(B171="G마켓",ROUNDDOWN(MIN(IF($D$10&gt;=1,MIN($D$10,G171),G171*$D$10),IF($E$10="",9E+99,$E$10)),0),ROUNDUP(MIN(IF($D$10&gt;=1,MIN($D$10,G171),G171*$D$10),IF($E$10="",9E+99,$E$10)),0))))</f>
        <v/>
      </c>
      <c r="J171" s="20">
        <f>IF(G171="","",IF(OR($D$11="",$H$11="X",G171&lt;N($C$11)),0,IF(B171="G마켓",ROUNDDOWN(MIN(IF($D$11&gt;=1,MIN($D$11,G171),G171*$D$11),IF($E$11="",9E+99,$E$11)),0),ROUNDUP(MIN(IF($D$11&gt;=1,MIN($D$11,G171),G171*$D$11),IF($E$11="",9E+99,$E$11)),0))))</f>
        <v/>
      </c>
      <c r="K171" s="20">
        <f>IF(G171="","",IF(OR($D$12="",$H$12="X",G171&lt;N($C$12)),0,IF(B171="G마켓",ROUNDDOWN(MIN(IF($D$12&gt;=1,MIN($D$12,G171),G171*$D$12),IF($E$12="",9E+99,$E$12)),0),ROUNDUP(MIN(IF($D$12&gt;=1,MIN($D$12,G171),G171*$D$12),IF($E$12="",9E+99,$E$12)),0))))</f>
        <v/>
      </c>
      <c r="L171" s="20">
        <f>IF(G171="","",IF(OR($D$13="",$H$13="X",G171&lt;N($C$13)),0,IF(B171="G마켓",ROUNDDOWN(MIN(IF($D$13&gt;=1,MIN($D$13,G171),G171*$D$13),IF($E$13="",9E+99,$E$13)),0),ROUNDUP(MIN(IF($D$13&gt;=1,MIN($D$13,G171),G171*$D$13),IF($E$13="",9E+99,$E$13)),0))))</f>
        <v/>
      </c>
      <c r="M171" s="20">
        <f>IF(G171="","",IF(OR($D$14="",$H$14="X",G171&lt;N($C$14)),0,IF(B171="G마켓",ROUNDDOWN(MIN(IF($D$14&gt;=1,MIN($D$14,G171),G171*$D$14),IF($E$14="",9E+99,$E$14)),0),ROUNDUP(MIN(IF($D$14&gt;=1,MIN($D$14,G171),G171*$D$14),IF($E$14="",9E+99,$E$14)),0))))</f>
        <v/>
      </c>
      <c r="N171" s="19">
        <f>IF(G171="","",G171-MAX(I171:M171))</f>
        <v/>
      </c>
      <c r="O171" s="20">
        <f>IF(N171="","",IF(OR($D$18="",$H$18="X",N171&lt;N($C$18)),0,IF(B171="G마켓",ROUNDDOWN(MIN(IF($D$18&gt;=1,MIN($D$18,N171),N171*$D$18),IF($E$18="",9E+99,$E$18)),0),ROUNDUP(MIN(IF($D$18&gt;=1,MIN($D$18,N171),N171*$D$18),IF($E$18="",9E+99,$E$18)),0))))</f>
        <v/>
      </c>
      <c r="P171" s="20">
        <f>IF(N171="","",IF(OR($D$19="",$H$19="X",N171&lt;N($C$19)),0,IF(B171="G마켓",ROUNDDOWN(MIN(IF($D$19&gt;=1,MIN($D$19,N171),N171*$D$19),IF($E$19="",9E+99,$E$19)),0),ROUNDUP(MIN(IF($D$19&gt;=1,MIN($D$19,N171),N171*$D$19),IF($E$19="",9E+99,$E$19)),0))))</f>
        <v/>
      </c>
      <c r="Q171" s="20">
        <f>IF(N171="","",IF(OR($D$20="",$H$20="X",N171&lt;N($C$20)),0,IF(B171="G마켓",ROUNDDOWN(MIN(IF($D$20&gt;=1,MIN($D$20,N171),N171*$D$20),IF($E$20="",9E+99,$E$20)),0),ROUNDUP(MIN(IF($D$20&gt;=1,MIN($D$20,N171),N171*$D$20),IF($E$20="",9E+99,$E$20)),0))))</f>
        <v/>
      </c>
      <c r="R171" s="20">
        <f>IF(N171="","",IF(OR($D$21="",$H$21="X",N171&lt;N($C$21)),0,IF(B171="G마켓",ROUNDDOWN(MIN(IF($D$21&gt;=1,MIN($D$21,N171),N171*$D$21),IF($E$21="",9E+99,$E$21)),0),ROUNDUP(MIN(IF($D$21&gt;=1,MIN($D$21,N171),N171*$D$21),IF($E$21="",9E+99,$E$21)),0))))</f>
        <v/>
      </c>
      <c r="S171" s="19">
        <f>IF(G171="","",N171-MAX(O171:R171))</f>
        <v/>
      </c>
      <c r="T171" s="20">
        <f>IF(S171="","",IF(OR($D$25="",S171&lt;N($C$25)),0,IF(B171="G마켓",ROUNDDOWN(MIN(IF($D$25&gt;=1,MIN($D$25,S171),S171*$D$25),IF($E$25="",9E+99,$E$25)),0),ROUNDUP(MIN(IF($D$25&gt;=1,MIN($D$25,S171),S171*$D$25),IF($E$25="",9E+99,$E$25)),0))))</f>
        <v/>
      </c>
      <c r="U171" s="20">
        <f>IF(S171="","",IF(OR($D$26="",S171&lt;N($C$26)),0,IF(B171="G마켓",ROUNDDOWN(MIN(IF($D$26&gt;=1,MIN($D$26,S171),S171*$D$26),IF($E$26="",9E+99,$E$26)),0),ROUNDUP(MIN(IF($D$26&gt;=1,MIN($D$26,S171),S171*$D$26),IF($E$26="",9E+99,$E$26)),0))))</f>
        <v/>
      </c>
      <c r="V171" s="20">
        <f>IF(S171="","",IF(OR($D$27="",S171&lt;N($C$27)),0,IF(B171="G마켓",ROUNDDOWN(MIN(IF($D$27&gt;=1,MIN($D$27,S171),S171*$D$27),IF($E$27="",9E+99,$E$27)),0),ROUNDUP(MIN(IF($D$27&gt;=1,MIN($D$27,S171),S171*$D$27),IF($E$27="",9E+99,$E$27)),0))))</f>
        <v/>
      </c>
      <c r="W171" s="19">
        <f>IF(G171="","",MAX(T171:V171))</f>
        <v/>
      </c>
      <c r="X171" s="21">
        <f>IF(G171="","",S171-W171)</f>
        <v/>
      </c>
      <c r="Y171" s="19">
        <f>IF(G171="","",IF(B171="G마켓",ROUNDDOWN(MAX(I171*N($G$10),J171*N($G$11),K171*N($G$12),L171*N($G$13),M171*N($G$14))+MAX(O171*N($G$18),P171*N($G$19),Q171*N($G$20),R171*N($G$21))+MAX(T171*N($G$25),U171*N($G$26),V171*N($G$27)),0),ROUNDUP(MAX(I171*N($G$10),J171*N($G$11),K171*N($G$12),L171*N($G$13),M171*N($G$14))+MAX(O171*N($G$18),P171*N($G$19),Q171*N($G$20),R171*N($G$21))+MAX(T171*N($G$25),U171*N($G$26),V171*N($G$27)),0)))</f>
        <v/>
      </c>
      <c r="Z171" s="21">
        <f>IF(G171="","",IF(B171="G마켓",ROUNDDOWN(G171-G171*$Q$6-Y171,0),ROUNDUP(G171-G171*$Q$6-Y171,0)))</f>
        <v/>
      </c>
    </row>
    <row r="172">
      <c r="B172" s="7" t="n"/>
      <c r="C172" s="7" t="n"/>
      <c r="D172" s="22" t="n"/>
      <c r="E172" s="23" t="n"/>
      <c r="F172" s="23" t="n"/>
      <c r="G172" s="19">
        <f>IF(E172="","",E172-N(F172))</f>
        <v/>
      </c>
      <c r="I172" s="20">
        <f>IF(G172="","",IF(OR($D$10="",$H$10="X",G172&lt;N($C$10)),0,IF(B172="G마켓",ROUNDDOWN(MIN(IF($D$10&gt;=1,MIN($D$10,G172),G172*$D$10),IF($E$10="",9E+99,$E$10)),0),ROUNDUP(MIN(IF($D$10&gt;=1,MIN($D$10,G172),G172*$D$10),IF($E$10="",9E+99,$E$10)),0))))</f>
        <v/>
      </c>
      <c r="J172" s="20">
        <f>IF(G172="","",IF(OR($D$11="",$H$11="X",G172&lt;N($C$11)),0,IF(B172="G마켓",ROUNDDOWN(MIN(IF($D$11&gt;=1,MIN($D$11,G172),G172*$D$11),IF($E$11="",9E+99,$E$11)),0),ROUNDUP(MIN(IF($D$11&gt;=1,MIN($D$11,G172),G172*$D$11),IF($E$11="",9E+99,$E$11)),0))))</f>
        <v/>
      </c>
      <c r="K172" s="20">
        <f>IF(G172="","",IF(OR($D$12="",$H$12="X",G172&lt;N($C$12)),0,IF(B172="G마켓",ROUNDDOWN(MIN(IF($D$12&gt;=1,MIN($D$12,G172),G172*$D$12),IF($E$12="",9E+99,$E$12)),0),ROUNDUP(MIN(IF($D$12&gt;=1,MIN($D$12,G172),G172*$D$12),IF($E$12="",9E+99,$E$12)),0))))</f>
        <v/>
      </c>
      <c r="L172" s="20">
        <f>IF(G172="","",IF(OR($D$13="",$H$13="X",G172&lt;N($C$13)),0,IF(B172="G마켓",ROUNDDOWN(MIN(IF($D$13&gt;=1,MIN($D$13,G172),G172*$D$13),IF($E$13="",9E+99,$E$13)),0),ROUNDUP(MIN(IF($D$13&gt;=1,MIN($D$13,G172),G172*$D$13),IF($E$13="",9E+99,$E$13)),0))))</f>
        <v/>
      </c>
      <c r="M172" s="20">
        <f>IF(G172="","",IF(OR($D$14="",$H$14="X",G172&lt;N($C$14)),0,IF(B172="G마켓",ROUNDDOWN(MIN(IF($D$14&gt;=1,MIN($D$14,G172),G172*$D$14),IF($E$14="",9E+99,$E$14)),0),ROUNDUP(MIN(IF($D$14&gt;=1,MIN($D$14,G172),G172*$D$14),IF($E$14="",9E+99,$E$14)),0))))</f>
        <v/>
      </c>
      <c r="N172" s="19">
        <f>IF(G172="","",G172-MAX(I172:M172))</f>
        <v/>
      </c>
      <c r="O172" s="20">
        <f>IF(N172="","",IF(OR($D$18="",$H$18="X",N172&lt;N($C$18)),0,IF(B172="G마켓",ROUNDDOWN(MIN(IF($D$18&gt;=1,MIN($D$18,N172),N172*$D$18),IF($E$18="",9E+99,$E$18)),0),ROUNDUP(MIN(IF($D$18&gt;=1,MIN($D$18,N172),N172*$D$18),IF($E$18="",9E+99,$E$18)),0))))</f>
        <v/>
      </c>
      <c r="P172" s="20">
        <f>IF(N172="","",IF(OR($D$19="",$H$19="X",N172&lt;N($C$19)),0,IF(B172="G마켓",ROUNDDOWN(MIN(IF($D$19&gt;=1,MIN($D$19,N172),N172*$D$19),IF($E$19="",9E+99,$E$19)),0),ROUNDUP(MIN(IF($D$19&gt;=1,MIN($D$19,N172),N172*$D$19),IF($E$19="",9E+99,$E$19)),0))))</f>
        <v/>
      </c>
      <c r="Q172" s="20">
        <f>IF(N172="","",IF(OR($D$20="",$H$20="X",N172&lt;N($C$20)),0,IF(B172="G마켓",ROUNDDOWN(MIN(IF($D$20&gt;=1,MIN($D$20,N172),N172*$D$20),IF($E$20="",9E+99,$E$20)),0),ROUNDUP(MIN(IF($D$20&gt;=1,MIN($D$20,N172),N172*$D$20),IF($E$20="",9E+99,$E$20)),0))))</f>
        <v/>
      </c>
      <c r="R172" s="20">
        <f>IF(N172="","",IF(OR($D$21="",$H$21="X",N172&lt;N($C$21)),0,IF(B172="G마켓",ROUNDDOWN(MIN(IF($D$21&gt;=1,MIN($D$21,N172),N172*$D$21),IF($E$21="",9E+99,$E$21)),0),ROUNDUP(MIN(IF($D$21&gt;=1,MIN($D$21,N172),N172*$D$21),IF($E$21="",9E+99,$E$21)),0))))</f>
        <v/>
      </c>
      <c r="S172" s="19">
        <f>IF(G172="","",N172-MAX(O172:R172))</f>
        <v/>
      </c>
      <c r="T172" s="20">
        <f>IF(S172="","",IF(OR($D$25="",S172&lt;N($C$25)),0,IF(B172="G마켓",ROUNDDOWN(MIN(IF($D$25&gt;=1,MIN($D$25,S172),S172*$D$25),IF($E$25="",9E+99,$E$25)),0),ROUNDUP(MIN(IF($D$25&gt;=1,MIN($D$25,S172),S172*$D$25),IF($E$25="",9E+99,$E$25)),0))))</f>
        <v/>
      </c>
      <c r="U172" s="20">
        <f>IF(S172="","",IF(OR($D$26="",S172&lt;N($C$26)),0,IF(B172="G마켓",ROUNDDOWN(MIN(IF($D$26&gt;=1,MIN($D$26,S172),S172*$D$26),IF($E$26="",9E+99,$E$26)),0),ROUNDUP(MIN(IF($D$26&gt;=1,MIN($D$26,S172),S172*$D$26),IF($E$26="",9E+99,$E$26)),0))))</f>
        <v/>
      </c>
      <c r="V172" s="20">
        <f>IF(S172="","",IF(OR($D$27="",S172&lt;N($C$27)),0,IF(B172="G마켓",ROUNDDOWN(MIN(IF($D$27&gt;=1,MIN($D$27,S172),S172*$D$27),IF($E$27="",9E+99,$E$27)),0),ROUNDUP(MIN(IF($D$27&gt;=1,MIN($D$27,S172),S172*$D$27),IF($E$27="",9E+99,$E$27)),0))))</f>
        <v/>
      </c>
      <c r="W172" s="19">
        <f>IF(G172="","",MAX(T172:V172))</f>
        <v/>
      </c>
      <c r="X172" s="21">
        <f>IF(G172="","",S172-W172)</f>
        <v/>
      </c>
      <c r="Y172" s="19">
        <f>IF(G172="","",IF(B172="G마켓",ROUNDDOWN(MAX(I172*N($G$10),J172*N($G$11),K172*N($G$12),L172*N($G$13),M172*N($G$14))+MAX(O172*N($G$18),P172*N($G$19),Q172*N($G$20),R172*N($G$21))+MAX(T172*N($G$25),U172*N($G$26),V172*N($G$27)),0),ROUNDUP(MAX(I172*N($G$10),J172*N($G$11),K172*N($G$12),L172*N($G$13),M172*N($G$14))+MAX(O172*N($G$18),P172*N($G$19),Q172*N($G$20),R172*N($G$21))+MAX(T172*N($G$25),U172*N($G$26),V172*N($G$27)),0)))</f>
        <v/>
      </c>
      <c r="Z172" s="21">
        <f>IF(G172="","",IF(B172="G마켓",ROUNDDOWN(G172-G172*$Q$6-Y172,0),ROUNDUP(G172-G172*$Q$6-Y172,0)))</f>
        <v/>
      </c>
    </row>
    <row r="173">
      <c r="B173" s="7" t="n"/>
      <c r="C173" s="7" t="n"/>
      <c r="D173" s="22" t="n"/>
      <c r="E173" s="23" t="n"/>
      <c r="F173" s="23" t="n"/>
      <c r="G173" s="19">
        <f>IF(E173="","",E173-N(F173))</f>
        <v/>
      </c>
      <c r="I173" s="20">
        <f>IF(G173="","",IF(OR($D$10="",$H$10="X",G173&lt;N($C$10)),0,IF(B173="G마켓",ROUNDDOWN(MIN(IF($D$10&gt;=1,MIN($D$10,G173),G173*$D$10),IF($E$10="",9E+99,$E$10)),0),ROUNDUP(MIN(IF($D$10&gt;=1,MIN($D$10,G173),G173*$D$10),IF($E$10="",9E+99,$E$10)),0))))</f>
        <v/>
      </c>
      <c r="J173" s="20">
        <f>IF(G173="","",IF(OR($D$11="",$H$11="X",G173&lt;N($C$11)),0,IF(B173="G마켓",ROUNDDOWN(MIN(IF($D$11&gt;=1,MIN($D$11,G173),G173*$D$11),IF($E$11="",9E+99,$E$11)),0),ROUNDUP(MIN(IF($D$11&gt;=1,MIN($D$11,G173),G173*$D$11),IF($E$11="",9E+99,$E$11)),0))))</f>
        <v/>
      </c>
      <c r="K173" s="20">
        <f>IF(G173="","",IF(OR($D$12="",$H$12="X",G173&lt;N($C$12)),0,IF(B173="G마켓",ROUNDDOWN(MIN(IF($D$12&gt;=1,MIN($D$12,G173),G173*$D$12),IF($E$12="",9E+99,$E$12)),0),ROUNDUP(MIN(IF($D$12&gt;=1,MIN($D$12,G173),G173*$D$12),IF($E$12="",9E+99,$E$12)),0))))</f>
        <v/>
      </c>
      <c r="L173" s="20">
        <f>IF(G173="","",IF(OR($D$13="",$H$13="X",G173&lt;N($C$13)),0,IF(B173="G마켓",ROUNDDOWN(MIN(IF($D$13&gt;=1,MIN($D$13,G173),G173*$D$13),IF($E$13="",9E+99,$E$13)),0),ROUNDUP(MIN(IF($D$13&gt;=1,MIN($D$13,G173),G173*$D$13),IF($E$13="",9E+99,$E$13)),0))))</f>
        <v/>
      </c>
      <c r="M173" s="20">
        <f>IF(G173="","",IF(OR($D$14="",$H$14="X",G173&lt;N($C$14)),0,IF(B173="G마켓",ROUNDDOWN(MIN(IF($D$14&gt;=1,MIN($D$14,G173),G173*$D$14),IF($E$14="",9E+99,$E$14)),0),ROUNDUP(MIN(IF($D$14&gt;=1,MIN($D$14,G173),G173*$D$14),IF($E$14="",9E+99,$E$14)),0))))</f>
        <v/>
      </c>
      <c r="N173" s="19">
        <f>IF(G173="","",G173-MAX(I173:M173))</f>
        <v/>
      </c>
      <c r="O173" s="20">
        <f>IF(N173="","",IF(OR($D$18="",$H$18="X",N173&lt;N($C$18)),0,IF(B173="G마켓",ROUNDDOWN(MIN(IF($D$18&gt;=1,MIN($D$18,N173),N173*$D$18),IF($E$18="",9E+99,$E$18)),0),ROUNDUP(MIN(IF($D$18&gt;=1,MIN($D$18,N173),N173*$D$18),IF($E$18="",9E+99,$E$18)),0))))</f>
        <v/>
      </c>
      <c r="P173" s="20">
        <f>IF(N173="","",IF(OR($D$19="",$H$19="X",N173&lt;N($C$19)),0,IF(B173="G마켓",ROUNDDOWN(MIN(IF($D$19&gt;=1,MIN($D$19,N173),N173*$D$19),IF($E$19="",9E+99,$E$19)),0),ROUNDUP(MIN(IF($D$19&gt;=1,MIN($D$19,N173),N173*$D$19),IF($E$19="",9E+99,$E$19)),0))))</f>
        <v/>
      </c>
      <c r="Q173" s="20">
        <f>IF(N173="","",IF(OR($D$20="",$H$20="X",N173&lt;N($C$20)),0,IF(B173="G마켓",ROUNDDOWN(MIN(IF($D$20&gt;=1,MIN($D$20,N173),N173*$D$20),IF($E$20="",9E+99,$E$20)),0),ROUNDUP(MIN(IF($D$20&gt;=1,MIN($D$20,N173),N173*$D$20),IF($E$20="",9E+99,$E$20)),0))))</f>
        <v/>
      </c>
      <c r="R173" s="20">
        <f>IF(N173="","",IF(OR($D$21="",$H$21="X",N173&lt;N($C$21)),0,IF(B173="G마켓",ROUNDDOWN(MIN(IF($D$21&gt;=1,MIN($D$21,N173),N173*$D$21),IF($E$21="",9E+99,$E$21)),0),ROUNDUP(MIN(IF($D$21&gt;=1,MIN($D$21,N173),N173*$D$21),IF($E$21="",9E+99,$E$21)),0))))</f>
        <v/>
      </c>
      <c r="S173" s="19">
        <f>IF(G173="","",N173-MAX(O173:R173))</f>
        <v/>
      </c>
      <c r="T173" s="20">
        <f>IF(S173="","",IF(OR($D$25="",S173&lt;N($C$25)),0,IF(B173="G마켓",ROUNDDOWN(MIN(IF($D$25&gt;=1,MIN($D$25,S173),S173*$D$25),IF($E$25="",9E+99,$E$25)),0),ROUNDUP(MIN(IF($D$25&gt;=1,MIN($D$25,S173),S173*$D$25),IF($E$25="",9E+99,$E$25)),0))))</f>
        <v/>
      </c>
      <c r="U173" s="20">
        <f>IF(S173="","",IF(OR($D$26="",S173&lt;N($C$26)),0,IF(B173="G마켓",ROUNDDOWN(MIN(IF($D$26&gt;=1,MIN($D$26,S173),S173*$D$26),IF($E$26="",9E+99,$E$26)),0),ROUNDUP(MIN(IF($D$26&gt;=1,MIN($D$26,S173),S173*$D$26),IF($E$26="",9E+99,$E$26)),0))))</f>
        <v/>
      </c>
      <c r="V173" s="20">
        <f>IF(S173="","",IF(OR($D$27="",S173&lt;N($C$27)),0,IF(B173="G마켓",ROUNDDOWN(MIN(IF($D$27&gt;=1,MIN($D$27,S173),S173*$D$27),IF($E$27="",9E+99,$E$27)),0),ROUNDUP(MIN(IF($D$27&gt;=1,MIN($D$27,S173),S173*$D$27),IF($E$27="",9E+99,$E$27)),0))))</f>
        <v/>
      </c>
      <c r="W173" s="19">
        <f>IF(G173="","",MAX(T173:V173))</f>
        <v/>
      </c>
      <c r="X173" s="21">
        <f>IF(G173="","",S173-W173)</f>
        <v/>
      </c>
      <c r="Y173" s="19">
        <f>IF(G173="","",IF(B173="G마켓",ROUNDDOWN(MAX(I173*N($G$10),J173*N($G$11),K173*N($G$12),L173*N($G$13),M173*N($G$14))+MAX(O173*N($G$18),P173*N($G$19),Q173*N($G$20),R173*N($G$21))+MAX(T173*N($G$25),U173*N($G$26),V173*N($G$27)),0),ROUNDUP(MAX(I173*N($G$10),J173*N($G$11),K173*N($G$12),L173*N($G$13),M173*N($G$14))+MAX(O173*N($G$18),P173*N($G$19),Q173*N($G$20),R173*N($G$21))+MAX(T173*N($G$25),U173*N($G$26),V173*N($G$27)),0)))</f>
        <v/>
      </c>
      <c r="Z173" s="21">
        <f>IF(G173="","",IF(B173="G마켓",ROUNDDOWN(G173-G173*$Q$6-Y173,0),ROUNDUP(G173-G173*$Q$6-Y173,0)))</f>
        <v/>
      </c>
    </row>
    <row r="174">
      <c r="B174" s="7" t="n"/>
      <c r="C174" s="7" t="n"/>
      <c r="D174" s="22" t="n"/>
      <c r="E174" s="23" t="n"/>
      <c r="F174" s="23" t="n"/>
      <c r="G174" s="19">
        <f>IF(E174="","",E174-N(F174))</f>
        <v/>
      </c>
      <c r="I174" s="20">
        <f>IF(G174="","",IF(OR($D$10="",$H$10="X",G174&lt;N($C$10)),0,IF(B174="G마켓",ROUNDDOWN(MIN(IF($D$10&gt;=1,MIN($D$10,G174),G174*$D$10),IF($E$10="",9E+99,$E$10)),0),ROUNDUP(MIN(IF($D$10&gt;=1,MIN($D$10,G174),G174*$D$10),IF($E$10="",9E+99,$E$10)),0))))</f>
        <v/>
      </c>
      <c r="J174" s="20">
        <f>IF(G174="","",IF(OR($D$11="",$H$11="X",G174&lt;N($C$11)),0,IF(B174="G마켓",ROUNDDOWN(MIN(IF($D$11&gt;=1,MIN($D$11,G174),G174*$D$11),IF($E$11="",9E+99,$E$11)),0),ROUNDUP(MIN(IF($D$11&gt;=1,MIN($D$11,G174),G174*$D$11),IF($E$11="",9E+99,$E$11)),0))))</f>
        <v/>
      </c>
      <c r="K174" s="20">
        <f>IF(G174="","",IF(OR($D$12="",$H$12="X",G174&lt;N($C$12)),0,IF(B174="G마켓",ROUNDDOWN(MIN(IF($D$12&gt;=1,MIN($D$12,G174),G174*$D$12),IF($E$12="",9E+99,$E$12)),0),ROUNDUP(MIN(IF($D$12&gt;=1,MIN($D$12,G174),G174*$D$12),IF($E$12="",9E+99,$E$12)),0))))</f>
        <v/>
      </c>
      <c r="L174" s="20">
        <f>IF(G174="","",IF(OR($D$13="",$H$13="X",G174&lt;N($C$13)),0,IF(B174="G마켓",ROUNDDOWN(MIN(IF($D$13&gt;=1,MIN($D$13,G174),G174*$D$13),IF($E$13="",9E+99,$E$13)),0),ROUNDUP(MIN(IF($D$13&gt;=1,MIN($D$13,G174),G174*$D$13),IF($E$13="",9E+99,$E$13)),0))))</f>
        <v/>
      </c>
      <c r="M174" s="20">
        <f>IF(G174="","",IF(OR($D$14="",$H$14="X",G174&lt;N($C$14)),0,IF(B174="G마켓",ROUNDDOWN(MIN(IF($D$14&gt;=1,MIN($D$14,G174),G174*$D$14),IF($E$14="",9E+99,$E$14)),0),ROUNDUP(MIN(IF($D$14&gt;=1,MIN($D$14,G174),G174*$D$14),IF($E$14="",9E+99,$E$14)),0))))</f>
        <v/>
      </c>
      <c r="N174" s="19">
        <f>IF(G174="","",G174-MAX(I174:M174))</f>
        <v/>
      </c>
      <c r="O174" s="20">
        <f>IF(N174="","",IF(OR($D$18="",$H$18="X",N174&lt;N($C$18)),0,IF(B174="G마켓",ROUNDDOWN(MIN(IF($D$18&gt;=1,MIN($D$18,N174),N174*$D$18),IF($E$18="",9E+99,$E$18)),0),ROUNDUP(MIN(IF($D$18&gt;=1,MIN($D$18,N174),N174*$D$18),IF($E$18="",9E+99,$E$18)),0))))</f>
        <v/>
      </c>
      <c r="P174" s="20">
        <f>IF(N174="","",IF(OR($D$19="",$H$19="X",N174&lt;N($C$19)),0,IF(B174="G마켓",ROUNDDOWN(MIN(IF($D$19&gt;=1,MIN($D$19,N174),N174*$D$19),IF($E$19="",9E+99,$E$19)),0),ROUNDUP(MIN(IF($D$19&gt;=1,MIN($D$19,N174),N174*$D$19),IF($E$19="",9E+99,$E$19)),0))))</f>
        <v/>
      </c>
      <c r="Q174" s="20">
        <f>IF(N174="","",IF(OR($D$20="",$H$20="X",N174&lt;N($C$20)),0,IF(B174="G마켓",ROUNDDOWN(MIN(IF($D$20&gt;=1,MIN($D$20,N174),N174*$D$20),IF($E$20="",9E+99,$E$20)),0),ROUNDUP(MIN(IF($D$20&gt;=1,MIN($D$20,N174),N174*$D$20),IF($E$20="",9E+99,$E$20)),0))))</f>
        <v/>
      </c>
      <c r="R174" s="20">
        <f>IF(N174="","",IF(OR($D$21="",$H$21="X",N174&lt;N($C$21)),0,IF(B174="G마켓",ROUNDDOWN(MIN(IF($D$21&gt;=1,MIN($D$21,N174),N174*$D$21),IF($E$21="",9E+99,$E$21)),0),ROUNDUP(MIN(IF($D$21&gt;=1,MIN($D$21,N174),N174*$D$21),IF($E$21="",9E+99,$E$21)),0))))</f>
        <v/>
      </c>
      <c r="S174" s="19">
        <f>IF(G174="","",N174-MAX(O174:R174))</f>
        <v/>
      </c>
      <c r="T174" s="20">
        <f>IF(S174="","",IF(OR($D$25="",S174&lt;N($C$25)),0,IF(B174="G마켓",ROUNDDOWN(MIN(IF($D$25&gt;=1,MIN($D$25,S174),S174*$D$25),IF($E$25="",9E+99,$E$25)),0),ROUNDUP(MIN(IF($D$25&gt;=1,MIN($D$25,S174),S174*$D$25),IF($E$25="",9E+99,$E$25)),0))))</f>
        <v/>
      </c>
      <c r="U174" s="20">
        <f>IF(S174="","",IF(OR($D$26="",S174&lt;N($C$26)),0,IF(B174="G마켓",ROUNDDOWN(MIN(IF($D$26&gt;=1,MIN($D$26,S174),S174*$D$26),IF($E$26="",9E+99,$E$26)),0),ROUNDUP(MIN(IF($D$26&gt;=1,MIN($D$26,S174),S174*$D$26),IF($E$26="",9E+99,$E$26)),0))))</f>
        <v/>
      </c>
      <c r="V174" s="20">
        <f>IF(S174="","",IF(OR($D$27="",S174&lt;N($C$27)),0,IF(B174="G마켓",ROUNDDOWN(MIN(IF($D$27&gt;=1,MIN($D$27,S174),S174*$D$27),IF($E$27="",9E+99,$E$27)),0),ROUNDUP(MIN(IF($D$27&gt;=1,MIN($D$27,S174),S174*$D$27),IF($E$27="",9E+99,$E$27)),0))))</f>
        <v/>
      </c>
      <c r="W174" s="19">
        <f>IF(G174="","",MAX(T174:V174))</f>
        <v/>
      </c>
      <c r="X174" s="21">
        <f>IF(G174="","",S174-W174)</f>
        <v/>
      </c>
      <c r="Y174" s="19">
        <f>IF(G174="","",IF(B174="G마켓",ROUNDDOWN(MAX(I174*N($G$10),J174*N($G$11),K174*N($G$12),L174*N($G$13),M174*N($G$14))+MAX(O174*N($G$18),P174*N($G$19),Q174*N($G$20),R174*N($G$21))+MAX(T174*N($G$25),U174*N($G$26),V174*N($G$27)),0),ROUNDUP(MAX(I174*N($G$10),J174*N($G$11),K174*N($G$12),L174*N($G$13),M174*N($G$14))+MAX(O174*N($G$18),P174*N($G$19),Q174*N($G$20),R174*N($G$21))+MAX(T174*N($G$25),U174*N($G$26),V174*N($G$27)),0)))</f>
        <v/>
      </c>
      <c r="Z174" s="21">
        <f>IF(G174="","",IF(B174="G마켓",ROUNDDOWN(G174-G174*$Q$6-Y174,0),ROUNDUP(G174-G174*$Q$6-Y174,0)))</f>
        <v/>
      </c>
    </row>
    <row r="175">
      <c r="B175" s="7" t="n"/>
      <c r="C175" s="7" t="n"/>
      <c r="D175" s="22" t="n"/>
      <c r="E175" s="23" t="n"/>
      <c r="F175" s="23" t="n"/>
      <c r="G175" s="19">
        <f>IF(E175="","",E175-N(F175))</f>
        <v/>
      </c>
      <c r="I175" s="20">
        <f>IF(G175="","",IF(OR($D$10="",$H$10="X",G175&lt;N($C$10)),0,IF(B175="G마켓",ROUNDDOWN(MIN(IF($D$10&gt;=1,MIN($D$10,G175),G175*$D$10),IF($E$10="",9E+99,$E$10)),0),ROUNDUP(MIN(IF($D$10&gt;=1,MIN($D$10,G175),G175*$D$10),IF($E$10="",9E+99,$E$10)),0))))</f>
        <v/>
      </c>
      <c r="J175" s="20">
        <f>IF(G175="","",IF(OR($D$11="",$H$11="X",G175&lt;N($C$11)),0,IF(B175="G마켓",ROUNDDOWN(MIN(IF($D$11&gt;=1,MIN($D$11,G175),G175*$D$11),IF($E$11="",9E+99,$E$11)),0),ROUNDUP(MIN(IF($D$11&gt;=1,MIN($D$11,G175),G175*$D$11),IF($E$11="",9E+99,$E$11)),0))))</f>
        <v/>
      </c>
      <c r="K175" s="20">
        <f>IF(G175="","",IF(OR($D$12="",$H$12="X",G175&lt;N($C$12)),0,IF(B175="G마켓",ROUNDDOWN(MIN(IF($D$12&gt;=1,MIN($D$12,G175),G175*$D$12),IF($E$12="",9E+99,$E$12)),0),ROUNDUP(MIN(IF($D$12&gt;=1,MIN($D$12,G175),G175*$D$12),IF($E$12="",9E+99,$E$12)),0))))</f>
        <v/>
      </c>
      <c r="L175" s="20">
        <f>IF(G175="","",IF(OR($D$13="",$H$13="X",G175&lt;N($C$13)),0,IF(B175="G마켓",ROUNDDOWN(MIN(IF($D$13&gt;=1,MIN($D$13,G175),G175*$D$13),IF($E$13="",9E+99,$E$13)),0),ROUNDUP(MIN(IF($D$13&gt;=1,MIN($D$13,G175),G175*$D$13),IF($E$13="",9E+99,$E$13)),0))))</f>
        <v/>
      </c>
      <c r="M175" s="20">
        <f>IF(G175="","",IF(OR($D$14="",$H$14="X",G175&lt;N($C$14)),0,IF(B175="G마켓",ROUNDDOWN(MIN(IF($D$14&gt;=1,MIN($D$14,G175),G175*$D$14),IF($E$14="",9E+99,$E$14)),0),ROUNDUP(MIN(IF($D$14&gt;=1,MIN($D$14,G175),G175*$D$14),IF($E$14="",9E+99,$E$14)),0))))</f>
        <v/>
      </c>
      <c r="N175" s="19">
        <f>IF(G175="","",G175-MAX(I175:M175))</f>
        <v/>
      </c>
      <c r="O175" s="20">
        <f>IF(N175="","",IF(OR($D$18="",$H$18="X",N175&lt;N($C$18)),0,IF(B175="G마켓",ROUNDDOWN(MIN(IF($D$18&gt;=1,MIN($D$18,N175),N175*$D$18),IF($E$18="",9E+99,$E$18)),0),ROUNDUP(MIN(IF($D$18&gt;=1,MIN($D$18,N175),N175*$D$18),IF($E$18="",9E+99,$E$18)),0))))</f>
        <v/>
      </c>
      <c r="P175" s="20">
        <f>IF(N175="","",IF(OR($D$19="",$H$19="X",N175&lt;N($C$19)),0,IF(B175="G마켓",ROUNDDOWN(MIN(IF($D$19&gt;=1,MIN($D$19,N175),N175*$D$19),IF($E$19="",9E+99,$E$19)),0),ROUNDUP(MIN(IF($D$19&gt;=1,MIN($D$19,N175),N175*$D$19),IF($E$19="",9E+99,$E$19)),0))))</f>
        <v/>
      </c>
      <c r="Q175" s="20">
        <f>IF(N175="","",IF(OR($D$20="",$H$20="X",N175&lt;N($C$20)),0,IF(B175="G마켓",ROUNDDOWN(MIN(IF($D$20&gt;=1,MIN($D$20,N175),N175*$D$20),IF($E$20="",9E+99,$E$20)),0),ROUNDUP(MIN(IF($D$20&gt;=1,MIN($D$20,N175),N175*$D$20),IF($E$20="",9E+99,$E$20)),0))))</f>
        <v/>
      </c>
      <c r="R175" s="20">
        <f>IF(N175="","",IF(OR($D$21="",$H$21="X",N175&lt;N($C$21)),0,IF(B175="G마켓",ROUNDDOWN(MIN(IF($D$21&gt;=1,MIN($D$21,N175),N175*$D$21),IF($E$21="",9E+99,$E$21)),0),ROUNDUP(MIN(IF($D$21&gt;=1,MIN($D$21,N175),N175*$D$21),IF($E$21="",9E+99,$E$21)),0))))</f>
        <v/>
      </c>
      <c r="S175" s="19">
        <f>IF(G175="","",N175-MAX(O175:R175))</f>
        <v/>
      </c>
      <c r="T175" s="20">
        <f>IF(S175="","",IF(OR($D$25="",S175&lt;N($C$25)),0,IF(B175="G마켓",ROUNDDOWN(MIN(IF($D$25&gt;=1,MIN($D$25,S175),S175*$D$25),IF($E$25="",9E+99,$E$25)),0),ROUNDUP(MIN(IF($D$25&gt;=1,MIN($D$25,S175),S175*$D$25),IF($E$25="",9E+99,$E$25)),0))))</f>
        <v/>
      </c>
      <c r="U175" s="20">
        <f>IF(S175="","",IF(OR($D$26="",S175&lt;N($C$26)),0,IF(B175="G마켓",ROUNDDOWN(MIN(IF($D$26&gt;=1,MIN($D$26,S175),S175*$D$26),IF($E$26="",9E+99,$E$26)),0),ROUNDUP(MIN(IF($D$26&gt;=1,MIN($D$26,S175),S175*$D$26),IF($E$26="",9E+99,$E$26)),0))))</f>
        <v/>
      </c>
      <c r="V175" s="20">
        <f>IF(S175="","",IF(OR($D$27="",S175&lt;N($C$27)),0,IF(B175="G마켓",ROUNDDOWN(MIN(IF($D$27&gt;=1,MIN($D$27,S175),S175*$D$27),IF($E$27="",9E+99,$E$27)),0),ROUNDUP(MIN(IF($D$27&gt;=1,MIN($D$27,S175),S175*$D$27),IF($E$27="",9E+99,$E$27)),0))))</f>
        <v/>
      </c>
      <c r="W175" s="19">
        <f>IF(G175="","",MAX(T175:V175))</f>
        <v/>
      </c>
      <c r="X175" s="21">
        <f>IF(G175="","",S175-W175)</f>
        <v/>
      </c>
      <c r="Y175" s="19">
        <f>IF(G175="","",IF(B175="G마켓",ROUNDDOWN(MAX(I175*N($G$10),J175*N($G$11),K175*N($G$12),L175*N($G$13),M175*N($G$14))+MAX(O175*N($G$18),P175*N($G$19),Q175*N($G$20),R175*N($G$21))+MAX(T175*N($G$25),U175*N($G$26),V175*N($G$27)),0),ROUNDUP(MAX(I175*N($G$10),J175*N($G$11),K175*N($G$12),L175*N($G$13),M175*N($G$14))+MAX(O175*N($G$18),P175*N($G$19),Q175*N($G$20),R175*N($G$21))+MAX(T175*N($G$25),U175*N($G$26),V175*N($G$27)),0)))</f>
        <v/>
      </c>
      <c r="Z175" s="21">
        <f>IF(G175="","",IF(B175="G마켓",ROUNDDOWN(G175-G175*$Q$6-Y175,0),ROUNDUP(G175-G175*$Q$6-Y175,0)))</f>
        <v/>
      </c>
    </row>
    <row r="176">
      <c r="B176" s="7" t="n"/>
      <c r="C176" s="7" t="n"/>
      <c r="D176" s="22" t="n"/>
      <c r="E176" s="23" t="n"/>
      <c r="F176" s="23" t="n"/>
      <c r="G176" s="19">
        <f>IF(E176="","",E176-N(F176))</f>
        <v/>
      </c>
      <c r="I176" s="20">
        <f>IF(G176="","",IF(OR($D$10="",$H$10="X",G176&lt;N($C$10)),0,IF(B176="G마켓",ROUNDDOWN(MIN(IF($D$10&gt;=1,MIN($D$10,G176),G176*$D$10),IF($E$10="",9E+99,$E$10)),0),ROUNDUP(MIN(IF($D$10&gt;=1,MIN($D$10,G176),G176*$D$10),IF($E$10="",9E+99,$E$10)),0))))</f>
        <v/>
      </c>
      <c r="J176" s="20">
        <f>IF(G176="","",IF(OR($D$11="",$H$11="X",G176&lt;N($C$11)),0,IF(B176="G마켓",ROUNDDOWN(MIN(IF($D$11&gt;=1,MIN($D$11,G176),G176*$D$11),IF($E$11="",9E+99,$E$11)),0),ROUNDUP(MIN(IF($D$11&gt;=1,MIN($D$11,G176),G176*$D$11),IF($E$11="",9E+99,$E$11)),0))))</f>
        <v/>
      </c>
      <c r="K176" s="20">
        <f>IF(G176="","",IF(OR($D$12="",$H$12="X",G176&lt;N($C$12)),0,IF(B176="G마켓",ROUNDDOWN(MIN(IF($D$12&gt;=1,MIN($D$12,G176),G176*$D$12),IF($E$12="",9E+99,$E$12)),0),ROUNDUP(MIN(IF($D$12&gt;=1,MIN($D$12,G176),G176*$D$12),IF($E$12="",9E+99,$E$12)),0))))</f>
        <v/>
      </c>
      <c r="L176" s="20">
        <f>IF(G176="","",IF(OR($D$13="",$H$13="X",G176&lt;N($C$13)),0,IF(B176="G마켓",ROUNDDOWN(MIN(IF($D$13&gt;=1,MIN($D$13,G176),G176*$D$13),IF($E$13="",9E+99,$E$13)),0),ROUNDUP(MIN(IF($D$13&gt;=1,MIN($D$13,G176),G176*$D$13),IF($E$13="",9E+99,$E$13)),0))))</f>
        <v/>
      </c>
      <c r="M176" s="20">
        <f>IF(G176="","",IF(OR($D$14="",$H$14="X",G176&lt;N($C$14)),0,IF(B176="G마켓",ROUNDDOWN(MIN(IF($D$14&gt;=1,MIN($D$14,G176),G176*$D$14),IF($E$14="",9E+99,$E$14)),0),ROUNDUP(MIN(IF($D$14&gt;=1,MIN($D$14,G176),G176*$D$14),IF($E$14="",9E+99,$E$14)),0))))</f>
        <v/>
      </c>
      <c r="N176" s="19">
        <f>IF(G176="","",G176-MAX(I176:M176))</f>
        <v/>
      </c>
      <c r="O176" s="20">
        <f>IF(N176="","",IF(OR($D$18="",$H$18="X",N176&lt;N($C$18)),0,IF(B176="G마켓",ROUNDDOWN(MIN(IF($D$18&gt;=1,MIN($D$18,N176),N176*$D$18),IF($E$18="",9E+99,$E$18)),0),ROUNDUP(MIN(IF($D$18&gt;=1,MIN($D$18,N176),N176*$D$18),IF($E$18="",9E+99,$E$18)),0))))</f>
        <v/>
      </c>
      <c r="P176" s="20">
        <f>IF(N176="","",IF(OR($D$19="",$H$19="X",N176&lt;N($C$19)),0,IF(B176="G마켓",ROUNDDOWN(MIN(IF($D$19&gt;=1,MIN($D$19,N176),N176*$D$19),IF($E$19="",9E+99,$E$19)),0),ROUNDUP(MIN(IF($D$19&gt;=1,MIN($D$19,N176),N176*$D$19),IF($E$19="",9E+99,$E$19)),0))))</f>
        <v/>
      </c>
      <c r="Q176" s="20">
        <f>IF(N176="","",IF(OR($D$20="",$H$20="X",N176&lt;N($C$20)),0,IF(B176="G마켓",ROUNDDOWN(MIN(IF($D$20&gt;=1,MIN($D$20,N176),N176*$D$20),IF($E$20="",9E+99,$E$20)),0),ROUNDUP(MIN(IF($D$20&gt;=1,MIN($D$20,N176),N176*$D$20),IF($E$20="",9E+99,$E$20)),0))))</f>
        <v/>
      </c>
      <c r="R176" s="20">
        <f>IF(N176="","",IF(OR($D$21="",$H$21="X",N176&lt;N($C$21)),0,IF(B176="G마켓",ROUNDDOWN(MIN(IF($D$21&gt;=1,MIN($D$21,N176),N176*$D$21),IF($E$21="",9E+99,$E$21)),0),ROUNDUP(MIN(IF($D$21&gt;=1,MIN($D$21,N176),N176*$D$21),IF($E$21="",9E+99,$E$21)),0))))</f>
        <v/>
      </c>
      <c r="S176" s="19">
        <f>IF(G176="","",N176-MAX(O176:R176))</f>
        <v/>
      </c>
      <c r="T176" s="20">
        <f>IF(S176="","",IF(OR($D$25="",S176&lt;N($C$25)),0,IF(B176="G마켓",ROUNDDOWN(MIN(IF($D$25&gt;=1,MIN($D$25,S176),S176*$D$25),IF($E$25="",9E+99,$E$25)),0),ROUNDUP(MIN(IF($D$25&gt;=1,MIN($D$25,S176),S176*$D$25),IF($E$25="",9E+99,$E$25)),0))))</f>
        <v/>
      </c>
      <c r="U176" s="20">
        <f>IF(S176="","",IF(OR($D$26="",S176&lt;N($C$26)),0,IF(B176="G마켓",ROUNDDOWN(MIN(IF($D$26&gt;=1,MIN($D$26,S176),S176*$D$26),IF($E$26="",9E+99,$E$26)),0),ROUNDUP(MIN(IF($D$26&gt;=1,MIN($D$26,S176),S176*$D$26),IF($E$26="",9E+99,$E$26)),0))))</f>
        <v/>
      </c>
      <c r="V176" s="20">
        <f>IF(S176="","",IF(OR($D$27="",S176&lt;N($C$27)),0,IF(B176="G마켓",ROUNDDOWN(MIN(IF($D$27&gt;=1,MIN($D$27,S176),S176*$D$27),IF($E$27="",9E+99,$E$27)),0),ROUNDUP(MIN(IF($D$27&gt;=1,MIN($D$27,S176),S176*$D$27),IF($E$27="",9E+99,$E$27)),0))))</f>
        <v/>
      </c>
      <c r="W176" s="19">
        <f>IF(G176="","",MAX(T176:V176))</f>
        <v/>
      </c>
      <c r="X176" s="21">
        <f>IF(G176="","",S176-W176)</f>
        <v/>
      </c>
      <c r="Y176" s="19">
        <f>IF(G176="","",IF(B176="G마켓",ROUNDDOWN(MAX(I176*N($G$10),J176*N($G$11),K176*N($G$12),L176*N($G$13),M176*N($G$14))+MAX(O176*N($G$18),P176*N($G$19),Q176*N($G$20),R176*N($G$21))+MAX(T176*N($G$25),U176*N($G$26),V176*N($G$27)),0),ROUNDUP(MAX(I176*N($G$10),J176*N($G$11),K176*N($G$12),L176*N($G$13),M176*N($G$14))+MAX(O176*N($G$18),P176*N($G$19),Q176*N($G$20),R176*N($G$21))+MAX(T176*N($G$25),U176*N($G$26),V176*N($G$27)),0)))</f>
        <v/>
      </c>
      <c r="Z176" s="21">
        <f>IF(G176="","",IF(B176="G마켓",ROUNDDOWN(G176-G176*$Q$6-Y176,0),ROUNDUP(G176-G176*$Q$6-Y176,0)))</f>
        <v/>
      </c>
    </row>
    <row r="177">
      <c r="B177" s="7" t="n"/>
      <c r="C177" s="7" t="n"/>
      <c r="D177" s="22" t="n"/>
      <c r="E177" s="23" t="n"/>
      <c r="F177" s="23" t="n"/>
      <c r="G177" s="19">
        <f>IF(E177="","",E177-N(F177))</f>
        <v/>
      </c>
      <c r="I177" s="20">
        <f>IF(G177="","",IF(OR($D$10="",$H$10="X",G177&lt;N($C$10)),0,IF(B177="G마켓",ROUNDDOWN(MIN(IF($D$10&gt;=1,MIN($D$10,G177),G177*$D$10),IF($E$10="",9E+99,$E$10)),0),ROUNDUP(MIN(IF($D$10&gt;=1,MIN($D$10,G177),G177*$D$10),IF($E$10="",9E+99,$E$10)),0))))</f>
        <v/>
      </c>
      <c r="J177" s="20">
        <f>IF(G177="","",IF(OR($D$11="",$H$11="X",G177&lt;N($C$11)),0,IF(B177="G마켓",ROUNDDOWN(MIN(IF($D$11&gt;=1,MIN($D$11,G177),G177*$D$11),IF($E$11="",9E+99,$E$11)),0),ROUNDUP(MIN(IF($D$11&gt;=1,MIN($D$11,G177),G177*$D$11),IF($E$11="",9E+99,$E$11)),0))))</f>
        <v/>
      </c>
      <c r="K177" s="20">
        <f>IF(G177="","",IF(OR($D$12="",$H$12="X",G177&lt;N($C$12)),0,IF(B177="G마켓",ROUNDDOWN(MIN(IF($D$12&gt;=1,MIN($D$12,G177),G177*$D$12),IF($E$12="",9E+99,$E$12)),0),ROUNDUP(MIN(IF($D$12&gt;=1,MIN($D$12,G177),G177*$D$12),IF($E$12="",9E+99,$E$12)),0))))</f>
        <v/>
      </c>
      <c r="L177" s="20">
        <f>IF(G177="","",IF(OR($D$13="",$H$13="X",G177&lt;N($C$13)),0,IF(B177="G마켓",ROUNDDOWN(MIN(IF($D$13&gt;=1,MIN($D$13,G177),G177*$D$13),IF($E$13="",9E+99,$E$13)),0),ROUNDUP(MIN(IF($D$13&gt;=1,MIN($D$13,G177),G177*$D$13),IF($E$13="",9E+99,$E$13)),0))))</f>
        <v/>
      </c>
      <c r="M177" s="20">
        <f>IF(G177="","",IF(OR($D$14="",$H$14="X",G177&lt;N($C$14)),0,IF(B177="G마켓",ROUNDDOWN(MIN(IF($D$14&gt;=1,MIN($D$14,G177),G177*$D$14),IF($E$14="",9E+99,$E$14)),0),ROUNDUP(MIN(IF($D$14&gt;=1,MIN($D$14,G177),G177*$D$14),IF($E$14="",9E+99,$E$14)),0))))</f>
        <v/>
      </c>
      <c r="N177" s="19">
        <f>IF(G177="","",G177-MAX(I177:M177))</f>
        <v/>
      </c>
      <c r="O177" s="20">
        <f>IF(N177="","",IF(OR($D$18="",$H$18="X",N177&lt;N($C$18)),0,IF(B177="G마켓",ROUNDDOWN(MIN(IF($D$18&gt;=1,MIN($D$18,N177),N177*$D$18),IF($E$18="",9E+99,$E$18)),0),ROUNDUP(MIN(IF($D$18&gt;=1,MIN($D$18,N177),N177*$D$18),IF($E$18="",9E+99,$E$18)),0))))</f>
        <v/>
      </c>
      <c r="P177" s="20">
        <f>IF(N177="","",IF(OR($D$19="",$H$19="X",N177&lt;N($C$19)),0,IF(B177="G마켓",ROUNDDOWN(MIN(IF($D$19&gt;=1,MIN($D$19,N177),N177*$D$19),IF($E$19="",9E+99,$E$19)),0),ROUNDUP(MIN(IF($D$19&gt;=1,MIN($D$19,N177),N177*$D$19),IF($E$19="",9E+99,$E$19)),0))))</f>
        <v/>
      </c>
      <c r="Q177" s="20">
        <f>IF(N177="","",IF(OR($D$20="",$H$20="X",N177&lt;N($C$20)),0,IF(B177="G마켓",ROUNDDOWN(MIN(IF($D$20&gt;=1,MIN($D$20,N177),N177*$D$20),IF($E$20="",9E+99,$E$20)),0),ROUNDUP(MIN(IF($D$20&gt;=1,MIN($D$20,N177),N177*$D$20),IF($E$20="",9E+99,$E$20)),0))))</f>
        <v/>
      </c>
      <c r="R177" s="20">
        <f>IF(N177="","",IF(OR($D$21="",$H$21="X",N177&lt;N($C$21)),0,IF(B177="G마켓",ROUNDDOWN(MIN(IF($D$21&gt;=1,MIN($D$21,N177),N177*$D$21),IF($E$21="",9E+99,$E$21)),0),ROUNDUP(MIN(IF($D$21&gt;=1,MIN($D$21,N177),N177*$D$21),IF($E$21="",9E+99,$E$21)),0))))</f>
        <v/>
      </c>
      <c r="S177" s="19">
        <f>IF(G177="","",N177-MAX(O177:R177))</f>
        <v/>
      </c>
      <c r="T177" s="20">
        <f>IF(S177="","",IF(OR($D$25="",S177&lt;N($C$25)),0,IF(B177="G마켓",ROUNDDOWN(MIN(IF($D$25&gt;=1,MIN($D$25,S177),S177*$D$25),IF($E$25="",9E+99,$E$25)),0),ROUNDUP(MIN(IF($D$25&gt;=1,MIN($D$25,S177),S177*$D$25),IF($E$25="",9E+99,$E$25)),0))))</f>
        <v/>
      </c>
      <c r="U177" s="20">
        <f>IF(S177="","",IF(OR($D$26="",S177&lt;N($C$26)),0,IF(B177="G마켓",ROUNDDOWN(MIN(IF($D$26&gt;=1,MIN($D$26,S177),S177*$D$26),IF($E$26="",9E+99,$E$26)),0),ROUNDUP(MIN(IF($D$26&gt;=1,MIN($D$26,S177),S177*$D$26),IF($E$26="",9E+99,$E$26)),0))))</f>
        <v/>
      </c>
      <c r="V177" s="20">
        <f>IF(S177="","",IF(OR($D$27="",S177&lt;N($C$27)),0,IF(B177="G마켓",ROUNDDOWN(MIN(IF($D$27&gt;=1,MIN($D$27,S177),S177*$D$27),IF($E$27="",9E+99,$E$27)),0),ROUNDUP(MIN(IF($D$27&gt;=1,MIN($D$27,S177),S177*$D$27),IF($E$27="",9E+99,$E$27)),0))))</f>
        <v/>
      </c>
      <c r="W177" s="19">
        <f>IF(G177="","",MAX(T177:V177))</f>
        <v/>
      </c>
      <c r="X177" s="21">
        <f>IF(G177="","",S177-W177)</f>
        <v/>
      </c>
      <c r="Y177" s="19">
        <f>IF(G177="","",IF(B177="G마켓",ROUNDDOWN(MAX(I177*N($G$10),J177*N($G$11),K177*N($G$12),L177*N($G$13),M177*N($G$14))+MAX(O177*N($G$18),P177*N($G$19),Q177*N($G$20),R177*N($G$21))+MAX(T177*N($G$25),U177*N($G$26),V177*N($G$27)),0),ROUNDUP(MAX(I177*N($G$10),J177*N($G$11),K177*N($G$12),L177*N($G$13),M177*N($G$14))+MAX(O177*N($G$18),P177*N($G$19),Q177*N($G$20),R177*N($G$21))+MAX(T177*N($G$25),U177*N($G$26),V177*N($G$27)),0)))</f>
        <v/>
      </c>
      <c r="Z177" s="21">
        <f>IF(G177="","",IF(B177="G마켓",ROUNDDOWN(G177-G177*$Q$6-Y177,0),ROUNDUP(G177-G177*$Q$6-Y177,0)))</f>
        <v/>
      </c>
    </row>
    <row r="178">
      <c r="B178" s="7" t="n"/>
      <c r="C178" s="7" t="n"/>
      <c r="D178" s="22" t="n"/>
      <c r="E178" s="23" t="n"/>
      <c r="F178" s="23" t="n"/>
      <c r="G178" s="19">
        <f>IF(E178="","",E178-N(F178))</f>
        <v/>
      </c>
      <c r="I178" s="20">
        <f>IF(G178="","",IF(OR($D$10="",$H$10="X",G178&lt;N($C$10)),0,IF(B178="G마켓",ROUNDDOWN(MIN(IF($D$10&gt;=1,MIN($D$10,G178),G178*$D$10),IF($E$10="",9E+99,$E$10)),0),ROUNDUP(MIN(IF($D$10&gt;=1,MIN($D$10,G178),G178*$D$10),IF($E$10="",9E+99,$E$10)),0))))</f>
        <v/>
      </c>
      <c r="J178" s="20">
        <f>IF(G178="","",IF(OR($D$11="",$H$11="X",G178&lt;N($C$11)),0,IF(B178="G마켓",ROUNDDOWN(MIN(IF($D$11&gt;=1,MIN($D$11,G178),G178*$D$11),IF($E$11="",9E+99,$E$11)),0),ROUNDUP(MIN(IF($D$11&gt;=1,MIN($D$11,G178),G178*$D$11),IF($E$11="",9E+99,$E$11)),0))))</f>
        <v/>
      </c>
      <c r="K178" s="20">
        <f>IF(G178="","",IF(OR($D$12="",$H$12="X",G178&lt;N($C$12)),0,IF(B178="G마켓",ROUNDDOWN(MIN(IF($D$12&gt;=1,MIN($D$12,G178),G178*$D$12),IF($E$12="",9E+99,$E$12)),0),ROUNDUP(MIN(IF($D$12&gt;=1,MIN($D$12,G178),G178*$D$12),IF($E$12="",9E+99,$E$12)),0))))</f>
        <v/>
      </c>
      <c r="L178" s="20">
        <f>IF(G178="","",IF(OR($D$13="",$H$13="X",G178&lt;N($C$13)),0,IF(B178="G마켓",ROUNDDOWN(MIN(IF($D$13&gt;=1,MIN($D$13,G178),G178*$D$13),IF($E$13="",9E+99,$E$13)),0),ROUNDUP(MIN(IF($D$13&gt;=1,MIN($D$13,G178),G178*$D$13),IF($E$13="",9E+99,$E$13)),0))))</f>
        <v/>
      </c>
      <c r="M178" s="20">
        <f>IF(G178="","",IF(OR($D$14="",$H$14="X",G178&lt;N($C$14)),0,IF(B178="G마켓",ROUNDDOWN(MIN(IF($D$14&gt;=1,MIN($D$14,G178),G178*$D$14),IF($E$14="",9E+99,$E$14)),0),ROUNDUP(MIN(IF($D$14&gt;=1,MIN($D$14,G178),G178*$D$14),IF($E$14="",9E+99,$E$14)),0))))</f>
        <v/>
      </c>
      <c r="N178" s="19">
        <f>IF(G178="","",G178-MAX(I178:M178))</f>
        <v/>
      </c>
      <c r="O178" s="20">
        <f>IF(N178="","",IF(OR($D$18="",$H$18="X",N178&lt;N($C$18)),0,IF(B178="G마켓",ROUNDDOWN(MIN(IF($D$18&gt;=1,MIN($D$18,N178),N178*$D$18),IF($E$18="",9E+99,$E$18)),0),ROUNDUP(MIN(IF($D$18&gt;=1,MIN($D$18,N178),N178*$D$18),IF($E$18="",9E+99,$E$18)),0))))</f>
        <v/>
      </c>
      <c r="P178" s="20">
        <f>IF(N178="","",IF(OR($D$19="",$H$19="X",N178&lt;N($C$19)),0,IF(B178="G마켓",ROUNDDOWN(MIN(IF($D$19&gt;=1,MIN($D$19,N178),N178*$D$19),IF($E$19="",9E+99,$E$19)),0),ROUNDUP(MIN(IF($D$19&gt;=1,MIN($D$19,N178),N178*$D$19),IF($E$19="",9E+99,$E$19)),0))))</f>
        <v/>
      </c>
      <c r="Q178" s="20">
        <f>IF(N178="","",IF(OR($D$20="",$H$20="X",N178&lt;N($C$20)),0,IF(B178="G마켓",ROUNDDOWN(MIN(IF($D$20&gt;=1,MIN($D$20,N178),N178*$D$20),IF($E$20="",9E+99,$E$20)),0),ROUNDUP(MIN(IF($D$20&gt;=1,MIN($D$20,N178),N178*$D$20),IF($E$20="",9E+99,$E$20)),0))))</f>
        <v/>
      </c>
      <c r="R178" s="20">
        <f>IF(N178="","",IF(OR($D$21="",$H$21="X",N178&lt;N($C$21)),0,IF(B178="G마켓",ROUNDDOWN(MIN(IF($D$21&gt;=1,MIN($D$21,N178),N178*$D$21),IF($E$21="",9E+99,$E$21)),0),ROUNDUP(MIN(IF($D$21&gt;=1,MIN($D$21,N178),N178*$D$21),IF($E$21="",9E+99,$E$21)),0))))</f>
        <v/>
      </c>
      <c r="S178" s="19">
        <f>IF(G178="","",N178-MAX(O178:R178))</f>
        <v/>
      </c>
      <c r="T178" s="20">
        <f>IF(S178="","",IF(OR($D$25="",S178&lt;N($C$25)),0,IF(B178="G마켓",ROUNDDOWN(MIN(IF($D$25&gt;=1,MIN($D$25,S178),S178*$D$25),IF($E$25="",9E+99,$E$25)),0),ROUNDUP(MIN(IF($D$25&gt;=1,MIN($D$25,S178),S178*$D$25),IF($E$25="",9E+99,$E$25)),0))))</f>
        <v/>
      </c>
      <c r="U178" s="20">
        <f>IF(S178="","",IF(OR($D$26="",S178&lt;N($C$26)),0,IF(B178="G마켓",ROUNDDOWN(MIN(IF($D$26&gt;=1,MIN($D$26,S178),S178*$D$26),IF($E$26="",9E+99,$E$26)),0),ROUNDUP(MIN(IF($D$26&gt;=1,MIN($D$26,S178),S178*$D$26),IF($E$26="",9E+99,$E$26)),0))))</f>
        <v/>
      </c>
      <c r="V178" s="20">
        <f>IF(S178="","",IF(OR($D$27="",S178&lt;N($C$27)),0,IF(B178="G마켓",ROUNDDOWN(MIN(IF($D$27&gt;=1,MIN($D$27,S178),S178*$D$27),IF($E$27="",9E+99,$E$27)),0),ROUNDUP(MIN(IF($D$27&gt;=1,MIN($D$27,S178),S178*$D$27),IF($E$27="",9E+99,$E$27)),0))))</f>
        <v/>
      </c>
      <c r="W178" s="19">
        <f>IF(G178="","",MAX(T178:V178))</f>
        <v/>
      </c>
      <c r="X178" s="21">
        <f>IF(G178="","",S178-W178)</f>
        <v/>
      </c>
      <c r="Y178" s="19">
        <f>IF(G178="","",IF(B178="G마켓",ROUNDDOWN(MAX(I178*N($G$10),J178*N($G$11),K178*N($G$12),L178*N($G$13),M178*N($G$14))+MAX(O178*N($G$18),P178*N($G$19),Q178*N($G$20),R178*N($G$21))+MAX(T178*N($G$25),U178*N($G$26),V178*N($G$27)),0),ROUNDUP(MAX(I178*N($G$10),J178*N($G$11),K178*N($G$12),L178*N($G$13),M178*N($G$14))+MAX(O178*N($G$18),P178*N($G$19),Q178*N($G$20),R178*N($G$21))+MAX(T178*N($G$25),U178*N($G$26),V178*N($G$27)),0)))</f>
        <v/>
      </c>
      <c r="Z178" s="21">
        <f>IF(G178="","",IF(B178="G마켓",ROUNDDOWN(G178-G178*$Q$6-Y178,0),ROUNDUP(G178-G178*$Q$6-Y178,0)))</f>
        <v/>
      </c>
    </row>
    <row r="179">
      <c r="B179" s="7" t="n"/>
      <c r="C179" s="7" t="n"/>
      <c r="D179" s="22" t="n"/>
      <c r="E179" s="23" t="n"/>
      <c r="F179" s="23" t="n"/>
      <c r="G179" s="19">
        <f>IF(E179="","",E179-N(F179))</f>
        <v/>
      </c>
      <c r="I179" s="20">
        <f>IF(G179="","",IF(OR($D$10="",$H$10="X",G179&lt;N($C$10)),0,IF(B179="G마켓",ROUNDDOWN(MIN(IF($D$10&gt;=1,MIN($D$10,G179),G179*$D$10),IF($E$10="",9E+99,$E$10)),0),ROUNDUP(MIN(IF($D$10&gt;=1,MIN($D$10,G179),G179*$D$10),IF($E$10="",9E+99,$E$10)),0))))</f>
        <v/>
      </c>
      <c r="J179" s="20">
        <f>IF(G179="","",IF(OR($D$11="",$H$11="X",G179&lt;N($C$11)),0,IF(B179="G마켓",ROUNDDOWN(MIN(IF($D$11&gt;=1,MIN($D$11,G179),G179*$D$11),IF($E$11="",9E+99,$E$11)),0),ROUNDUP(MIN(IF($D$11&gt;=1,MIN($D$11,G179),G179*$D$11),IF($E$11="",9E+99,$E$11)),0))))</f>
        <v/>
      </c>
      <c r="K179" s="20">
        <f>IF(G179="","",IF(OR($D$12="",$H$12="X",G179&lt;N($C$12)),0,IF(B179="G마켓",ROUNDDOWN(MIN(IF($D$12&gt;=1,MIN($D$12,G179),G179*$D$12),IF($E$12="",9E+99,$E$12)),0),ROUNDUP(MIN(IF($D$12&gt;=1,MIN($D$12,G179),G179*$D$12),IF($E$12="",9E+99,$E$12)),0))))</f>
        <v/>
      </c>
      <c r="L179" s="20">
        <f>IF(G179="","",IF(OR($D$13="",$H$13="X",G179&lt;N($C$13)),0,IF(B179="G마켓",ROUNDDOWN(MIN(IF($D$13&gt;=1,MIN($D$13,G179),G179*$D$13),IF($E$13="",9E+99,$E$13)),0),ROUNDUP(MIN(IF($D$13&gt;=1,MIN($D$13,G179),G179*$D$13),IF($E$13="",9E+99,$E$13)),0))))</f>
        <v/>
      </c>
      <c r="M179" s="20">
        <f>IF(G179="","",IF(OR($D$14="",$H$14="X",G179&lt;N($C$14)),0,IF(B179="G마켓",ROUNDDOWN(MIN(IF($D$14&gt;=1,MIN($D$14,G179),G179*$D$14),IF($E$14="",9E+99,$E$14)),0),ROUNDUP(MIN(IF($D$14&gt;=1,MIN($D$14,G179),G179*$D$14),IF($E$14="",9E+99,$E$14)),0))))</f>
        <v/>
      </c>
      <c r="N179" s="19">
        <f>IF(G179="","",G179-MAX(I179:M179))</f>
        <v/>
      </c>
      <c r="O179" s="20">
        <f>IF(N179="","",IF(OR($D$18="",$H$18="X",N179&lt;N($C$18)),0,IF(B179="G마켓",ROUNDDOWN(MIN(IF($D$18&gt;=1,MIN($D$18,N179),N179*$D$18),IF($E$18="",9E+99,$E$18)),0),ROUNDUP(MIN(IF($D$18&gt;=1,MIN($D$18,N179),N179*$D$18),IF($E$18="",9E+99,$E$18)),0))))</f>
        <v/>
      </c>
      <c r="P179" s="20">
        <f>IF(N179="","",IF(OR($D$19="",$H$19="X",N179&lt;N($C$19)),0,IF(B179="G마켓",ROUNDDOWN(MIN(IF($D$19&gt;=1,MIN($D$19,N179),N179*$D$19),IF($E$19="",9E+99,$E$19)),0),ROUNDUP(MIN(IF($D$19&gt;=1,MIN($D$19,N179),N179*$D$19),IF($E$19="",9E+99,$E$19)),0))))</f>
        <v/>
      </c>
      <c r="Q179" s="20">
        <f>IF(N179="","",IF(OR($D$20="",$H$20="X",N179&lt;N($C$20)),0,IF(B179="G마켓",ROUNDDOWN(MIN(IF($D$20&gt;=1,MIN($D$20,N179),N179*$D$20),IF($E$20="",9E+99,$E$20)),0),ROUNDUP(MIN(IF($D$20&gt;=1,MIN($D$20,N179),N179*$D$20),IF($E$20="",9E+99,$E$20)),0))))</f>
        <v/>
      </c>
      <c r="R179" s="20">
        <f>IF(N179="","",IF(OR($D$21="",$H$21="X",N179&lt;N($C$21)),0,IF(B179="G마켓",ROUNDDOWN(MIN(IF($D$21&gt;=1,MIN($D$21,N179),N179*$D$21),IF($E$21="",9E+99,$E$21)),0),ROUNDUP(MIN(IF($D$21&gt;=1,MIN($D$21,N179),N179*$D$21),IF($E$21="",9E+99,$E$21)),0))))</f>
        <v/>
      </c>
      <c r="S179" s="19">
        <f>IF(G179="","",N179-MAX(O179:R179))</f>
        <v/>
      </c>
      <c r="T179" s="20">
        <f>IF(S179="","",IF(OR($D$25="",S179&lt;N($C$25)),0,IF(B179="G마켓",ROUNDDOWN(MIN(IF($D$25&gt;=1,MIN($D$25,S179),S179*$D$25),IF($E$25="",9E+99,$E$25)),0),ROUNDUP(MIN(IF($D$25&gt;=1,MIN($D$25,S179),S179*$D$25),IF($E$25="",9E+99,$E$25)),0))))</f>
        <v/>
      </c>
      <c r="U179" s="20">
        <f>IF(S179="","",IF(OR($D$26="",S179&lt;N($C$26)),0,IF(B179="G마켓",ROUNDDOWN(MIN(IF($D$26&gt;=1,MIN($D$26,S179),S179*$D$26),IF($E$26="",9E+99,$E$26)),0),ROUNDUP(MIN(IF($D$26&gt;=1,MIN($D$26,S179),S179*$D$26),IF($E$26="",9E+99,$E$26)),0))))</f>
        <v/>
      </c>
      <c r="V179" s="20">
        <f>IF(S179="","",IF(OR($D$27="",S179&lt;N($C$27)),0,IF(B179="G마켓",ROUNDDOWN(MIN(IF($D$27&gt;=1,MIN($D$27,S179),S179*$D$27),IF($E$27="",9E+99,$E$27)),0),ROUNDUP(MIN(IF($D$27&gt;=1,MIN($D$27,S179),S179*$D$27),IF($E$27="",9E+99,$E$27)),0))))</f>
        <v/>
      </c>
      <c r="W179" s="19">
        <f>IF(G179="","",MAX(T179:V179))</f>
        <v/>
      </c>
      <c r="X179" s="21">
        <f>IF(G179="","",S179-W179)</f>
        <v/>
      </c>
      <c r="Y179" s="19">
        <f>IF(G179="","",IF(B179="G마켓",ROUNDDOWN(MAX(I179*N($G$10),J179*N($G$11),K179*N($G$12),L179*N($G$13),M179*N($G$14))+MAX(O179*N($G$18),P179*N($G$19),Q179*N($G$20),R179*N($G$21))+MAX(T179*N($G$25),U179*N($G$26),V179*N($G$27)),0),ROUNDUP(MAX(I179*N($G$10),J179*N($G$11),K179*N($G$12),L179*N($G$13),M179*N($G$14))+MAX(O179*N($G$18),P179*N($G$19),Q179*N($G$20),R179*N($G$21))+MAX(T179*N($G$25),U179*N($G$26),V179*N($G$27)),0)))</f>
        <v/>
      </c>
      <c r="Z179" s="21">
        <f>IF(G179="","",IF(B179="G마켓",ROUNDDOWN(G179-G179*$Q$6-Y179,0),ROUNDUP(G179-G179*$Q$6-Y179,0)))</f>
        <v/>
      </c>
    </row>
    <row r="180">
      <c r="B180" s="7" t="n"/>
      <c r="C180" s="7" t="n"/>
      <c r="D180" s="22" t="n"/>
      <c r="E180" s="23" t="n"/>
      <c r="F180" s="23" t="n"/>
      <c r="G180" s="19">
        <f>IF(E180="","",E180-N(F180))</f>
        <v/>
      </c>
      <c r="I180" s="20">
        <f>IF(G180="","",IF(OR($D$10="",$H$10="X",G180&lt;N($C$10)),0,IF(B180="G마켓",ROUNDDOWN(MIN(IF($D$10&gt;=1,MIN($D$10,G180),G180*$D$10),IF($E$10="",9E+99,$E$10)),0),ROUNDUP(MIN(IF($D$10&gt;=1,MIN($D$10,G180),G180*$D$10),IF($E$10="",9E+99,$E$10)),0))))</f>
        <v/>
      </c>
      <c r="J180" s="20">
        <f>IF(G180="","",IF(OR($D$11="",$H$11="X",G180&lt;N($C$11)),0,IF(B180="G마켓",ROUNDDOWN(MIN(IF($D$11&gt;=1,MIN($D$11,G180),G180*$D$11),IF($E$11="",9E+99,$E$11)),0),ROUNDUP(MIN(IF($D$11&gt;=1,MIN($D$11,G180),G180*$D$11),IF($E$11="",9E+99,$E$11)),0))))</f>
        <v/>
      </c>
      <c r="K180" s="20">
        <f>IF(G180="","",IF(OR($D$12="",$H$12="X",G180&lt;N($C$12)),0,IF(B180="G마켓",ROUNDDOWN(MIN(IF($D$12&gt;=1,MIN($D$12,G180),G180*$D$12),IF($E$12="",9E+99,$E$12)),0),ROUNDUP(MIN(IF($D$12&gt;=1,MIN($D$12,G180),G180*$D$12),IF($E$12="",9E+99,$E$12)),0))))</f>
        <v/>
      </c>
      <c r="L180" s="20">
        <f>IF(G180="","",IF(OR($D$13="",$H$13="X",G180&lt;N($C$13)),0,IF(B180="G마켓",ROUNDDOWN(MIN(IF($D$13&gt;=1,MIN($D$13,G180),G180*$D$13),IF($E$13="",9E+99,$E$13)),0),ROUNDUP(MIN(IF($D$13&gt;=1,MIN($D$13,G180),G180*$D$13),IF($E$13="",9E+99,$E$13)),0))))</f>
        <v/>
      </c>
      <c r="M180" s="20">
        <f>IF(G180="","",IF(OR($D$14="",$H$14="X",G180&lt;N($C$14)),0,IF(B180="G마켓",ROUNDDOWN(MIN(IF($D$14&gt;=1,MIN($D$14,G180),G180*$D$14),IF($E$14="",9E+99,$E$14)),0),ROUNDUP(MIN(IF($D$14&gt;=1,MIN($D$14,G180),G180*$D$14),IF($E$14="",9E+99,$E$14)),0))))</f>
        <v/>
      </c>
      <c r="N180" s="19">
        <f>IF(G180="","",G180-MAX(I180:M180))</f>
        <v/>
      </c>
      <c r="O180" s="20">
        <f>IF(N180="","",IF(OR($D$18="",$H$18="X",N180&lt;N($C$18)),0,IF(B180="G마켓",ROUNDDOWN(MIN(IF($D$18&gt;=1,MIN($D$18,N180),N180*$D$18),IF($E$18="",9E+99,$E$18)),0),ROUNDUP(MIN(IF($D$18&gt;=1,MIN($D$18,N180),N180*$D$18),IF($E$18="",9E+99,$E$18)),0))))</f>
        <v/>
      </c>
      <c r="P180" s="20">
        <f>IF(N180="","",IF(OR($D$19="",$H$19="X",N180&lt;N($C$19)),0,IF(B180="G마켓",ROUNDDOWN(MIN(IF($D$19&gt;=1,MIN($D$19,N180),N180*$D$19),IF($E$19="",9E+99,$E$19)),0),ROUNDUP(MIN(IF($D$19&gt;=1,MIN($D$19,N180),N180*$D$19),IF($E$19="",9E+99,$E$19)),0))))</f>
        <v/>
      </c>
      <c r="Q180" s="20">
        <f>IF(N180="","",IF(OR($D$20="",$H$20="X",N180&lt;N($C$20)),0,IF(B180="G마켓",ROUNDDOWN(MIN(IF($D$20&gt;=1,MIN($D$20,N180),N180*$D$20),IF($E$20="",9E+99,$E$20)),0),ROUNDUP(MIN(IF($D$20&gt;=1,MIN($D$20,N180),N180*$D$20),IF($E$20="",9E+99,$E$20)),0))))</f>
        <v/>
      </c>
      <c r="R180" s="20">
        <f>IF(N180="","",IF(OR($D$21="",$H$21="X",N180&lt;N($C$21)),0,IF(B180="G마켓",ROUNDDOWN(MIN(IF($D$21&gt;=1,MIN($D$21,N180),N180*$D$21),IF($E$21="",9E+99,$E$21)),0),ROUNDUP(MIN(IF($D$21&gt;=1,MIN($D$21,N180),N180*$D$21),IF($E$21="",9E+99,$E$21)),0))))</f>
        <v/>
      </c>
      <c r="S180" s="19">
        <f>IF(G180="","",N180-MAX(O180:R180))</f>
        <v/>
      </c>
      <c r="T180" s="20">
        <f>IF(S180="","",IF(OR($D$25="",S180&lt;N($C$25)),0,IF(B180="G마켓",ROUNDDOWN(MIN(IF($D$25&gt;=1,MIN($D$25,S180),S180*$D$25),IF($E$25="",9E+99,$E$25)),0),ROUNDUP(MIN(IF($D$25&gt;=1,MIN($D$25,S180),S180*$D$25),IF($E$25="",9E+99,$E$25)),0))))</f>
        <v/>
      </c>
      <c r="U180" s="20">
        <f>IF(S180="","",IF(OR($D$26="",S180&lt;N($C$26)),0,IF(B180="G마켓",ROUNDDOWN(MIN(IF($D$26&gt;=1,MIN($D$26,S180),S180*$D$26),IF($E$26="",9E+99,$E$26)),0),ROUNDUP(MIN(IF($D$26&gt;=1,MIN($D$26,S180),S180*$D$26),IF($E$26="",9E+99,$E$26)),0))))</f>
        <v/>
      </c>
      <c r="V180" s="20">
        <f>IF(S180="","",IF(OR($D$27="",S180&lt;N($C$27)),0,IF(B180="G마켓",ROUNDDOWN(MIN(IF($D$27&gt;=1,MIN($D$27,S180),S180*$D$27),IF($E$27="",9E+99,$E$27)),0),ROUNDUP(MIN(IF($D$27&gt;=1,MIN($D$27,S180),S180*$D$27),IF($E$27="",9E+99,$E$27)),0))))</f>
        <v/>
      </c>
      <c r="W180" s="19">
        <f>IF(G180="","",MAX(T180:V180))</f>
        <v/>
      </c>
      <c r="X180" s="21">
        <f>IF(G180="","",S180-W180)</f>
        <v/>
      </c>
      <c r="Y180" s="19">
        <f>IF(G180="","",IF(B180="G마켓",ROUNDDOWN(MAX(I180*N($G$10),J180*N($G$11),K180*N($G$12),L180*N($G$13),M180*N($G$14))+MAX(O180*N($G$18),P180*N($G$19),Q180*N($G$20),R180*N($G$21))+MAX(T180*N($G$25),U180*N($G$26),V180*N($G$27)),0),ROUNDUP(MAX(I180*N($G$10),J180*N($G$11),K180*N($G$12),L180*N($G$13),M180*N($G$14))+MAX(O180*N($G$18),P180*N($G$19),Q180*N($G$20),R180*N($G$21))+MAX(T180*N($G$25),U180*N($G$26),V180*N($G$27)),0)))</f>
        <v/>
      </c>
      <c r="Z180" s="21">
        <f>IF(G180="","",IF(B180="G마켓",ROUNDDOWN(G180-G180*$Q$6-Y180,0),ROUNDUP(G180-G180*$Q$6-Y180,0)))</f>
        <v/>
      </c>
    </row>
    <row r="181">
      <c r="B181" s="7" t="n"/>
      <c r="C181" s="7" t="n"/>
      <c r="D181" s="22" t="n"/>
      <c r="E181" s="23" t="n"/>
      <c r="F181" s="23" t="n"/>
      <c r="G181" s="19">
        <f>IF(E181="","",E181-N(F181))</f>
        <v/>
      </c>
      <c r="I181" s="20">
        <f>IF(G181="","",IF(OR($D$10="",$H$10="X",G181&lt;N($C$10)),0,IF(B181="G마켓",ROUNDDOWN(MIN(IF($D$10&gt;=1,MIN($D$10,G181),G181*$D$10),IF($E$10="",9E+99,$E$10)),0),ROUNDUP(MIN(IF($D$10&gt;=1,MIN($D$10,G181),G181*$D$10),IF($E$10="",9E+99,$E$10)),0))))</f>
        <v/>
      </c>
      <c r="J181" s="20">
        <f>IF(G181="","",IF(OR($D$11="",$H$11="X",G181&lt;N($C$11)),0,IF(B181="G마켓",ROUNDDOWN(MIN(IF($D$11&gt;=1,MIN($D$11,G181),G181*$D$11),IF($E$11="",9E+99,$E$11)),0),ROUNDUP(MIN(IF($D$11&gt;=1,MIN($D$11,G181),G181*$D$11),IF($E$11="",9E+99,$E$11)),0))))</f>
        <v/>
      </c>
      <c r="K181" s="20">
        <f>IF(G181="","",IF(OR($D$12="",$H$12="X",G181&lt;N($C$12)),0,IF(B181="G마켓",ROUNDDOWN(MIN(IF($D$12&gt;=1,MIN($D$12,G181),G181*$D$12),IF($E$12="",9E+99,$E$12)),0),ROUNDUP(MIN(IF($D$12&gt;=1,MIN($D$12,G181),G181*$D$12),IF($E$12="",9E+99,$E$12)),0))))</f>
        <v/>
      </c>
      <c r="L181" s="20">
        <f>IF(G181="","",IF(OR($D$13="",$H$13="X",G181&lt;N($C$13)),0,IF(B181="G마켓",ROUNDDOWN(MIN(IF($D$13&gt;=1,MIN($D$13,G181),G181*$D$13),IF($E$13="",9E+99,$E$13)),0),ROUNDUP(MIN(IF($D$13&gt;=1,MIN($D$13,G181),G181*$D$13),IF($E$13="",9E+99,$E$13)),0))))</f>
        <v/>
      </c>
      <c r="M181" s="20">
        <f>IF(G181="","",IF(OR($D$14="",$H$14="X",G181&lt;N($C$14)),0,IF(B181="G마켓",ROUNDDOWN(MIN(IF($D$14&gt;=1,MIN($D$14,G181),G181*$D$14),IF($E$14="",9E+99,$E$14)),0),ROUNDUP(MIN(IF($D$14&gt;=1,MIN($D$14,G181),G181*$D$14),IF($E$14="",9E+99,$E$14)),0))))</f>
        <v/>
      </c>
      <c r="N181" s="19">
        <f>IF(G181="","",G181-MAX(I181:M181))</f>
        <v/>
      </c>
      <c r="O181" s="20">
        <f>IF(N181="","",IF(OR($D$18="",$H$18="X",N181&lt;N($C$18)),0,IF(B181="G마켓",ROUNDDOWN(MIN(IF($D$18&gt;=1,MIN($D$18,N181),N181*$D$18),IF($E$18="",9E+99,$E$18)),0),ROUNDUP(MIN(IF($D$18&gt;=1,MIN($D$18,N181),N181*$D$18),IF($E$18="",9E+99,$E$18)),0))))</f>
        <v/>
      </c>
      <c r="P181" s="20">
        <f>IF(N181="","",IF(OR($D$19="",$H$19="X",N181&lt;N($C$19)),0,IF(B181="G마켓",ROUNDDOWN(MIN(IF($D$19&gt;=1,MIN($D$19,N181),N181*$D$19),IF($E$19="",9E+99,$E$19)),0),ROUNDUP(MIN(IF($D$19&gt;=1,MIN($D$19,N181),N181*$D$19),IF($E$19="",9E+99,$E$19)),0))))</f>
        <v/>
      </c>
      <c r="Q181" s="20">
        <f>IF(N181="","",IF(OR($D$20="",$H$20="X",N181&lt;N($C$20)),0,IF(B181="G마켓",ROUNDDOWN(MIN(IF($D$20&gt;=1,MIN($D$20,N181),N181*$D$20),IF($E$20="",9E+99,$E$20)),0),ROUNDUP(MIN(IF($D$20&gt;=1,MIN($D$20,N181),N181*$D$20),IF($E$20="",9E+99,$E$20)),0))))</f>
        <v/>
      </c>
      <c r="R181" s="20">
        <f>IF(N181="","",IF(OR($D$21="",$H$21="X",N181&lt;N($C$21)),0,IF(B181="G마켓",ROUNDDOWN(MIN(IF($D$21&gt;=1,MIN($D$21,N181),N181*$D$21),IF($E$21="",9E+99,$E$21)),0),ROUNDUP(MIN(IF($D$21&gt;=1,MIN($D$21,N181),N181*$D$21),IF($E$21="",9E+99,$E$21)),0))))</f>
        <v/>
      </c>
      <c r="S181" s="19">
        <f>IF(G181="","",N181-MAX(O181:R181))</f>
        <v/>
      </c>
      <c r="T181" s="20">
        <f>IF(S181="","",IF(OR($D$25="",S181&lt;N($C$25)),0,IF(B181="G마켓",ROUNDDOWN(MIN(IF($D$25&gt;=1,MIN($D$25,S181),S181*$D$25),IF($E$25="",9E+99,$E$25)),0),ROUNDUP(MIN(IF($D$25&gt;=1,MIN($D$25,S181),S181*$D$25),IF($E$25="",9E+99,$E$25)),0))))</f>
        <v/>
      </c>
      <c r="U181" s="20">
        <f>IF(S181="","",IF(OR($D$26="",S181&lt;N($C$26)),0,IF(B181="G마켓",ROUNDDOWN(MIN(IF($D$26&gt;=1,MIN($D$26,S181),S181*$D$26),IF($E$26="",9E+99,$E$26)),0),ROUNDUP(MIN(IF($D$26&gt;=1,MIN($D$26,S181),S181*$D$26),IF($E$26="",9E+99,$E$26)),0))))</f>
        <v/>
      </c>
      <c r="V181" s="20">
        <f>IF(S181="","",IF(OR($D$27="",S181&lt;N($C$27)),0,IF(B181="G마켓",ROUNDDOWN(MIN(IF($D$27&gt;=1,MIN($D$27,S181),S181*$D$27),IF($E$27="",9E+99,$E$27)),0),ROUNDUP(MIN(IF($D$27&gt;=1,MIN($D$27,S181),S181*$D$27),IF($E$27="",9E+99,$E$27)),0))))</f>
        <v/>
      </c>
      <c r="W181" s="19">
        <f>IF(G181="","",MAX(T181:V181))</f>
        <v/>
      </c>
      <c r="X181" s="21">
        <f>IF(G181="","",S181-W181)</f>
        <v/>
      </c>
      <c r="Y181" s="19">
        <f>IF(G181="","",IF(B181="G마켓",ROUNDDOWN(MAX(I181*N($G$10),J181*N($G$11),K181*N($G$12),L181*N($G$13),M181*N($G$14))+MAX(O181*N($G$18),P181*N($G$19),Q181*N($G$20),R181*N($G$21))+MAX(T181*N($G$25),U181*N($G$26),V181*N($G$27)),0),ROUNDUP(MAX(I181*N($G$10),J181*N($G$11),K181*N($G$12),L181*N($G$13),M181*N($G$14))+MAX(O181*N($G$18),P181*N($G$19),Q181*N($G$20),R181*N($G$21))+MAX(T181*N($G$25),U181*N($G$26),V181*N($G$27)),0)))</f>
        <v/>
      </c>
      <c r="Z181" s="21">
        <f>IF(G181="","",IF(B181="G마켓",ROUNDDOWN(G181-G181*$Q$6-Y181,0),ROUNDUP(G181-G181*$Q$6-Y181,0)))</f>
        <v/>
      </c>
    </row>
    <row r="182">
      <c r="B182" s="7" t="n"/>
      <c r="C182" s="7" t="n"/>
      <c r="D182" s="22" t="n"/>
      <c r="E182" s="23" t="n"/>
      <c r="F182" s="23" t="n"/>
      <c r="G182" s="19">
        <f>IF(E182="","",E182-N(F182))</f>
        <v/>
      </c>
      <c r="I182" s="20">
        <f>IF(G182="","",IF(OR($D$10="",$H$10="X",G182&lt;N($C$10)),0,IF(B182="G마켓",ROUNDDOWN(MIN(IF($D$10&gt;=1,MIN($D$10,G182),G182*$D$10),IF($E$10="",9E+99,$E$10)),0),ROUNDUP(MIN(IF($D$10&gt;=1,MIN($D$10,G182),G182*$D$10),IF($E$10="",9E+99,$E$10)),0))))</f>
        <v/>
      </c>
      <c r="J182" s="20">
        <f>IF(G182="","",IF(OR($D$11="",$H$11="X",G182&lt;N($C$11)),0,IF(B182="G마켓",ROUNDDOWN(MIN(IF($D$11&gt;=1,MIN($D$11,G182),G182*$D$11),IF($E$11="",9E+99,$E$11)),0),ROUNDUP(MIN(IF($D$11&gt;=1,MIN($D$11,G182),G182*$D$11),IF($E$11="",9E+99,$E$11)),0))))</f>
        <v/>
      </c>
      <c r="K182" s="20">
        <f>IF(G182="","",IF(OR($D$12="",$H$12="X",G182&lt;N($C$12)),0,IF(B182="G마켓",ROUNDDOWN(MIN(IF($D$12&gt;=1,MIN($D$12,G182),G182*$D$12),IF($E$12="",9E+99,$E$12)),0),ROUNDUP(MIN(IF($D$12&gt;=1,MIN($D$12,G182),G182*$D$12),IF($E$12="",9E+99,$E$12)),0))))</f>
        <v/>
      </c>
      <c r="L182" s="20">
        <f>IF(G182="","",IF(OR($D$13="",$H$13="X",G182&lt;N($C$13)),0,IF(B182="G마켓",ROUNDDOWN(MIN(IF($D$13&gt;=1,MIN($D$13,G182),G182*$D$13),IF($E$13="",9E+99,$E$13)),0),ROUNDUP(MIN(IF($D$13&gt;=1,MIN($D$13,G182),G182*$D$13),IF($E$13="",9E+99,$E$13)),0))))</f>
        <v/>
      </c>
      <c r="M182" s="20">
        <f>IF(G182="","",IF(OR($D$14="",$H$14="X",G182&lt;N($C$14)),0,IF(B182="G마켓",ROUNDDOWN(MIN(IF($D$14&gt;=1,MIN($D$14,G182),G182*$D$14),IF($E$14="",9E+99,$E$14)),0),ROUNDUP(MIN(IF($D$14&gt;=1,MIN($D$14,G182),G182*$D$14),IF($E$14="",9E+99,$E$14)),0))))</f>
        <v/>
      </c>
      <c r="N182" s="19">
        <f>IF(G182="","",G182-MAX(I182:M182))</f>
        <v/>
      </c>
      <c r="O182" s="20">
        <f>IF(N182="","",IF(OR($D$18="",$H$18="X",N182&lt;N($C$18)),0,IF(B182="G마켓",ROUNDDOWN(MIN(IF($D$18&gt;=1,MIN($D$18,N182),N182*$D$18),IF($E$18="",9E+99,$E$18)),0),ROUNDUP(MIN(IF($D$18&gt;=1,MIN($D$18,N182),N182*$D$18),IF($E$18="",9E+99,$E$18)),0))))</f>
        <v/>
      </c>
      <c r="P182" s="20">
        <f>IF(N182="","",IF(OR($D$19="",$H$19="X",N182&lt;N($C$19)),0,IF(B182="G마켓",ROUNDDOWN(MIN(IF($D$19&gt;=1,MIN($D$19,N182),N182*$D$19),IF($E$19="",9E+99,$E$19)),0),ROUNDUP(MIN(IF($D$19&gt;=1,MIN($D$19,N182),N182*$D$19),IF($E$19="",9E+99,$E$19)),0))))</f>
        <v/>
      </c>
      <c r="Q182" s="20">
        <f>IF(N182="","",IF(OR($D$20="",$H$20="X",N182&lt;N($C$20)),0,IF(B182="G마켓",ROUNDDOWN(MIN(IF($D$20&gt;=1,MIN($D$20,N182),N182*$D$20),IF($E$20="",9E+99,$E$20)),0),ROUNDUP(MIN(IF($D$20&gt;=1,MIN($D$20,N182),N182*$D$20),IF($E$20="",9E+99,$E$20)),0))))</f>
        <v/>
      </c>
      <c r="R182" s="20">
        <f>IF(N182="","",IF(OR($D$21="",$H$21="X",N182&lt;N($C$21)),0,IF(B182="G마켓",ROUNDDOWN(MIN(IF($D$21&gt;=1,MIN($D$21,N182),N182*$D$21),IF($E$21="",9E+99,$E$21)),0),ROUNDUP(MIN(IF($D$21&gt;=1,MIN($D$21,N182),N182*$D$21),IF($E$21="",9E+99,$E$21)),0))))</f>
        <v/>
      </c>
      <c r="S182" s="19">
        <f>IF(G182="","",N182-MAX(O182:R182))</f>
        <v/>
      </c>
      <c r="T182" s="20">
        <f>IF(S182="","",IF(OR($D$25="",S182&lt;N($C$25)),0,IF(B182="G마켓",ROUNDDOWN(MIN(IF($D$25&gt;=1,MIN($D$25,S182),S182*$D$25),IF($E$25="",9E+99,$E$25)),0),ROUNDUP(MIN(IF($D$25&gt;=1,MIN($D$25,S182),S182*$D$25),IF($E$25="",9E+99,$E$25)),0))))</f>
        <v/>
      </c>
      <c r="U182" s="20">
        <f>IF(S182="","",IF(OR($D$26="",S182&lt;N($C$26)),0,IF(B182="G마켓",ROUNDDOWN(MIN(IF($D$26&gt;=1,MIN($D$26,S182),S182*$D$26),IF($E$26="",9E+99,$E$26)),0),ROUNDUP(MIN(IF($D$26&gt;=1,MIN($D$26,S182),S182*$D$26),IF($E$26="",9E+99,$E$26)),0))))</f>
        <v/>
      </c>
      <c r="V182" s="20">
        <f>IF(S182="","",IF(OR($D$27="",S182&lt;N($C$27)),0,IF(B182="G마켓",ROUNDDOWN(MIN(IF($D$27&gt;=1,MIN($D$27,S182),S182*$D$27),IF($E$27="",9E+99,$E$27)),0),ROUNDUP(MIN(IF($D$27&gt;=1,MIN($D$27,S182),S182*$D$27),IF($E$27="",9E+99,$E$27)),0))))</f>
        <v/>
      </c>
      <c r="W182" s="19">
        <f>IF(G182="","",MAX(T182:V182))</f>
        <v/>
      </c>
      <c r="X182" s="21">
        <f>IF(G182="","",S182-W182)</f>
        <v/>
      </c>
      <c r="Y182" s="19">
        <f>IF(G182="","",IF(B182="G마켓",ROUNDDOWN(MAX(I182*N($G$10),J182*N($G$11),K182*N($G$12),L182*N($G$13),M182*N($G$14))+MAX(O182*N($G$18),P182*N($G$19),Q182*N($G$20),R182*N($G$21))+MAX(T182*N($G$25),U182*N($G$26),V182*N($G$27)),0),ROUNDUP(MAX(I182*N($G$10),J182*N($G$11),K182*N($G$12),L182*N($G$13),M182*N($G$14))+MAX(O182*N($G$18),P182*N($G$19),Q182*N($G$20),R182*N($G$21))+MAX(T182*N($G$25),U182*N($G$26),V182*N($G$27)),0)))</f>
        <v/>
      </c>
      <c r="Z182" s="21">
        <f>IF(G182="","",IF(B182="G마켓",ROUNDDOWN(G182-G182*$Q$6-Y182,0),ROUNDUP(G182-G182*$Q$6-Y182,0)))</f>
        <v/>
      </c>
    </row>
    <row r="183">
      <c r="B183" s="7" t="n"/>
      <c r="C183" s="7" t="n"/>
      <c r="D183" s="22" t="n"/>
      <c r="E183" s="23" t="n"/>
      <c r="F183" s="23" t="n"/>
      <c r="G183" s="19">
        <f>IF(E183="","",E183-N(F183))</f>
        <v/>
      </c>
      <c r="I183" s="20">
        <f>IF(G183="","",IF(OR($D$10="",$H$10="X",G183&lt;N($C$10)),0,IF(B183="G마켓",ROUNDDOWN(MIN(IF($D$10&gt;=1,MIN($D$10,G183),G183*$D$10),IF($E$10="",9E+99,$E$10)),0),ROUNDUP(MIN(IF($D$10&gt;=1,MIN($D$10,G183),G183*$D$10),IF($E$10="",9E+99,$E$10)),0))))</f>
        <v/>
      </c>
      <c r="J183" s="20">
        <f>IF(G183="","",IF(OR($D$11="",$H$11="X",G183&lt;N($C$11)),0,IF(B183="G마켓",ROUNDDOWN(MIN(IF($D$11&gt;=1,MIN($D$11,G183),G183*$D$11),IF($E$11="",9E+99,$E$11)),0),ROUNDUP(MIN(IF($D$11&gt;=1,MIN($D$11,G183),G183*$D$11),IF($E$11="",9E+99,$E$11)),0))))</f>
        <v/>
      </c>
      <c r="K183" s="20">
        <f>IF(G183="","",IF(OR($D$12="",$H$12="X",G183&lt;N($C$12)),0,IF(B183="G마켓",ROUNDDOWN(MIN(IF($D$12&gt;=1,MIN($D$12,G183),G183*$D$12),IF($E$12="",9E+99,$E$12)),0),ROUNDUP(MIN(IF($D$12&gt;=1,MIN($D$12,G183),G183*$D$12),IF($E$12="",9E+99,$E$12)),0))))</f>
        <v/>
      </c>
      <c r="L183" s="20">
        <f>IF(G183="","",IF(OR($D$13="",$H$13="X",G183&lt;N($C$13)),0,IF(B183="G마켓",ROUNDDOWN(MIN(IF($D$13&gt;=1,MIN($D$13,G183),G183*$D$13),IF($E$13="",9E+99,$E$13)),0),ROUNDUP(MIN(IF($D$13&gt;=1,MIN($D$13,G183),G183*$D$13),IF($E$13="",9E+99,$E$13)),0))))</f>
        <v/>
      </c>
      <c r="M183" s="20">
        <f>IF(G183="","",IF(OR($D$14="",$H$14="X",G183&lt;N($C$14)),0,IF(B183="G마켓",ROUNDDOWN(MIN(IF($D$14&gt;=1,MIN($D$14,G183),G183*$D$14),IF($E$14="",9E+99,$E$14)),0),ROUNDUP(MIN(IF($D$14&gt;=1,MIN($D$14,G183),G183*$D$14),IF($E$14="",9E+99,$E$14)),0))))</f>
        <v/>
      </c>
      <c r="N183" s="19">
        <f>IF(G183="","",G183-MAX(I183:M183))</f>
        <v/>
      </c>
      <c r="O183" s="20">
        <f>IF(N183="","",IF(OR($D$18="",$H$18="X",N183&lt;N($C$18)),0,IF(B183="G마켓",ROUNDDOWN(MIN(IF($D$18&gt;=1,MIN($D$18,N183),N183*$D$18),IF($E$18="",9E+99,$E$18)),0),ROUNDUP(MIN(IF($D$18&gt;=1,MIN($D$18,N183),N183*$D$18),IF($E$18="",9E+99,$E$18)),0))))</f>
        <v/>
      </c>
      <c r="P183" s="20">
        <f>IF(N183="","",IF(OR($D$19="",$H$19="X",N183&lt;N($C$19)),0,IF(B183="G마켓",ROUNDDOWN(MIN(IF($D$19&gt;=1,MIN($D$19,N183),N183*$D$19),IF($E$19="",9E+99,$E$19)),0),ROUNDUP(MIN(IF($D$19&gt;=1,MIN($D$19,N183),N183*$D$19),IF($E$19="",9E+99,$E$19)),0))))</f>
        <v/>
      </c>
      <c r="Q183" s="20">
        <f>IF(N183="","",IF(OR($D$20="",$H$20="X",N183&lt;N($C$20)),0,IF(B183="G마켓",ROUNDDOWN(MIN(IF($D$20&gt;=1,MIN($D$20,N183),N183*$D$20),IF($E$20="",9E+99,$E$20)),0),ROUNDUP(MIN(IF($D$20&gt;=1,MIN($D$20,N183),N183*$D$20),IF($E$20="",9E+99,$E$20)),0))))</f>
        <v/>
      </c>
      <c r="R183" s="20">
        <f>IF(N183="","",IF(OR($D$21="",$H$21="X",N183&lt;N($C$21)),0,IF(B183="G마켓",ROUNDDOWN(MIN(IF($D$21&gt;=1,MIN($D$21,N183),N183*$D$21),IF($E$21="",9E+99,$E$21)),0),ROUNDUP(MIN(IF($D$21&gt;=1,MIN($D$21,N183),N183*$D$21),IF($E$21="",9E+99,$E$21)),0))))</f>
        <v/>
      </c>
      <c r="S183" s="19">
        <f>IF(G183="","",N183-MAX(O183:R183))</f>
        <v/>
      </c>
      <c r="T183" s="20">
        <f>IF(S183="","",IF(OR($D$25="",S183&lt;N($C$25)),0,IF(B183="G마켓",ROUNDDOWN(MIN(IF($D$25&gt;=1,MIN($D$25,S183),S183*$D$25),IF($E$25="",9E+99,$E$25)),0),ROUNDUP(MIN(IF($D$25&gt;=1,MIN($D$25,S183),S183*$D$25),IF($E$25="",9E+99,$E$25)),0))))</f>
        <v/>
      </c>
      <c r="U183" s="20">
        <f>IF(S183="","",IF(OR($D$26="",S183&lt;N($C$26)),0,IF(B183="G마켓",ROUNDDOWN(MIN(IF($D$26&gt;=1,MIN($D$26,S183),S183*$D$26),IF($E$26="",9E+99,$E$26)),0),ROUNDUP(MIN(IF($D$26&gt;=1,MIN($D$26,S183),S183*$D$26),IF($E$26="",9E+99,$E$26)),0))))</f>
        <v/>
      </c>
      <c r="V183" s="20">
        <f>IF(S183="","",IF(OR($D$27="",S183&lt;N($C$27)),0,IF(B183="G마켓",ROUNDDOWN(MIN(IF($D$27&gt;=1,MIN($D$27,S183),S183*$D$27),IF($E$27="",9E+99,$E$27)),0),ROUNDUP(MIN(IF($D$27&gt;=1,MIN($D$27,S183),S183*$D$27),IF($E$27="",9E+99,$E$27)),0))))</f>
        <v/>
      </c>
      <c r="W183" s="19">
        <f>IF(G183="","",MAX(T183:V183))</f>
        <v/>
      </c>
      <c r="X183" s="21">
        <f>IF(G183="","",S183-W183)</f>
        <v/>
      </c>
      <c r="Y183" s="19">
        <f>IF(G183="","",IF(B183="G마켓",ROUNDDOWN(MAX(I183*N($G$10),J183*N($G$11),K183*N($G$12),L183*N($G$13),M183*N($G$14))+MAX(O183*N($G$18),P183*N($G$19),Q183*N($G$20),R183*N($G$21))+MAX(T183*N($G$25),U183*N($G$26),V183*N($G$27)),0),ROUNDUP(MAX(I183*N($G$10),J183*N($G$11),K183*N($G$12),L183*N($G$13),M183*N($G$14))+MAX(O183*N($G$18),P183*N($G$19),Q183*N($G$20),R183*N($G$21))+MAX(T183*N($G$25),U183*N($G$26),V183*N($G$27)),0)))</f>
        <v/>
      </c>
      <c r="Z183" s="21">
        <f>IF(G183="","",IF(B183="G마켓",ROUNDDOWN(G183-G183*$Q$6-Y183,0),ROUNDUP(G183-G183*$Q$6-Y183,0)))</f>
        <v/>
      </c>
    </row>
    <row r="184">
      <c r="B184" s="7" t="n"/>
      <c r="C184" s="7" t="n"/>
      <c r="D184" s="22" t="n"/>
      <c r="E184" s="23" t="n"/>
      <c r="F184" s="23" t="n"/>
      <c r="G184" s="19">
        <f>IF(E184="","",E184-N(F184))</f>
        <v/>
      </c>
      <c r="I184" s="20">
        <f>IF(G184="","",IF(OR($D$10="",$H$10="X",G184&lt;N($C$10)),0,IF(B184="G마켓",ROUNDDOWN(MIN(IF($D$10&gt;=1,MIN($D$10,G184),G184*$D$10),IF($E$10="",9E+99,$E$10)),0),ROUNDUP(MIN(IF($D$10&gt;=1,MIN($D$10,G184),G184*$D$10),IF($E$10="",9E+99,$E$10)),0))))</f>
        <v/>
      </c>
      <c r="J184" s="20">
        <f>IF(G184="","",IF(OR($D$11="",$H$11="X",G184&lt;N($C$11)),0,IF(B184="G마켓",ROUNDDOWN(MIN(IF($D$11&gt;=1,MIN($D$11,G184),G184*$D$11),IF($E$11="",9E+99,$E$11)),0),ROUNDUP(MIN(IF($D$11&gt;=1,MIN($D$11,G184),G184*$D$11),IF($E$11="",9E+99,$E$11)),0))))</f>
        <v/>
      </c>
      <c r="K184" s="20">
        <f>IF(G184="","",IF(OR($D$12="",$H$12="X",G184&lt;N($C$12)),0,IF(B184="G마켓",ROUNDDOWN(MIN(IF($D$12&gt;=1,MIN($D$12,G184),G184*$D$12),IF($E$12="",9E+99,$E$12)),0),ROUNDUP(MIN(IF($D$12&gt;=1,MIN($D$12,G184),G184*$D$12),IF($E$12="",9E+99,$E$12)),0))))</f>
        <v/>
      </c>
      <c r="L184" s="20">
        <f>IF(G184="","",IF(OR($D$13="",$H$13="X",G184&lt;N($C$13)),0,IF(B184="G마켓",ROUNDDOWN(MIN(IF($D$13&gt;=1,MIN($D$13,G184),G184*$D$13),IF($E$13="",9E+99,$E$13)),0),ROUNDUP(MIN(IF($D$13&gt;=1,MIN($D$13,G184),G184*$D$13),IF($E$13="",9E+99,$E$13)),0))))</f>
        <v/>
      </c>
      <c r="M184" s="20">
        <f>IF(G184="","",IF(OR($D$14="",$H$14="X",G184&lt;N($C$14)),0,IF(B184="G마켓",ROUNDDOWN(MIN(IF($D$14&gt;=1,MIN($D$14,G184),G184*$D$14),IF($E$14="",9E+99,$E$14)),0),ROUNDUP(MIN(IF($D$14&gt;=1,MIN($D$14,G184),G184*$D$14),IF($E$14="",9E+99,$E$14)),0))))</f>
        <v/>
      </c>
      <c r="N184" s="19">
        <f>IF(G184="","",G184-MAX(I184:M184))</f>
        <v/>
      </c>
      <c r="O184" s="20">
        <f>IF(N184="","",IF(OR($D$18="",$H$18="X",N184&lt;N($C$18)),0,IF(B184="G마켓",ROUNDDOWN(MIN(IF($D$18&gt;=1,MIN($D$18,N184),N184*$D$18),IF($E$18="",9E+99,$E$18)),0),ROUNDUP(MIN(IF($D$18&gt;=1,MIN($D$18,N184),N184*$D$18),IF($E$18="",9E+99,$E$18)),0))))</f>
        <v/>
      </c>
      <c r="P184" s="20">
        <f>IF(N184="","",IF(OR($D$19="",$H$19="X",N184&lt;N($C$19)),0,IF(B184="G마켓",ROUNDDOWN(MIN(IF($D$19&gt;=1,MIN($D$19,N184),N184*$D$19),IF($E$19="",9E+99,$E$19)),0),ROUNDUP(MIN(IF($D$19&gt;=1,MIN($D$19,N184),N184*$D$19),IF($E$19="",9E+99,$E$19)),0))))</f>
        <v/>
      </c>
      <c r="Q184" s="20">
        <f>IF(N184="","",IF(OR($D$20="",$H$20="X",N184&lt;N($C$20)),0,IF(B184="G마켓",ROUNDDOWN(MIN(IF($D$20&gt;=1,MIN($D$20,N184),N184*$D$20),IF($E$20="",9E+99,$E$20)),0),ROUNDUP(MIN(IF($D$20&gt;=1,MIN($D$20,N184),N184*$D$20),IF($E$20="",9E+99,$E$20)),0))))</f>
        <v/>
      </c>
      <c r="R184" s="20">
        <f>IF(N184="","",IF(OR($D$21="",$H$21="X",N184&lt;N($C$21)),0,IF(B184="G마켓",ROUNDDOWN(MIN(IF($D$21&gt;=1,MIN($D$21,N184),N184*$D$21),IF($E$21="",9E+99,$E$21)),0),ROUNDUP(MIN(IF($D$21&gt;=1,MIN($D$21,N184),N184*$D$21),IF($E$21="",9E+99,$E$21)),0))))</f>
        <v/>
      </c>
      <c r="S184" s="19">
        <f>IF(G184="","",N184-MAX(O184:R184))</f>
        <v/>
      </c>
      <c r="T184" s="20">
        <f>IF(S184="","",IF(OR($D$25="",S184&lt;N($C$25)),0,IF(B184="G마켓",ROUNDDOWN(MIN(IF($D$25&gt;=1,MIN($D$25,S184),S184*$D$25),IF($E$25="",9E+99,$E$25)),0),ROUNDUP(MIN(IF($D$25&gt;=1,MIN($D$25,S184),S184*$D$25),IF($E$25="",9E+99,$E$25)),0))))</f>
        <v/>
      </c>
      <c r="U184" s="20">
        <f>IF(S184="","",IF(OR($D$26="",S184&lt;N($C$26)),0,IF(B184="G마켓",ROUNDDOWN(MIN(IF($D$26&gt;=1,MIN($D$26,S184),S184*$D$26),IF($E$26="",9E+99,$E$26)),0),ROUNDUP(MIN(IF($D$26&gt;=1,MIN($D$26,S184),S184*$D$26),IF($E$26="",9E+99,$E$26)),0))))</f>
        <v/>
      </c>
      <c r="V184" s="20">
        <f>IF(S184="","",IF(OR($D$27="",S184&lt;N($C$27)),0,IF(B184="G마켓",ROUNDDOWN(MIN(IF($D$27&gt;=1,MIN($D$27,S184),S184*$D$27),IF($E$27="",9E+99,$E$27)),0),ROUNDUP(MIN(IF($D$27&gt;=1,MIN($D$27,S184),S184*$D$27),IF($E$27="",9E+99,$E$27)),0))))</f>
        <v/>
      </c>
      <c r="W184" s="19">
        <f>IF(G184="","",MAX(T184:V184))</f>
        <v/>
      </c>
      <c r="X184" s="21">
        <f>IF(G184="","",S184-W184)</f>
        <v/>
      </c>
      <c r="Y184" s="19">
        <f>IF(G184="","",IF(B184="G마켓",ROUNDDOWN(MAX(I184*N($G$10),J184*N($G$11),K184*N($G$12),L184*N($G$13),M184*N($G$14))+MAX(O184*N($G$18),P184*N($G$19),Q184*N($G$20),R184*N($G$21))+MAX(T184*N($G$25),U184*N($G$26),V184*N($G$27)),0),ROUNDUP(MAX(I184*N($G$10),J184*N($G$11),K184*N($G$12),L184*N($G$13),M184*N($G$14))+MAX(O184*N($G$18),P184*N($G$19),Q184*N($G$20),R184*N($G$21))+MAX(T184*N($G$25),U184*N($G$26),V184*N($G$27)),0)))</f>
        <v/>
      </c>
      <c r="Z184" s="21">
        <f>IF(G184="","",IF(B184="G마켓",ROUNDDOWN(G184-G184*$Q$6-Y184,0),ROUNDUP(G184-G184*$Q$6-Y184,0)))</f>
        <v/>
      </c>
    </row>
    <row r="185">
      <c r="B185" s="7" t="n"/>
      <c r="C185" s="7" t="n"/>
      <c r="D185" s="22" t="n"/>
      <c r="E185" s="23" t="n"/>
      <c r="F185" s="23" t="n"/>
      <c r="G185" s="19">
        <f>IF(E185="","",E185-N(F185))</f>
        <v/>
      </c>
      <c r="I185" s="20">
        <f>IF(G185="","",IF(OR($D$10="",$H$10="X",G185&lt;N($C$10)),0,IF(B185="G마켓",ROUNDDOWN(MIN(IF($D$10&gt;=1,MIN($D$10,G185),G185*$D$10),IF($E$10="",9E+99,$E$10)),0),ROUNDUP(MIN(IF($D$10&gt;=1,MIN($D$10,G185),G185*$D$10),IF($E$10="",9E+99,$E$10)),0))))</f>
        <v/>
      </c>
      <c r="J185" s="20">
        <f>IF(G185="","",IF(OR($D$11="",$H$11="X",G185&lt;N($C$11)),0,IF(B185="G마켓",ROUNDDOWN(MIN(IF($D$11&gt;=1,MIN($D$11,G185),G185*$D$11),IF($E$11="",9E+99,$E$11)),0),ROUNDUP(MIN(IF($D$11&gt;=1,MIN($D$11,G185),G185*$D$11),IF($E$11="",9E+99,$E$11)),0))))</f>
        <v/>
      </c>
      <c r="K185" s="20">
        <f>IF(G185="","",IF(OR($D$12="",$H$12="X",G185&lt;N($C$12)),0,IF(B185="G마켓",ROUNDDOWN(MIN(IF($D$12&gt;=1,MIN($D$12,G185),G185*$D$12),IF($E$12="",9E+99,$E$12)),0),ROUNDUP(MIN(IF($D$12&gt;=1,MIN($D$12,G185),G185*$D$12),IF($E$12="",9E+99,$E$12)),0))))</f>
        <v/>
      </c>
      <c r="L185" s="20">
        <f>IF(G185="","",IF(OR($D$13="",$H$13="X",G185&lt;N($C$13)),0,IF(B185="G마켓",ROUNDDOWN(MIN(IF($D$13&gt;=1,MIN($D$13,G185),G185*$D$13),IF($E$13="",9E+99,$E$13)),0),ROUNDUP(MIN(IF($D$13&gt;=1,MIN($D$13,G185),G185*$D$13),IF($E$13="",9E+99,$E$13)),0))))</f>
        <v/>
      </c>
      <c r="M185" s="20">
        <f>IF(G185="","",IF(OR($D$14="",$H$14="X",G185&lt;N($C$14)),0,IF(B185="G마켓",ROUNDDOWN(MIN(IF($D$14&gt;=1,MIN($D$14,G185),G185*$D$14),IF($E$14="",9E+99,$E$14)),0),ROUNDUP(MIN(IF($D$14&gt;=1,MIN($D$14,G185),G185*$D$14),IF($E$14="",9E+99,$E$14)),0))))</f>
        <v/>
      </c>
      <c r="N185" s="19">
        <f>IF(G185="","",G185-MAX(I185:M185))</f>
        <v/>
      </c>
      <c r="O185" s="20">
        <f>IF(N185="","",IF(OR($D$18="",$H$18="X",N185&lt;N($C$18)),0,IF(B185="G마켓",ROUNDDOWN(MIN(IF($D$18&gt;=1,MIN($D$18,N185),N185*$D$18),IF($E$18="",9E+99,$E$18)),0),ROUNDUP(MIN(IF($D$18&gt;=1,MIN($D$18,N185),N185*$D$18),IF($E$18="",9E+99,$E$18)),0))))</f>
        <v/>
      </c>
      <c r="P185" s="20">
        <f>IF(N185="","",IF(OR($D$19="",$H$19="X",N185&lt;N($C$19)),0,IF(B185="G마켓",ROUNDDOWN(MIN(IF($D$19&gt;=1,MIN($D$19,N185),N185*$D$19),IF($E$19="",9E+99,$E$19)),0),ROUNDUP(MIN(IF($D$19&gt;=1,MIN($D$19,N185),N185*$D$19),IF($E$19="",9E+99,$E$19)),0))))</f>
        <v/>
      </c>
      <c r="Q185" s="20">
        <f>IF(N185="","",IF(OR($D$20="",$H$20="X",N185&lt;N($C$20)),0,IF(B185="G마켓",ROUNDDOWN(MIN(IF($D$20&gt;=1,MIN($D$20,N185),N185*$D$20),IF($E$20="",9E+99,$E$20)),0),ROUNDUP(MIN(IF($D$20&gt;=1,MIN($D$20,N185),N185*$D$20),IF($E$20="",9E+99,$E$20)),0))))</f>
        <v/>
      </c>
      <c r="R185" s="20">
        <f>IF(N185="","",IF(OR($D$21="",$H$21="X",N185&lt;N($C$21)),0,IF(B185="G마켓",ROUNDDOWN(MIN(IF($D$21&gt;=1,MIN($D$21,N185),N185*$D$21),IF($E$21="",9E+99,$E$21)),0),ROUNDUP(MIN(IF($D$21&gt;=1,MIN($D$21,N185),N185*$D$21),IF($E$21="",9E+99,$E$21)),0))))</f>
        <v/>
      </c>
      <c r="S185" s="19">
        <f>IF(G185="","",N185-MAX(O185:R185))</f>
        <v/>
      </c>
      <c r="T185" s="20">
        <f>IF(S185="","",IF(OR($D$25="",S185&lt;N($C$25)),0,IF(B185="G마켓",ROUNDDOWN(MIN(IF($D$25&gt;=1,MIN($D$25,S185),S185*$D$25),IF($E$25="",9E+99,$E$25)),0),ROUNDUP(MIN(IF($D$25&gt;=1,MIN($D$25,S185),S185*$D$25),IF($E$25="",9E+99,$E$25)),0))))</f>
        <v/>
      </c>
      <c r="U185" s="20">
        <f>IF(S185="","",IF(OR($D$26="",S185&lt;N($C$26)),0,IF(B185="G마켓",ROUNDDOWN(MIN(IF($D$26&gt;=1,MIN($D$26,S185),S185*$D$26),IF($E$26="",9E+99,$E$26)),0),ROUNDUP(MIN(IF($D$26&gt;=1,MIN($D$26,S185),S185*$D$26),IF($E$26="",9E+99,$E$26)),0))))</f>
        <v/>
      </c>
      <c r="V185" s="20">
        <f>IF(S185="","",IF(OR($D$27="",S185&lt;N($C$27)),0,IF(B185="G마켓",ROUNDDOWN(MIN(IF($D$27&gt;=1,MIN($D$27,S185),S185*$D$27),IF($E$27="",9E+99,$E$27)),0),ROUNDUP(MIN(IF($D$27&gt;=1,MIN($D$27,S185),S185*$D$27),IF($E$27="",9E+99,$E$27)),0))))</f>
        <v/>
      </c>
      <c r="W185" s="19">
        <f>IF(G185="","",MAX(T185:V185))</f>
        <v/>
      </c>
      <c r="X185" s="21">
        <f>IF(G185="","",S185-W185)</f>
        <v/>
      </c>
      <c r="Y185" s="19">
        <f>IF(G185="","",IF(B185="G마켓",ROUNDDOWN(MAX(I185*N($G$10),J185*N($G$11),K185*N($G$12),L185*N($G$13),M185*N($G$14))+MAX(O185*N($G$18),P185*N($G$19),Q185*N($G$20),R185*N($G$21))+MAX(T185*N($G$25),U185*N($G$26),V185*N($G$27)),0),ROUNDUP(MAX(I185*N($G$10),J185*N($G$11),K185*N($G$12),L185*N($G$13),M185*N($G$14))+MAX(O185*N($G$18),P185*N($G$19),Q185*N($G$20),R185*N($G$21))+MAX(T185*N($G$25),U185*N($G$26),V185*N($G$27)),0)))</f>
        <v/>
      </c>
      <c r="Z185" s="21">
        <f>IF(G185="","",IF(B185="G마켓",ROUNDDOWN(G185-G185*$Q$6-Y185,0),ROUNDUP(G185-G185*$Q$6-Y185,0)))</f>
        <v/>
      </c>
    </row>
    <row r="186">
      <c r="B186" s="7" t="n"/>
      <c r="C186" s="7" t="n"/>
      <c r="D186" s="22" t="n"/>
      <c r="E186" s="23" t="n"/>
      <c r="F186" s="23" t="n"/>
      <c r="G186" s="19">
        <f>IF(E186="","",E186-N(F186))</f>
        <v/>
      </c>
      <c r="I186" s="20">
        <f>IF(G186="","",IF(OR($D$10="",$H$10="X",G186&lt;N($C$10)),0,IF(B186="G마켓",ROUNDDOWN(MIN(IF($D$10&gt;=1,MIN($D$10,G186),G186*$D$10),IF($E$10="",9E+99,$E$10)),0),ROUNDUP(MIN(IF($D$10&gt;=1,MIN($D$10,G186),G186*$D$10),IF($E$10="",9E+99,$E$10)),0))))</f>
        <v/>
      </c>
      <c r="J186" s="20">
        <f>IF(G186="","",IF(OR($D$11="",$H$11="X",G186&lt;N($C$11)),0,IF(B186="G마켓",ROUNDDOWN(MIN(IF($D$11&gt;=1,MIN($D$11,G186),G186*$D$11),IF($E$11="",9E+99,$E$11)),0),ROUNDUP(MIN(IF($D$11&gt;=1,MIN($D$11,G186),G186*$D$11),IF($E$11="",9E+99,$E$11)),0))))</f>
        <v/>
      </c>
      <c r="K186" s="20">
        <f>IF(G186="","",IF(OR($D$12="",$H$12="X",G186&lt;N($C$12)),0,IF(B186="G마켓",ROUNDDOWN(MIN(IF($D$12&gt;=1,MIN($D$12,G186),G186*$D$12),IF($E$12="",9E+99,$E$12)),0),ROUNDUP(MIN(IF($D$12&gt;=1,MIN($D$12,G186),G186*$D$12),IF($E$12="",9E+99,$E$12)),0))))</f>
        <v/>
      </c>
      <c r="L186" s="20">
        <f>IF(G186="","",IF(OR($D$13="",$H$13="X",G186&lt;N($C$13)),0,IF(B186="G마켓",ROUNDDOWN(MIN(IF($D$13&gt;=1,MIN($D$13,G186),G186*$D$13),IF($E$13="",9E+99,$E$13)),0),ROUNDUP(MIN(IF($D$13&gt;=1,MIN($D$13,G186),G186*$D$13),IF($E$13="",9E+99,$E$13)),0))))</f>
        <v/>
      </c>
      <c r="M186" s="20">
        <f>IF(G186="","",IF(OR($D$14="",$H$14="X",G186&lt;N($C$14)),0,IF(B186="G마켓",ROUNDDOWN(MIN(IF($D$14&gt;=1,MIN($D$14,G186),G186*$D$14),IF($E$14="",9E+99,$E$14)),0),ROUNDUP(MIN(IF($D$14&gt;=1,MIN($D$14,G186),G186*$D$14),IF($E$14="",9E+99,$E$14)),0))))</f>
        <v/>
      </c>
      <c r="N186" s="19">
        <f>IF(G186="","",G186-MAX(I186:M186))</f>
        <v/>
      </c>
      <c r="O186" s="20">
        <f>IF(N186="","",IF(OR($D$18="",$H$18="X",N186&lt;N($C$18)),0,IF(B186="G마켓",ROUNDDOWN(MIN(IF($D$18&gt;=1,MIN($D$18,N186),N186*$D$18),IF($E$18="",9E+99,$E$18)),0),ROUNDUP(MIN(IF($D$18&gt;=1,MIN($D$18,N186),N186*$D$18),IF($E$18="",9E+99,$E$18)),0))))</f>
        <v/>
      </c>
      <c r="P186" s="20">
        <f>IF(N186="","",IF(OR($D$19="",$H$19="X",N186&lt;N($C$19)),0,IF(B186="G마켓",ROUNDDOWN(MIN(IF($D$19&gt;=1,MIN($D$19,N186),N186*$D$19),IF($E$19="",9E+99,$E$19)),0),ROUNDUP(MIN(IF($D$19&gt;=1,MIN($D$19,N186),N186*$D$19),IF($E$19="",9E+99,$E$19)),0))))</f>
        <v/>
      </c>
      <c r="Q186" s="20">
        <f>IF(N186="","",IF(OR($D$20="",$H$20="X",N186&lt;N($C$20)),0,IF(B186="G마켓",ROUNDDOWN(MIN(IF($D$20&gt;=1,MIN($D$20,N186),N186*$D$20),IF($E$20="",9E+99,$E$20)),0),ROUNDUP(MIN(IF($D$20&gt;=1,MIN($D$20,N186),N186*$D$20),IF($E$20="",9E+99,$E$20)),0))))</f>
        <v/>
      </c>
      <c r="R186" s="20">
        <f>IF(N186="","",IF(OR($D$21="",$H$21="X",N186&lt;N($C$21)),0,IF(B186="G마켓",ROUNDDOWN(MIN(IF($D$21&gt;=1,MIN($D$21,N186),N186*$D$21),IF($E$21="",9E+99,$E$21)),0),ROUNDUP(MIN(IF($D$21&gt;=1,MIN($D$21,N186),N186*$D$21),IF($E$21="",9E+99,$E$21)),0))))</f>
        <v/>
      </c>
      <c r="S186" s="19">
        <f>IF(G186="","",N186-MAX(O186:R186))</f>
        <v/>
      </c>
      <c r="T186" s="20">
        <f>IF(S186="","",IF(OR($D$25="",S186&lt;N($C$25)),0,IF(B186="G마켓",ROUNDDOWN(MIN(IF($D$25&gt;=1,MIN($D$25,S186),S186*$D$25),IF($E$25="",9E+99,$E$25)),0),ROUNDUP(MIN(IF($D$25&gt;=1,MIN($D$25,S186),S186*$D$25),IF($E$25="",9E+99,$E$25)),0))))</f>
        <v/>
      </c>
      <c r="U186" s="20">
        <f>IF(S186="","",IF(OR($D$26="",S186&lt;N($C$26)),0,IF(B186="G마켓",ROUNDDOWN(MIN(IF($D$26&gt;=1,MIN($D$26,S186),S186*$D$26),IF($E$26="",9E+99,$E$26)),0),ROUNDUP(MIN(IF($D$26&gt;=1,MIN($D$26,S186),S186*$D$26),IF($E$26="",9E+99,$E$26)),0))))</f>
        <v/>
      </c>
      <c r="V186" s="20">
        <f>IF(S186="","",IF(OR($D$27="",S186&lt;N($C$27)),0,IF(B186="G마켓",ROUNDDOWN(MIN(IF($D$27&gt;=1,MIN($D$27,S186),S186*$D$27),IF($E$27="",9E+99,$E$27)),0),ROUNDUP(MIN(IF($D$27&gt;=1,MIN($D$27,S186),S186*$D$27),IF($E$27="",9E+99,$E$27)),0))))</f>
        <v/>
      </c>
      <c r="W186" s="19">
        <f>IF(G186="","",MAX(T186:V186))</f>
        <v/>
      </c>
      <c r="X186" s="21">
        <f>IF(G186="","",S186-W186)</f>
        <v/>
      </c>
      <c r="Y186" s="19">
        <f>IF(G186="","",IF(B186="G마켓",ROUNDDOWN(MAX(I186*N($G$10),J186*N($G$11),K186*N($G$12),L186*N($G$13),M186*N($G$14))+MAX(O186*N($G$18),P186*N($G$19),Q186*N($G$20),R186*N($G$21))+MAX(T186*N($G$25),U186*N($G$26),V186*N($G$27)),0),ROUNDUP(MAX(I186*N($G$10),J186*N($G$11),K186*N($G$12),L186*N($G$13),M186*N($G$14))+MAX(O186*N($G$18),P186*N($G$19),Q186*N($G$20),R186*N($G$21))+MAX(T186*N($G$25),U186*N($G$26),V186*N($G$27)),0)))</f>
        <v/>
      </c>
      <c r="Z186" s="21">
        <f>IF(G186="","",IF(B186="G마켓",ROUNDDOWN(G186-G186*$Q$6-Y186,0),ROUNDUP(G186-G186*$Q$6-Y186,0)))</f>
        <v/>
      </c>
    </row>
    <row r="187">
      <c r="B187" s="7" t="n"/>
      <c r="C187" s="7" t="n"/>
      <c r="D187" s="22" t="n"/>
      <c r="E187" s="23" t="n"/>
      <c r="F187" s="23" t="n"/>
      <c r="G187" s="19">
        <f>IF(E187="","",E187-N(F187))</f>
        <v/>
      </c>
      <c r="I187" s="20">
        <f>IF(G187="","",IF(OR($D$10="",$H$10="X",G187&lt;N($C$10)),0,IF(B187="G마켓",ROUNDDOWN(MIN(IF($D$10&gt;=1,MIN($D$10,G187),G187*$D$10),IF($E$10="",9E+99,$E$10)),0),ROUNDUP(MIN(IF($D$10&gt;=1,MIN($D$10,G187),G187*$D$10),IF($E$10="",9E+99,$E$10)),0))))</f>
        <v/>
      </c>
      <c r="J187" s="20">
        <f>IF(G187="","",IF(OR($D$11="",$H$11="X",G187&lt;N($C$11)),0,IF(B187="G마켓",ROUNDDOWN(MIN(IF($D$11&gt;=1,MIN($D$11,G187),G187*$D$11),IF($E$11="",9E+99,$E$11)),0),ROUNDUP(MIN(IF($D$11&gt;=1,MIN($D$11,G187),G187*$D$11),IF($E$11="",9E+99,$E$11)),0))))</f>
        <v/>
      </c>
      <c r="K187" s="20">
        <f>IF(G187="","",IF(OR($D$12="",$H$12="X",G187&lt;N($C$12)),0,IF(B187="G마켓",ROUNDDOWN(MIN(IF($D$12&gt;=1,MIN($D$12,G187),G187*$D$12),IF($E$12="",9E+99,$E$12)),0),ROUNDUP(MIN(IF($D$12&gt;=1,MIN($D$12,G187),G187*$D$12),IF($E$12="",9E+99,$E$12)),0))))</f>
        <v/>
      </c>
      <c r="L187" s="20">
        <f>IF(G187="","",IF(OR($D$13="",$H$13="X",G187&lt;N($C$13)),0,IF(B187="G마켓",ROUNDDOWN(MIN(IF($D$13&gt;=1,MIN($D$13,G187),G187*$D$13),IF($E$13="",9E+99,$E$13)),0),ROUNDUP(MIN(IF($D$13&gt;=1,MIN($D$13,G187),G187*$D$13),IF($E$13="",9E+99,$E$13)),0))))</f>
        <v/>
      </c>
      <c r="M187" s="20">
        <f>IF(G187="","",IF(OR($D$14="",$H$14="X",G187&lt;N($C$14)),0,IF(B187="G마켓",ROUNDDOWN(MIN(IF($D$14&gt;=1,MIN($D$14,G187),G187*$D$14),IF($E$14="",9E+99,$E$14)),0),ROUNDUP(MIN(IF($D$14&gt;=1,MIN($D$14,G187),G187*$D$14),IF($E$14="",9E+99,$E$14)),0))))</f>
        <v/>
      </c>
      <c r="N187" s="19">
        <f>IF(G187="","",G187-MAX(I187:M187))</f>
        <v/>
      </c>
      <c r="O187" s="20">
        <f>IF(N187="","",IF(OR($D$18="",$H$18="X",N187&lt;N($C$18)),0,IF(B187="G마켓",ROUNDDOWN(MIN(IF($D$18&gt;=1,MIN($D$18,N187),N187*$D$18),IF($E$18="",9E+99,$E$18)),0),ROUNDUP(MIN(IF($D$18&gt;=1,MIN($D$18,N187),N187*$D$18),IF($E$18="",9E+99,$E$18)),0))))</f>
        <v/>
      </c>
      <c r="P187" s="20">
        <f>IF(N187="","",IF(OR($D$19="",$H$19="X",N187&lt;N($C$19)),0,IF(B187="G마켓",ROUNDDOWN(MIN(IF($D$19&gt;=1,MIN($D$19,N187),N187*$D$19),IF($E$19="",9E+99,$E$19)),0),ROUNDUP(MIN(IF($D$19&gt;=1,MIN($D$19,N187),N187*$D$19),IF($E$19="",9E+99,$E$19)),0))))</f>
        <v/>
      </c>
      <c r="Q187" s="20">
        <f>IF(N187="","",IF(OR($D$20="",$H$20="X",N187&lt;N($C$20)),0,IF(B187="G마켓",ROUNDDOWN(MIN(IF($D$20&gt;=1,MIN($D$20,N187),N187*$D$20),IF($E$20="",9E+99,$E$20)),0),ROUNDUP(MIN(IF($D$20&gt;=1,MIN($D$20,N187),N187*$D$20),IF($E$20="",9E+99,$E$20)),0))))</f>
        <v/>
      </c>
      <c r="R187" s="20">
        <f>IF(N187="","",IF(OR($D$21="",$H$21="X",N187&lt;N($C$21)),0,IF(B187="G마켓",ROUNDDOWN(MIN(IF($D$21&gt;=1,MIN($D$21,N187),N187*$D$21),IF($E$21="",9E+99,$E$21)),0),ROUNDUP(MIN(IF($D$21&gt;=1,MIN($D$21,N187),N187*$D$21),IF($E$21="",9E+99,$E$21)),0))))</f>
        <v/>
      </c>
      <c r="S187" s="19">
        <f>IF(G187="","",N187-MAX(O187:R187))</f>
        <v/>
      </c>
      <c r="T187" s="20">
        <f>IF(S187="","",IF(OR($D$25="",S187&lt;N($C$25)),0,IF(B187="G마켓",ROUNDDOWN(MIN(IF($D$25&gt;=1,MIN($D$25,S187),S187*$D$25),IF($E$25="",9E+99,$E$25)),0),ROUNDUP(MIN(IF($D$25&gt;=1,MIN($D$25,S187),S187*$D$25),IF($E$25="",9E+99,$E$25)),0))))</f>
        <v/>
      </c>
      <c r="U187" s="20">
        <f>IF(S187="","",IF(OR($D$26="",S187&lt;N($C$26)),0,IF(B187="G마켓",ROUNDDOWN(MIN(IF($D$26&gt;=1,MIN($D$26,S187),S187*$D$26),IF($E$26="",9E+99,$E$26)),0),ROUNDUP(MIN(IF($D$26&gt;=1,MIN($D$26,S187),S187*$D$26),IF($E$26="",9E+99,$E$26)),0))))</f>
        <v/>
      </c>
      <c r="V187" s="20">
        <f>IF(S187="","",IF(OR($D$27="",S187&lt;N($C$27)),0,IF(B187="G마켓",ROUNDDOWN(MIN(IF($D$27&gt;=1,MIN($D$27,S187),S187*$D$27),IF($E$27="",9E+99,$E$27)),0),ROUNDUP(MIN(IF($D$27&gt;=1,MIN($D$27,S187),S187*$D$27),IF($E$27="",9E+99,$E$27)),0))))</f>
        <v/>
      </c>
      <c r="W187" s="19">
        <f>IF(G187="","",MAX(T187:V187))</f>
        <v/>
      </c>
      <c r="X187" s="21">
        <f>IF(G187="","",S187-W187)</f>
        <v/>
      </c>
      <c r="Y187" s="19">
        <f>IF(G187="","",IF(B187="G마켓",ROUNDDOWN(MAX(I187*N($G$10),J187*N($G$11),K187*N($G$12),L187*N($G$13),M187*N($G$14))+MAX(O187*N($G$18),P187*N($G$19),Q187*N($G$20),R187*N($G$21))+MAX(T187*N($G$25),U187*N($G$26),V187*N($G$27)),0),ROUNDUP(MAX(I187*N($G$10),J187*N($G$11),K187*N($G$12),L187*N($G$13),M187*N($G$14))+MAX(O187*N($G$18),P187*N($G$19),Q187*N($G$20),R187*N($G$21))+MAX(T187*N($G$25),U187*N($G$26),V187*N($G$27)),0)))</f>
        <v/>
      </c>
      <c r="Z187" s="21">
        <f>IF(G187="","",IF(B187="G마켓",ROUNDDOWN(G187-G187*$Q$6-Y187,0),ROUNDUP(G187-G187*$Q$6-Y187,0)))</f>
        <v/>
      </c>
    </row>
    <row r="188">
      <c r="B188" s="7" t="n"/>
      <c r="C188" s="7" t="n"/>
      <c r="D188" s="22" t="n"/>
      <c r="E188" s="23" t="n"/>
      <c r="F188" s="23" t="n"/>
      <c r="G188" s="19">
        <f>IF(E188="","",E188-N(F188))</f>
        <v/>
      </c>
      <c r="I188" s="20">
        <f>IF(G188="","",IF(OR($D$10="",$H$10="X",G188&lt;N($C$10)),0,IF(B188="G마켓",ROUNDDOWN(MIN(IF($D$10&gt;=1,MIN($D$10,G188),G188*$D$10),IF($E$10="",9E+99,$E$10)),0),ROUNDUP(MIN(IF($D$10&gt;=1,MIN($D$10,G188),G188*$D$10),IF($E$10="",9E+99,$E$10)),0))))</f>
        <v/>
      </c>
      <c r="J188" s="20">
        <f>IF(G188="","",IF(OR($D$11="",$H$11="X",G188&lt;N($C$11)),0,IF(B188="G마켓",ROUNDDOWN(MIN(IF($D$11&gt;=1,MIN($D$11,G188),G188*$D$11),IF($E$11="",9E+99,$E$11)),0),ROUNDUP(MIN(IF($D$11&gt;=1,MIN($D$11,G188),G188*$D$11),IF($E$11="",9E+99,$E$11)),0))))</f>
        <v/>
      </c>
      <c r="K188" s="20">
        <f>IF(G188="","",IF(OR($D$12="",$H$12="X",G188&lt;N($C$12)),0,IF(B188="G마켓",ROUNDDOWN(MIN(IF($D$12&gt;=1,MIN($D$12,G188),G188*$D$12),IF($E$12="",9E+99,$E$12)),0),ROUNDUP(MIN(IF($D$12&gt;=1,MIN($D$12,G188),G188*$D$12),IF($E$12="",9E+99,$E$12)),0))))</f>
        <v/>
      </c>
      <c r="L188" s="20">
        <f>IF(G188="","",IF(OR($D$13="",$H$13="X",G188&lt;N($C$13)),0,IF(B188="G마켓",ROUNDDOWN(MIN(IF($D$13&gt;=1,MIN($D$13,G188),G188*$D$13),IF($E$13="",9E+99,$E$13)),0),ROUNDUP(MIN(IF($D$13&gt;=1,MIN($D$13,G188),G188*$D$13),IF($E$13="",9E+99,$E$13)),0))))</f>
        <v/>
      </c>
      <c r="M188" s="20">
        <f>IF(G188="","",IF(OR($D$14="",$H$14="X",G188&lt;N($C$14)),0,IF(B188="G마켓",ROUNDDOWN(MIN(IF($D$14&gt;=1,MIN($D$14,G188),G188*$D$14),IF($E$14="",9E+99,$E$14)),0),ROUNDUP(MIN(IF($D$14&gt;=1,MIN($D$14,G188),G188*$D$14),IF($E$14="",9E+99,$E$14)),0))))</f>
        <v/>
      </c>
      <c r="N188" s="19">
        <f>IF(G188="","",G188-MAX(I188:M188))</f>
        <v/>
      </c>
      <c r="O188" s="20">
        <f>IF(N188="","",IF(OR($D$18="",$H$18="X",N188&lt;N($C$18)),0,IF(B188="G마켓",ROUNDDOWN(MIN(IF($D$18&gt;=1,MIN($D$18,N188),N188*$D$18),IF($E$18="",9E+99,$E$18)),0),ROUNDUP(MIN(IF($D$18&gt;=1,MIN($D$18,N188),N188*$D$18),IF($E$18="",9E+99,$E$18)),0))))</f>
        <v/>
      </c>
      <c r="P188" s="20">
        <f>IF(N188="","",IF(OR($D$19="",$H$19="X",N188&lt;N($C$19)),0,IF(B188="G마켓",ROUNDDOWN(MIN(IF($D$19&gt;=1,MIN($D$19,N188),N188*$D$19),IF($E$19="",9E+99,$E$19)),0),ROUNDUP(MIN(IF($D$19&gt;=1,MIN($D$19,N188),N188*$D$19),IF($E$19="",9E+99,$E$19)),0))))</f>
        <v/>
      </c>
      <c r="Q188" s="20">
        <f>IF(N188="","",IF(OR($D$20="",$H$20="X",N188&lt;N($C$20)),0,IF(B188="G마켓",ROUNDDOWN(MIN(IF($D$20&gt;=1,MIN($D$20,N188),N188*$D$20),IF($E$20="",9E+99,$E$20)),0),ROUNDUP(MIN(IF($D$20&gt;=1,MIN($D$20,N188),N188*$D$20),IF($E$20="",9E+99,$E$20)),0))))</f>
        <v/>
      </c>
      <c r="R188" s="20">
        <f>IF(N188="","",IF(OR($D$21="",$H$21="X",N188&lt;N($C$21)),0,IF(B188="G마켓",ROUNDDOWN(MIN(IF($D$21&gt;=1,MIN($D$21,N188),N188*$D$21),IF($E$21="",9E+99,$E$21)),0),ROUNDUP(MIN(IF($D$21&gt;=1,MIN($D$21,N188),N188*$D$21),IF($E$21="",9E+99,$E$21)),0))))</f>
        <v/>
      </c>
      <c r="S188" s="19">
        <f>IF(G188="","",N188-MAX(O188:R188))</f>
        <v/>
      </c>
      <c r="T188" s="20">
        <f>IF(S188="","",IF(OR($D$25="",S188&lt;N($C$25)),0,IF(B188="G마켓",ROUNDDOWN(MIN(IF($D$25&gt;=1,MIN($D$25,S188),S188*$D$25),IF($E$25="",9E+99,$E$25)),0),ROUNDUP(MIN(IF($D$25&gt;=1,MIN($D$25,S188),S188*$D$25),IF($E$25="",9E+99,$E$25)),0))))</f>
        <v/>
      </c>
      <c r="U188" s="20">
        <f>IF(S188="","",IF(OR($D$26="",S188&lt;N($C$26)),0,IF(B188="G마켓",ROUNDDOWN(MIN(IF($D$26&gt;=1,MIN($D$26,S188),S188*$D$26),IF($E$26="",9E+99,$E$26)),0),ROUNDUP(MIN(IF($D$26&gt;=1,MIN($D$26,S188),S188*$D$26),IF($E$26="",9E+99,$E$26)),0))))</f>
        <v/>
      </c>
      <c r="V188" s="20">
        <f>IF(S188="","",IF(OR($D$27="",S188&lt;N($C$27)),0,IF(B188="G마켓",ROUNDDOWN(MIN(IF($D$27&gt;=1,MIN($D$27,S188),S188*$D$27),IF($E$27="",9E+99,$E$27)),0),ROUNDUP(MIN(IF($D$27&gt;=1,MIN($D$27,S188),S188*$D$27),IF($E$27="",9E+99,$E$27)),0))))</f>
        <v/>
      </c>
      <c r="W188" s="19">
        <f>IF(G188="","",MAX(T188:V188))</f>
        <v/>
      </c>
      <c r="X188" s="21">
        <f>IF(G188="","",S188-W188)</f>
        <v/>
      </c>
      <c r="Y188" s="19">
        <f>IF(G188="","",IF(B188="G마켓",ROUNDDOWN(MAX(I188*N($G$10),J188*N($G$11),K188*N($G$12),L188*N($G$13),M188*N($G$14))+MAX(O188*N($G$18),P188*N($G$19),Q188*N($G$20),R188*N($G$21))+MAX(T188*N($G$25),U188*N($G$26),V188*N($G$27)),0),ROUNDUP(MAX(I188*N($G$10),J188*N($G$11),K188*N($G$12),L188*N($G$13),M188*N($G$14))+MAX(O188*N($G$18),P188*N($G$19),Q188*N($G$20),R188*N($G$21))+MAX(T188*N($G$25),U188*N($G$26),V188*N($G$27)),0)))</f>
        <v/>
      </c>
      <c r="Z188" s="21">
        <f>IF(G188="","",IF(B188="G마켓",ROUNDDOWN(G188-G188*$Q$6-Y188,0),ROUNDUP(G188-G188*$Q$6-Y188,0)))</f>
        <v/>
      </c>
    </row>
    <row r="189">
      <c r="B189" s="7" t="n"/>
      <c r="C189" s="7" t="n"/>
      <c r="D189" s="22" t="n"/>
      <c r="E189" s="23" t="n"/>
      <c r="F189" s="23" t="n"/>
      <c r="G189" s="19">
        <f>IF(E189="","",E189-N(F189))</f>
        <v/>
      </c>
      <c r="I189" s="20">
        <f>IF(G189="","",IF(OR($D$10="",$H$10="X",G189&lt;N($C$10)),0,IF(B189="G마켓",ROUNDDOWN(MIN(IF($D$10&gt;=1,MIN($D$10,G189),G189*$D$10),IF($E$10="",9E+99,$E$10)),0),ROUNDUP(MIN(IF($D$10&gt;=1,MIN($D$10,G189),G189*$D$10),IF($E$10="",9E+99,$E$10)),0))))</f>
        <v/>
      </c>
      <c r="J189" s="20">
        <f>IF(G189="","",IF(OR($D$11="",$H$11="X",G189&lt;N($C$11)),0,IF(B189="G마켓",ROUNDDOWN(MIN(IF($D$11&gt;=1,MIN($D$11,G189),G189*$D$11),IF($E$11="",9E+99,$E$11)),0),ROUNDUP(MIN(IF($D$11&gt;=1,MIN($D$11,G189),G189*$D$11),IF($E$11="",9E+99,$E$11)),0))))</f>
        <v/>
      </c>
      <c r="K189" s="20">
        <f>IF(G189="","",IF(OR($D$12="",$H$12="X",G189&lt;N($C$12)),0,IF(B189="G마켓",ROUNDDOWN(MIN(IF($D$12&gt;=1,MIN($D$12,G189),G189*$D$12),IF($E$12="",9E+99,$E$12)),0),ROUNDUP(MIN(IF($D$12&gt;=1,MIN($D$12,G189),G189*$D$12),IF($E$12="",9E+99,$E$12)),0))))</f>
        <v/>
      </c>
      <c r="L189" s="20">
        <f>IF(G189="","",IF(OR($D$13="",$H$13="X",G189&lt;N($C$13)),0,IF(B189="G마켓",ROUNDDOWN(MIN(IF($D$13&gt;=1,MIN($D$13,G189),G189*$D$13),IF($E$13="",9E+99,$E$13)),0),ROUNDUP(MIN(IF($D$13&gt;=1,MIN($D$13,G189),G189*$D$13),IF($E$13="",9E+99,$E$13)),0))))</f>
        <v/>
      </c>
      <c r="M189" s="20">
        <f>IF(G189="","",IF(OR($D$14="",$H$14="X",G189&lt;N($C$14)),0,IF(B189="G마켓",ROUNDDOWN(MIN(IF($D$14&gt;=1,MIN($D$14,G189),G189*$D$14),IF($E$14="",9E+99,$E$14)),0),ROUNDUP(MIN(IF($D$14&gt;=1,MIN($D$14,G189),G189*$D$14),IF($E$14="",9E+99,$E$14)),0))))</f>
        <v/>
      </c>
      <c r="N189" s="19">
        <f>IF(G189="","",G189-MAX(I189:M189))</f>
        <v/>
      </c>
      <c r="O189" s="20">
        <f>IF(N189="","",IF(OR($D$18="",$H$18="X",N189&lt;N($C$18)),0,IF(B189="G마켓",ROUNDDOWN(MIN(IF($D$18&gt;=1,MIN($D$18,N189),N189*$D$18),IF($E$18="",9E+99,$E$18)),0),ROUNDUP(MIN(IF($D$18&gt;=1,MIN($D$18,N189),N189*$D$18),IF($E$18="",9E+99,$E$18)),0))))</f>
        <v/>
      </c>
      <c r="P189" s="20">
        <f>IF(N189="","",IF(OR($D$19="",$H$19="X",N189&lt;N($C$19)),0,IF(B189="G마켓",ROUNDDOWN(MIN(IF($D$19&gt;=1,MIN($D$19,N189),N189*$D$19),IF($E$19="",9E+99,$E$19)),0),ROUNDUP(MIN(IF($D$19&gt;=1,MIN($D$19,N189),N189*$D$19),IF($E$19="",9E+99,$E$19)),0))))</f>
        <v/>
      </c>
      <c r="Q189" s="20">
        <f>IF(N189="","",IF(OR($D$20="",$H$20="X",N189&lt;N($C$20)),0,IF(B189="G마켓",ROUNDDOWN(MIN(IF($D$20&gt;=1,MIN($D$20,N189),N189*$D$20),IF($E$20="",9E+99,$E$20)),0),ROUNDUP(MIN(IF($D$20&gt;=1,MIN($D$20,N189),N189*$D$20),IF($E$20="",9E+99,$E$20)),0))))</f>
        <v/>
      </c>
      <c r="R189" s="20">
        <f>IF(N189="","",IF(OR($D$21="",$H$21="X",N189&lt;N($C$21)),0,IF(B189="G마켓",ROUNDDOWN(MIN(IF($D$21&gt;=1,MIN($D$21,N189),N189*$D$21),IF($E$21="",9E+99,$E$21)),0),ROUNDUP(MIN(IF($D$21&gt;=1,MIN($D$21,N189),N189*$D$21),IF($E$21="",9E+99,$E$21)),0))))</f>
        <v/>
      </c>
      <c r="S189" s="19">
        <f>IF(G189="","",N189-MAX(O189:R189))</f>
        <v/>
      </c>
      <c r="T189" s="20">
        <f>IF(S189="","",IF(OR($D$25="",S189&lt;N($C$25)),0,IF(B189="G마켓",ROUNDDOWN(MIN(IF($D$25&gt;=1,MIN($D$25,S189),S189*$D$25),IF($E$25="",9E+99,$E$25)),0),ROUNDUP(MIN(IF($D$25&gt;=1,MIN($D$25,S189),S189*$D$25),IF($E$25="",9E+99,$E$25)),0))))</f>
        <v/>
      </c>
      <c r="U189" s="20">
        <f>IF(S189="","",IF(OR($D$26="",S189&lt;N($C$26)),0,IF(B189="G마켓",ROUNDDOWN(MIN(IF($D$26&gt;=1,MIN($D$26,S189),S189*$D$26),IF($E$26="",9E+99,$E$26)),0),ROUNDUP(MIN(IF($D$26&gt;=1,MIN($D$26,S189),S189*$D$26),IF($E$26="",9E+99,$E$26)),0))))</f>
        <v/>
      </c>
      <c r="V189" s="20">
        <f>IF(S189="","",IF(OR($D$27="",S189&lt;N($C$27)),0,IF(B189="G마켓",ROUNDDOWN(MIN(IF($D$27&gt;=1,MIN($D$27,S189),S189*$D$27),IF($E$27="",9E+99,$E$27)),0),ROUNDUP(MIN(IF($D$27&gt;=1,MIN($D$27,S189),S189*$D$27),IF($E$27="",9E+99,$E$27)),0))))</f>
        <v/>
      </c>
      <c r="W189" s="19">
        <f>IF(G189="","",MAX(T189:V189))</f>
        <v/>
      </c>
      <c r="X189" s="21">
        <f>IF(G189="","",S189-W189)</f>
        <v/>
      </c>
      <c r="Y189" s="19">
        <f>IF(G189="","",IF(B189="G마켓",ROUNDDOWN(MAX(I189*N($G$10),J189*N($G$11),K189*N($G$12),L189*N($G$13),M189*N($G$14))+MAX(O189*N($G$18),P189*N($G$19),Q189*N($G$20),R189*N($G$21))+MAX(T189*N($G$25),U189*N($G$26),V189*N($G$27)),0),ROUNDUP(MAX(I189*N($G$10),J189*N($G$11),K189*N($G$12),L189*N($G$13),M189*N($G$14))+MAX(O189*N($G$18),P189*N($G$19),Q189*N($G$20),R189*N($G$21))+MAX(T189*N($G$25),U189*N($G$26),V189*N($G$27)),0)))</f>
        <v/>
      </c>
      <c r="Z189" s="21">
        <f>IF(G189="","",IF(B189="G마켓",ROUNDDOWN(G189-G189*$Q$6-Y189,0),ROUNDUP(G189-G189*$Q$6-Y189,0)))</f>
        <v/>
      </c>
    </row>
    <row r="190">
      <c r="B190" s="7" t="n"/>
      <c r="C190" s="7" t="n"/>
      <c r="D190" s="22" t="n"/>
      <c r="E190" s="23" t="n"/>
      <c r="F190" s="23" t="n"/>
      <c r="G190" s="19">
        <f>IF(E190="","",E190-N(F190))</f>
        <v/>
      </c>
      <c r="I190" s="20">
        <f>IF(G190="","",IF(OR($D$10="",$H$10="X",G190&lt;N($C$10)),0,IF(B190="G마켓",ROUNDDOWN(MIN(IF($D$10&gt;=1,MIN($D$10,G190),G190*$D$10),IF($E$10="",9E+99,$E$10)),0),ROUNDUP(MIN(IF($D$10&gt;=1,MIN($D$10,G190),G190*$D$10),IF($E$10="",9E+99,$E$10)),0))))</f>
        <v/>
      </c>
      <c r="J190" s="20">
        <f>IF(G190="","",IF(OR($D$11="",$H$11="X",G190&lt;N($C$11)),0,IF(B190="G마켓",ROUNDDOWN(MIN(IF($D$11&gt;=1,MIN($D$11,G190),G190*$D$11),IF($E$11="",9E+99,$E$11)),0),ROUNDUP(MIN(IF($D$11&gt;=1,MIN($D$11,G190),G190*$D$11),IF($E$11="",9E+99,$E$11)),0))))</f>
        <v/>
      </c>
      <c r="K190" s="20">
        <f>IF(G190="","",IF(OR($D$12="",$H$12="X",G190&lt;N($C$12)),0,IF(B190="G마켓",ROUNDDOWN(MIN(IF($D$12&gt;=1,MIN($D$12,G190),G190*$D$12),IF($E$12="",9E+99,$E$12)),0),ROUNDUP(MIN(IF($D$12&gt;=1,MIN($D$12,G190),G190*$D$12),IF($E$12="",9E+99,$E$12)),0))))</f>
        <v/>
      </c>
      <c r="L190" s="20">
        <f>IF(G190="","",IF(OR($D$13="",$H$13="X",G190&lt;N($C$13)),0,IF(B190="G마켓",ROUNDDOWN(MIN(IF($D$13&gt;=1,MIN($D$13,G190),G190*$D$13),IF($E$13="",9E+99,$E$13)),0),ROUNDUP(MIN(IF($D$13&gt;=1,MIN($D$13,G190),G190*$D$13),IF($E$13="",9E+99,$E$13)),0))))</f>
        <v/>
      </c>
      <c r="M190" s="20">
        <f>IF(G190="","",IF(OR($D$14="",$H$14="X",G190&lt;N($C$14)),0,IF(B190="G마켓",ROUNDDOWN(MIN(IF($D$14&gt;=1,MIN($D$14,G190),G190*$D$14),IF($E$14="",9E+99,$E$14)),0),ROUNDUP(MIN(IF($D$14&gt;=1,MIN($D$14,G190),G190*$D$14),IF($E$14="",9E+99,$E$14)),0))))</f>
        <v/>
      </c>
      <c r="N190" s="19">
        <f>IF(G190="","",G190-MAX(I190:M190))</f>
        <v/>
      </c>
      <c r="O190" s="20">
        <f>IF(N190="","",IF(OR($D$18="",$H$18="X",N190&lt;N($C$18)),0,IF(B190="G마켓",ROUNDDOWN(MIN(IF($D$18&gt;=1,MIN($D$18,N190),N190*$D$18),IF($E$18="",9E+99,$E$18)),0),ROUNDUP(MIN(IF($D$18&gt;=1,MIN($D$18,N190),N190*$D$18),IF($E$18="",9E+99,$E$18)),0))))</f>
        <v/>
      </c>
      <c r="P190" s="20">
        <f>IF(N190="","",IF(OR($D$19="",$H$19="X",N190&lt;N($C$19)),0,IF(B190="G마켓",ROUNDDOWN(MIN(IF($D$19&gt;=1,MIN($D$19,N190),N190*$D$19),IF($E$19="",9E+99,$E$19)),0),ROUNDUP(MIN(IF($D$19&gt;=1,MIN($D$19,N190),N190*$D$19),IF($E$19="",9E+99,$E$19)),0))))</f>
        <v/>
      </c>
      <c r="Q190" s="20">
        <f>IF(N190="","",IF(OR($D$20="",$H$20="X",N190&lt;N($C$20)),0,IF(B190="G마켓",ROUNDDOWN(MIN(IF($D$20&gt;=1,MIN($D$20,N190),N190*$D$20),IF($E$20="",9E+99,$E$20)),0),ROUNDUP(MIN(IF($D$20&gt;=1,MIN($D$20,N190),N190*$D$20),IF($E$20="",9E+99,$E$20)),0))))</f>
        <v/>
      </c>
      <c r="R190" s="20">
        <f>IF(N190="","",IF(OR($D$21="",$H$21="X",N190&lt;N($C$21)),0,IF(B190="G마켓",ROUNDDOWN(MIN(IF($D$21&gt;=1,MIN($D$21,N190),N190*$D$21),IF($E$21="",9E+99,$E$21)),0),ROUNDUP(MIN(IF($D$21&gt;=1,MIN($D$21,N190),N190*$D$21),IF($E$21="",9E+99,$E$21)),0))))</f>
        <v/>
      </c>
      <c r="S190" s="19">
        <f>IF(G190="","",N190-MAX(O190:R190))</f>
        <v/>
      </c>
      <c r="T190" s="20">
        <f>IF(S190="","",IF(OR($D$25="",S190&lt;N($C$25)),0,IF(B190="G마켓",ROUNDDOWN(MIN(IF($D$25&gt;=1,MIN($D$25,S190),S190*$D$25),IF($E$25="",9E+99,$E$25)),0),ROUNDUP(MIN(IF($D$25&gt;=1,MIN($D$25,S190),S190*$D$25),IF($E$25="",9E+99,$E$25)),0))))</f>
        <v/>
      </c>
      <c r="U190" s="20">
        <f>IF(S190="","",IF(OR($D$26="",S190&lt;N($C$26)),0,IF(B190="G마켓",ROUNDDOWN(MIN(IF($D$26&gt;=1,MIN($D$26,S190),S190*$D$26),IF($E$26="",9E+99,$E$26)),0),ROUNDUP(MIN(IF($D$26&gt;=1,MIN($D$26,S190),S190*$D$26),IF($E$26="",9E+99,$E$26)),0))))</f>
        <v/>
      </c>
      <c r="V190" s="20">
        <f>IF(S190="","",IF(OR($D$27="",S190&lt;N($C$27)),0,IF(B190="G마켓",ROUNDDOWN(MIN(IF($D$27&gt;=1,MIN($D$27,S190),S190*$D$27),IF($E$27="",9E+99,$E$27)),0),ROUNDUP(MIN(IF($D$27&gt;=1,MIN($D$27,S190),S190*$D$27),IF($E$27="",9E+99,$E$27)),0))))</f>
        <v/>
      </c>
      <c r="W190" s="19">
        <f>IF(G190="","",MAX(T190:V190))</f>
        <v/>
      </c>
      <c r="X190" s="21">
        <f>IF(G190="","",S190-W190)</f>
        <v/>
      </c>
      <c r="Y190" s="19">
        <f>IF(G190="","",IF(B190="G마켓",ROUNDDOWN(MAX(I190*N($G$10),J190*N($G$11),K190*N($G$12),L190*N($G$13),M190*N($G$14))+MAX(O190*N($G$18),P190*N($G$19),Q190*N($G$20),R190*N($G$21))+MAX(T190*N($G$25),U190*N($G$26),V190*N($G$27)),0),ROUNDUP(MAX(I190*N($G$10),J190*N($G$11),K190*N($G$12),L190*N($G$13),M190*N($G$14))+MAX(O190*N($G$18),P190*N($G$19),Q190*N($G$20),R190*N($G$21))+MAX(T190*N($G$25),U190*N($G$26),V190*N($G$27)),0)))</f>
        <v/>
      </c>
      <c r="Z190" s="21">
        <f>IF(G190="","",IF(B190="G마켓",ROUNDDOWN(G190-G190*$Q$6-Y190,0),ROUNDUP(G190-G190*$Q$6-Y190,0)))</f>
        <v/>
      </c>
    </row>
    <row r="191">
      <c r="B191" s="7" t="n"/>
      <c r="C191" s="7" t="n"/>
      <c r="D191" s="22" t="n"/>
      <c r="E191" s="23" t="n"/>
      <c r="F191" s="23" t="n"/>
      <c r="G191" s="19">
        <f>IF(E191="","",E191-N(F191))</f>
        <v/>
      </c>
      <c r="I191" s="20">
        <f>IF(G191="","",IF(OR($D$10="",$H$10="X",G191&lt;N($C$10)),0,IF(B191="G마켓",ROUNDDOWN(MIN(IF($D$10&gt;=1,MIN($D$10,G191),G191*$D$10),IF($E$10="",9E+99,$E$10)),0),ROUNDUP(MIN(IF($D$10&gt;=1,MIN($D$10,G191),G191*$D$10),IF($E$10="",9E+99,$E$10)),0))))</f>
        <v/>
      </c>
      <c r="J191" s="20">
        <f>IF(G191="","",IF(OR($D$11="",$H$11="X",G191&lt;N($C$11)),0,IF(B191="G마켓",ROUNDDOWN(MIN(IF($D$11&gt;=1,MIN($D$11,G191),G191*$D$11),IF($E$11="",9E+99,$E$11)),0),ROUNDUP(MIN(IF($D$11&gt;=1,MIN($D$11,G191),G191*$D$11),IF($E$11="",9E+99,$E$11)),0))))</f>
        <v/>
      </c>
      <c r="K191" s="20">
        <f>IF(G191="","",IF(OR($D$12="",$H$12="X",G191&lt;N($C$12)),0,IF(B191="G마켓",ROUNDDOWN(MIN(IF($D$12&gt;=1,MIN($D$12,G191),G191*$D$12),IF($E$12="",9E+99,$E$12)),0),ROUNDUP(MIN(IF($D$12&gt;=1,MIN($D$12,G191),G191*$D$12),IF($E$12="",9E+99,$E$12)),0))))</f>
        <v/>
      </c>
      <c r="L191" s="20">
        <f>IF(G191="","",IF(OR($D$13="",$H$13="X",G191&lt;N($C$13)),0,IF(B191="G마켓",ROUNDDOWN(MIN(IF($D$13&gt;=1,MIN($D$13,G191),G191*$D$13),IF($E$13="",9E+99,$E$13)),0),ROUNDUP(MIN(IF($D$13&gt;=1,MIN($D$13,G191),G191*$D$13),IF($E$13="",9E+99,$E$13)),0))))</f>
        <v/>
      </c>
      <c r="M191" s="20">
        <f>IF(G191="","",IF(OR($D$14="",$H$14="X",G191&lt;N($C$14)),0,IF(B191="G마켓",ROUNDDOWN(MIN(IF($D$14&gt;=1,MIN($D$14,G191),G191*$D$14),IF($E$14="",9E+99,$E$14)),0),ROUNDUP(MIN(IF($D$14&gt;=1,MIN($D$14,G191),G191*$D$14),IF($E$14="",9E+99,$E$14)),0))))</f>
        <v/>
      </c>
      <c r="N191" s="19">
        <f>IF(G191="","",G191-MAX(I191:M191))</f>
        <v/>
      </c>
      <c r="O191" s="20">
        <f>IF(N191="","",IF(OR($D$18="",$H$18="X",N191&lt;N($C$18)),0,IF(B191="G마켓",ROUNDDOWN(MIN(IF($D$18&gt;=1,MIN($D$18,N191),N191*$D$18),IF($E$18="",9E+99,$E$18)),0),ROUNDUP(MIN(IF($D$18&gt;=1,MIN($D$18,N191),N191*$D$18),IF($E$18="",9E+99,$E$18)),0))))</f>
        <v/>
      </c>
      <c r="P191" s="20">
        <f>IF(N191="","",IF(OR($D$19="",$H$19="X",N191&lt;N($C$19)),0,IF(B191="G마켓",ROUNDDOWN(MIN(IF($D$19&gt;=1,MIN($D$19,N191),N191*$D$19),IF($E$19="",9E+99,$E$19)),0),ROUNDUP(MIN(IF($D$19&gt;=1,MIN($D$19,N191),N191*$D$19),IF($E$19="",9E+99,$E$19)),0))))</f>
        <v/>
      </c>
      <c r="Q191" s="20">
        <f>IF(N191="","",IF(OR($D$20="",$H$20="X",N191&lt;N($C$20)),0,IF(B191="G마켓",ROUNDDOWN(MIN(IF($D$20&gt;=1,MIN($D$20,N191),N191*$D$20),IF($E$20="",9E+99,$E$20)),0),ROUNDUP(MIN(IF($D$20&gt;=1,MIN($D$20,N191),N191*$D$20),IF($E$20="",9E+99,$E$20)),0))))</f>
        <v/>
      </c>
      <c r="R191" s="20">
        <f>IF(N191="","",IF(OR($D$21="",$H$21="X",N191&lt;N($C$21)),0,IF(B191="G마켓",ROUNDDOWN(MIN(IF($D$21&gt;=1,MIN($D$21,N191),N191*$D$21),IF($E$21="",9E+99,$E$21)),0),ROUNDUP(MIN(IF($D$21&gt;=1,MIN($D$21,N191),N191*$D$21),IF($E$21="",9E+99,$E$21)),0))))</f>
        <v/>
      </c>
      <c r="S191" s="19">
        <f>IF(G191="","",N191-MAX(O191:R191))</f>
        <v/>
      </c>
      <c r="T191" s="20">
        <f>IF(S191="","",IF(OR($D$25="",S191&lt;N($C$25)),0,IF(B191="G마켓",ROUNDDOWN(MIN(IF($D$25&gt;=1,MIN($D$25,S191),S191*$D$25),IF($E$25="",9E+99,$E$25)),0),ROUNDUP(MIN(IF($D$25&gt;=1,MIN($D$25,S191),S191*$D$25),IF($E$25="",9E+99,$E$25)),0))))</f>
        <v/>
      </c>
      <c r="U191" s="20">
        <f>IF(S191="","",IF(OR($D$26="",S191&lt;N($C$26)),0,IF(B191="G마켓",ROUNDDOWN(MIN(IF($D$26&gt;=1,MIN($D$26,S191),S191*$D$26),IF($E$26="",9E+99,$E$26)),0),ROUNDUP(MIN(IF($D$26&gt;=1,MIN($D$26,S191),S191*$D$26),IF($E$26="",9E+99,$E$26)),0))))</f>
        <v/>
      </c>
      <c r="V191" s="20">
        <f>IF(S191="","",IF(OR($D$27="",S191&lt;N($C$27)),0,IF(B191="G마켓",ROUNDDOWN(MIN(IF($D$27&gt;=1,MIN($D$27,S191),S191*$D$27),IF($E$27="",9E+99,$E$27)),0),ROUNDUP(MIN(IF($D$27&gt;=1,MIN($D$27,S191),S191*$D$27),IF($E$27="",9E+99,$E$27)),0))))</f>
        <v/>
      </c>
      <c r="W191" s="19">
        <f>IF(G191="","",MAX(T191:V191))</f>
        <v/>
      </c>
      <c r="X191" s="21">
        <f>IF(G191="","",S191-W191)</f>
        <v/>
      </c>
      <c r="Y191" s="19">
        <f>IF(G191="","",IF(B191="G마켓",ROUNDDOWN(MAX(I191*N($G$10),J191*N($G$11),K191*N($G$12),L191*N($G$13),M191*N($G$14))+MAX(O191*N($G$18),P191*N($G$19),Q191*N($G$20),R191*N($G$21))+MAX(T191*N($G$25),U191*N($G$26),V191*N($G$27)),0),ROUNDUP(MAX(I191*N($G$10),J191*N($G$11),K191*N($G$12),L191*N($G$13),M191*N($G$14))+MAX(O191*N($G$18),P191*N($G$19),Q191*N($G$20),R191*N($G$21))+MAX(T191*N($G$25),U191*N($G$26),V191*N($G$27)),0)))</f>
        <v/>
      </c>
      <c r="Z191" s="21">
        <f>IF(G191="","",IF(B191="G마켓",ROUNDDOWN(G191-G191*$Q$6-Y191,0),ROUNDUP(G191-G191*$Q$6-Y191,0)))</f>
        <v/>
      </c>
    </row>
    <row r="192">
      <c r="B192" s="7" t="n"/>
      <c r="C192" s="7" t="n"/>
      <c r="D192" s="22" t="n"/>
      <c r="E192" s="23" t="n"/>
      <c r="F192" s="23" t="n"/>
      <c r="G192" s="19">
        <f>IF(E192="","",E192-N(F192))</f>
        <v/>
      </c>
      <c r="I192" s="20">
        <f>IF(G192="","",IF(OR($D$10="",$H$10="X",G192&lt;N($C$10)),0,IF(B192="G마켓",ROUNDDOWN(MIN(IF($D$10&gt;=1,MIN($D$10,G192),G192*$D$10),IF($E$10="",9E+99,$E$10)),0),ROUNDUP(MIN(IF($D$10&gt;=1,MIN($D$10,G192),G192*$D$10),IF($E$10="",9E+99,$E$10)),0))))</f>
        <v/>
      </c>
      <c r="J192" s="20">
        <f>IF(G192="","",IF(OR($D$11="",$H$11="X",G192&lt;N($C$11)),0,IF(B192="G마켓",ROUNDDOWN(MIN(IF($D$11&gt;=1,MIN($D$11,G192),G192*$D$11),IF($E$11="",9E+99,$E$11)),0),ROUNDUP(MIN(IF($D$11&gt;=1,MIN($D$11,G192),G192*$D$11),IF($E$11="",9E+99,$E$11)),0))))</f>
        <v/>
      </c>
      <c r="K192" s="20">
        <f>IF(G192="","",IF(OR($D$12="",$H$12="X",G192&lt;N($C$12)),0,IF(B192="G마켓",ROUNDDOWN(MIN(IF($D$12&gt;=1,MIN($D$12,G192),G192*$D$12),IF($E$12="",9E+99,$E$12)),0),ROUNDUP(MIN(IF($D$12&gt;=1,MIN($D$12,G192),G192*$D$12),IF($E$12="",9E+99,$E$12)),0))))</f>
        <v/>
      </c>
      <c r="L192" s="20">
        <f>IF(G192="","",IF(OR($D$13="",$H$13="X",G192&lt;N($C$13)),0,IF(B192="G마켓",ROUNDDOWN(MIN(IF($D$13&gt;=1,MIN($D$13,G192),G192*$D$13),IF($E$13="",9E+99,$E$13)),0),ROUNDUP(MIN(IF($D$13&gt;=1,MIN($D$13,G192),G192*$D$13),IF($E$13="",9E+99,$E$13)),0))))</f>
        <v/>
      </c>
      <c r="M192" s="20">
        <f>IF(G192="","",IF(OR($D$14="",$H$14="X",G192&lt;N($C$14)),0,IF(B192="G마켓",ROUNDDOWN(MIN(IF($D$14&gt;=1,MIN($D$14,G192),G192*$D$14),IF($E$14="",9E+99,$E$14)),0),ROUNDUP(MIN(IF($D$14&gt;=1,MIN($D$14,G192),G192*$D$14),IF($E$14="",9E+99,$E$14)),0))))</f>
        <v/>
      </c>
      <c r="N192" s="19">
        <f>IF(G192="","",G192-MAX(I192:M192))</f>
        <v/>
      </c>
      <c r="O192" s="20">
        <f>IF(N192="","",IF(OR($D$18="",$H$18="X",N192&lt;N($C$18)),0,IF(B192="G마켓",ROUNDDOWN(MIN(IF($D$18&gt;=1,MIN($D$18,N192),N192*$D$18),IF($E$18="",9E+99,$E$18)),0),ROUNDUP(MIN(IF($D$18&gt;=1,MIN($D$18,N192),N192*$D$18),IF($E$18="",9E+99,$E$18)),0))))</f>
        <v/>
      </c>
      <c r="P192" s="20">
        <f>IF(N192="","",IF(OR($D$19="",$H$19="X",N192&lt;N($C$19)),0,IF(B192="G마켓",ROUNDDOWN(MIN(IF($D$19&gt;=1,MIN($D$19,N192),N192*$D$19),IF($E$19="",9E+99,$E$19)),0),ROUNDUP(MIN(IF($D$19&gt;=1,MIN($D$19,N192),N192*$D$19),IF($E$19="",9E+99,$E$19)),0))))</f>
        <v/>
      </c>
      <c r="Q192" s="20">
        <f>IF(N192="","",IF(OR($D$20="",$H$20="X",N192&lt;N($C$20)),0,IF(B192="G마켓",ROUNDDOWN(MIN(IF($D$20&gt;=1,MIN($D$20,N192),N192*$D$20),IF($E$20="",9E+99,$E$20)),0),ROUNDUP(MIN(IF($D$20&gt;=1,MIN($D$20,N192),N192*$D$20),IF($E$20="",9E+99,$E$20)),0))))</f>
        <v/>
      </c>
      <c r="R192" s="20">
        <f>IF(N192="","",IF(OR($D$21="",$H$21="X",N192&lt;N($C$21)),0,IF(B192="G마켓",ROUNDDOWN(MIN(IF($D$21&gt;=1,MIN($D$21,N192),N192*$D$21),IF($E$21="",9E+99,$E$21)),0),ROUNDUP(MIN(IF($D$21&gt;=1,MIN($D$21,N192),N192*$D$21),IF($E$21="",9E+99,$E$21)),0))))</f>
        <v/>
      </c>
      <c r="S192" s="19">
        <f>IF(G192="","",N192-MAX(O192:R192))</f>
        <v/>
      </c>
      <c r="T192" s="20">
        <f>IF(S192="","",IF(OR($D$25="",S192&lt;N($C$25)),0,IF(B192="G마켓",ROUNDDOWN(MIN(IF($D$25&gt;=1,MIN($D$25,S192),S192*$D$25),IF($E$25="",9E+99,$E$25)),0),ROUNDUP(MIN(IF($D$25&gt;=1,MIN($D$25,S192),S192*$D$25),IF($E$25="",9E+99,$E$25)),0))))</f>
        <v/>
      </c>
      <c r="U192" s="20">
        <f>IF(S192="","",IF(OR($D$26="",S192&lt;N($C$26)),0,IF(B192="G마켓",ROUNDDOWN(MIN(IF($D$26&gt;=1,MIN($D$26,S192),S192*$D$26),IF($E$26="",9E+99,$E$26)),0),ROUNDUP(MIN(IF($D$26&gt;=1,MIN($D$26,S192),S192*$D$26),IF($E$26="",9E+99,$E$26)),0))))</f>
        <v/>
      </c>
      <c r="V192" s="20">
        <f>IF(S192="","",IF(OR($D$27="",S192&lt;N($C$27)),0,IF(B192="G마켓",ROUNDDOWN(MIN(IF($D$27&gt;=1,MIN($D$27,S192),S192*$D$27),IF($E$27="",9E+99,$E$27)),0),ROUNDUP(MIN(IF($D$27&gt;=1,MIN($D$27,S192),S192*$D$27),IF($E$27="",9E+99,$E$27)),0))))</f>
        <v/>
      </c>
      <c r="W192" s="19">
        <f>IF(G192="","",MAX(T192:V192))</f>
        <v/>
      </c>
      <c r="X192" s="21">
        <f>IF(G192="","",S192-W192)</f>
        <v/>
      </c>
      <c r="Y192" s="19">
        <f>IF(G192="","",IF(B192="G마켓",ROUNDDOWN(MAX(I192*N($G$10),J192*N($G$11),K192*N($G$12),L192*N($G$13),M192*N($G$14))+MAX(O192*N($G$18),P192*N($G$19),Q192*N($G$20),R192*N($G$21))+MAX(T192*N($G$25),U192*N($G$26),V192*N($G$27)),0),ROUNDUP(MAX(I192*N($G$10),J192*N($G$11),K192*N($G$12),L192*N($G$13),M192*N($G$14))+MAX(O192*N($G$18),P192*N($G$19),Q192*N($G$20),R192*N($G$21))+MAX(T192*N($G$25),U192*N($G$26),V192*N($G$27)),0)))</f>
        <v/>
      </c>
      <c r="Z192" s="21">
        <f>IF(G192="","",IF(B192="G마켓",ROUNDDOWN(G192-G192*$Q$6-Y192,0),ROUNDUP(G192-G192*$Q$6-Y192,0)))</f>
        <v/>
      </c>
    </row>
    <row r="193">
      <c r="B193" s="7" t="n"/>
      <c r="C193" s="7" t="n"/>
      <c r="D193" s="22" t="n"/>
      <c r="E193" s="23" t="n"/>
      <c r="F193" s="23" t="n"/>
      <c r="G193" s="19">
        <f>IF(E193="","",E193-N(F193))</f>
        <v/>
      </c>
      <c r="I193" s="20">
        <f>IF(G193="","",IF(OR($D$10="",$H$10="X",G193&lt;N($C$10)),0,IF(B193="G마켓",ROUNDDOWN(MIN(IF($D$10&gt;=1,MIN($D$10,G193),G193*$D$10),IF($E$10="",9E+99,$E$10)),0),ROUNDUP(MIN(IF($D$10&gt;=1,MIN($D$10,G193),G193*$D$10),IF($E$10="",9E+99,$E$10)),0))))</f>
        <v/>
      </c>
      <c r="J193" s="20">
        <f>IF(G193="","",IF(OR($D$11="",$H$11="X",G193&lt;N($C$11)),0,IF(B193="G마켓",ROUNDDOWN(MIN(IF($D$11&gt;=1,MIN($D$11,G193),G193*$D$11),IF($E$11="",9E+99,$E$11)),0),ROUNDUP(MIN(IF($D$11&gt;=1,MIN($D$11,G193),G193*$D$11),IF($E$11="",9E+99,$E$11)),0))))</f>
        <v/>
      </c>
      <c r="K193" s="20">
        <f>IF(G193="","",IF(OR($D$12="",$H$12="X",G193&lt;N($C$12)),0,IF(B193="G마켓",ROUNDDOWN(MIN(IF($D$12&gt;=1,MIN($D$12,G193),G193*$D$12),IF($E$12="",9E+99,$E$12)),0),ROUNDUP(MIN(IF($D$12&gt;=1,MIN($D$12,G193),G193*$D$12),IF($E$12="",9E+99,$E$12)),0))))</f>
        <v/>
      </c>
      <c r="L193" s="20">
        <f>IF(G193="","",IF(OR($D$13="",$H$13="X",G193&lt;N($C$13)),0,IF(B193="G마켓",ROUNDDOWN(MIN(IF($D$13&gt;=1,MIN($D$13,G193),G193*$D$13),IF($E$13="",9E+99,$E$13)),0),ROUNDUP(MIN(IF($D$13&gt;=1,MIN($D$13,G193),G193*$D$13),IF($E$13="",9E+99,$E$13)),0))))</f>
        <v/>
      </c>
      <c r="M193" s="20">
        <f>IF(G193="","",IF(OR($D$14="",$H$14="X",G193&lt;N($C$14)),0,IF(B193="G마켓",ROUNDDOWN(MIN(IF($D$14&gt;=1,MIN($D$14,G193),G193*$D$14),IF($E$14="",9E+99,$E$14)),0),ROUNDUP(MIN(IF($D$14&gt;=1,MIN($D$14,G193),G193*$D$14),IF($E$14="",9E+99,$E$14)),0))))</f>
        <v/>
      </c>
      <c r="N193" s="19">
        <f>IF(G193="","",G193-MAX(I193:M193))</f>
        <v/>
      </c>
      <c r="O193" s="20">
        <f>IF(N193="","",IF(OR($D$18="",$H$18="X",N193&lt;N($C$18)),0,IF(B193="G마켓",ROUNDDOWN(MIN(IF($D$18&gt;=1,MIN($D$18,N193),N193*$D$18),IF($E$18="",9E+99,$E$18)),0),ROUNDUP(MIN(IF($D$18&gt;=1,MIN($D$18,N193),N193*$D$18),IF($E$18="",9E+99,$E$18)),0))))</f>
        <v/>
      </c>
      <c r="P193" s="20">
        <f>IF(N193="","",IF(OR($D$19="",$H$19="X",N193&lt;N($C$19)),0,IF(B193="G마켓",ROUNDDOWN(MIN(IF($D$19&gt;=1,MIN($D$19,N193),N193*$D$19),IF($E$19="",9E+99,$E$19)),0),ROUNDUP(MIN(IF($D$19&gt;=1,MIN($D$19,N193),N193*$D$19),IF($E$19="",9E+99,$E$19)),0))))</f>
        <v/>
      </c>
      <c r="Q193" s="20">
        <f>IF(N193="","",IF(OR($D$20="",$H$20="X",N193&lt;N($C$20)),0,IF(B193="G마켓",ROUNDDOWN(MIN(IF($D$20&gt;=1,MIN($D$20,N193),N193*$D$20),IF($E$20="",9E+99,$E$20)),0),ROUNDUP(MIN(IF($D$20&gt;=1,MIN($D$20,N193),N193*$D$20),IF($E$20="",9E+99,$E$20)),0))))</f>
        <v/>
      </c>
      <c r="R193" s="20">
        <f>IF(N193="","",IF(OR($D$21="",$H$21="X",N193&lt;N($C$21)),0,IF(B193="G마켓",ROUNDDOWN(MIN(IF($D$21&gt;=1,MIN($D$21,N193),N193*$D$21),IF($E$21="",9E+99,$E$21)),0),ROUNDUP(MIN(IF($D$21&gt;=1,MIN($D$21,N193),N193*$D$21),IF($E$21="",9E+99,$E$21)),0))))</f>
        <v/>
      </c>
      <c r="S193" s="19">
        <f>IF(G193="","",N193-MAX(O193:R193))</f>
        <v/>
      </c>
      <c r="T193" s="20">
        <f>IF(S193="","",IF(OR($D$25="",S193&lt;N($C$25)),0,IF(B193="G마켓",ROUNDDOWN(MIN(IF($D$25&gt;=1,MIN($D$25,S193),S193*$D$25),IF($E$25="",9E+99,$E$25)),0),ROUNDUP(MIN(IF($D$25&gt;=1,MIN($D$25,S193),S193*$D$25),IF($E$25="",9E+99,$E$25)),0))))</f>
        <v/>
      </c>
      <c r="U193" s="20">
        <f>IF(S193="","",IF(OR($D$26="",S193&lt;N($C$26)),0,IF(B193="G마켓",ROUNDDOWN(MIN(IF($D$26&gt;=1,MIN($D$26,S193),S193*$D$26),IF($E$26="",9E+99,$E$26)),0),ROUNDUP(MIN(IF($D$26&gt;=1,MIN($D$26,S193),S193*$D$26),IF($E$26="",9E+99,$E$26)),0))))</f>
        <v/>
      </c>
      <c r="V193" s="20">
        <f>IF(S193="","",IF(OR($D$27="",S193&lt;N($C$27)),0,IF(B193="G마켓",ROUNDDOWN(MIN(IF($D$27&gt;=1,MIN($D$27,S193),S193*$D$27),IF($E$27="",9E+99,$E$27)),0),ROUNDUP(MIN(IF($D$27&gt;=1,MIN($D$27,S193),S193*$D$27),IF($E$27="",9E+99,$E$27)),0))))</f>
        <v/>
      </c>
      <c r="W193" s="19">
        <f>IF(G193="","",MAX(T193:V193))</f>
        <v/>
      </c>
      <c r="X193" s="21">
        <f>IF(G193="","",S193-W193)</f>
        <v/>
      </c>
      <c r="Y193" s="19">
        <f>IF(G193="","",IF(B193="G마켓",ROUNDDOWN(MAX(I193*N($G$10),J193*N($G$11),K193*N($G$12),L193*N($G$13),M193*N($G$14))+MAX(O193*N($G$18),P193*N($G$19),Q193*N($G$20),R193*N($G$21))+MAX(T193*N($G$25),U193*N($G$26),V193*N($G$27)),0),ROUNDUP(MAX(I193*N($G$10),J193*N($G$11),K193*N($G$12),L193*N($G$13),M193*N($G$14))+MAX(O193*N($G$18),P193*N($G$19),Q193*N($G$20),R193*N($G$21))+MAX(T193*N($G$25),U193*N($G$26),V193*N($G$27)),0)))</f>
        <v/>
      </c>
      <c r="Z193" s="21">
        <f>IF(G193="","",IF(B193="G마켓",ROUNDDOWN(G193-G193*$Q$6-Y193,0),ROUNDUP(G193-G193*$Q$6-Y193,0)))</f>
        <v/>
      </c>
    </row>
    <row r="194">
      <c r="B194" s="7" t="n"/>
      <c r="C194" s="7" t="n"/>
      <c r="D194" s="22" t="n"/>
      <c r="E194" s="23" t="n"/>
      <c r="F194" s="23" t="n"/>
      <c r="G194" s="19">
        <f>IF(E194="","",E194-N(F194))</f>
        <v/>
      </c>
      <c r="I194" s="20">
        <f>IF(G194="","",IF(OR($D$10="",$H$10="X",G194&lt;N($C$10)),0,IF(B194="G마켓",ROUNDDOWN(MIN(IF($D$10&gt;=1,MIN($D$10,G194),G194*$D$10),IF($E$10="",9E+99,$E$10)),0),ROUNDUP(MIN(IF($D$10&gt;=1,MIN($D$10,G194),G194*$D$10),IF($E$10="",9E+99,$E$10)),0))))</f>
        <v/>
      </c>
      <c r="J194" s="20">
        <f>IF(G194="","",IF(OR($D$11="",$H$11="X",G194&lt;N($C$11)),0,IF(B194="G마켓",ROUNDDOWN(MIN(IF($D$11&gt;=1,MIN($D$11,G194),G194*$D$11),IF($E$11="",9E+99,$E$11)),0),ROUNDUP(MIN(IF($D$11&gt;=1,MIN($D$11,G194),G194*$D$11),IF($E$11="",9E+99,$E$11)),0))))</f>
        <v/>
      </c>
      <c r="K194" s="20">
        <f>IF(G194="","",IF(OR($D$12="",$H$12="X",G194&lt;N($C$12)),0,IF(B194="G마켓",ROUNDDOWN(MIN(IF($D$12&gt;=1,MIN($D$12,G194),G194*$D$12),IF($E$12="",9E+99,$E$12)),0),ROUNDUP(MIN(IF($D$12&gt;=1,MIN($D$12,G194),G194*$D$12),IF($E$12="",9E+99,$E$12)),0))))</f>
        <v/>
      </c>
      <c r="L194" s="20">
        <f>IF(G194="","",IF(OR($D$13="",$H$13="X",G194&lt;N($C$13)),0,IF(B194="G마켓",ROUNDDOWN(MIN(IF($D$13&gt;=1,MIN($D$13,G194),G194*$D$13),IF($E$13="",9E+99,$E$13)),0),ROUNDUP(MIN(IF($D$13&gt;=1,MIN($D$13,G194),G194*$D$13),IF($E$13="",9E+99,$E$13)),0))))</f>
        <v/>
      </c>
      <c r="M194" s="20">
        <f>IF(G194="","",IF(OR($D$14="",$H$14="X",G194&lt;N($C$14)),0,IF(B194="G마켓",ROUNDDOWN(MIN(IF($D$14&gt;=1,MIN($D$14,G194),G194*$D$14),IF($E$14="",9E+99,$E$14)),0),ROUNDUP(MIN(IF($D$14&gt;=1,MIN($D$14,G194),G194*$D$14),IF($E$14="",9E+99,$E$14)),0))))</f>
        <v/>
      </c>
      <c r="N194" s="19">
        <f>IF(G194="","",G194-MAX(I194:M194))</f>
        <v/>
      </c>
      <c r="O194" s="20">
        <f>IF(N194="","",IF(OR($D$18="",$H$18="X",N194&lt;N($C$18)),0,IF(B194="G마켓",ROUNDDOWN(MIN(IF($D$18&gt;=1,MIN($D$18,N194),N194*$D$18),IF($E$18="",9E+99,$E$18)),0),ROUNDUP(MIN(IF($D$18&gt;=1,MIN($D$18,N194),N194*$D$18),IF($E$18="",9E+99,$E$18)),0))))</f>
        <v/>
      </c>
      <c r="P194" s="20">
        <f>IF(N194="","",IF(OR($D$19="",$H$19="X",N194&lt;N($C$19)),0,IF(B194="G마켓",ROUNDDOWN(MIN(IF($D$19&gt;=1,MIN($D$19,N194),N194*$D$19),IF($E$19="",9E+99,$E$19)),0),ROUNDUP(MIN(IF($D$19&gt;=1,MIN($D$19,N194),N194*$D$19),IF($E$19="",9E+99,$E$19)),0))))</f>
        <v/>
      </c>
      <c r="Q194" s="20">
        <f>IF(N194="","",IF(OR($D$20="",$H$20="X",N194&lt;N($C$20)),0,IF(B194="G마켓",ROUNDDOWN(MIN(IF($D$20&gt;=1,MIN($D$20,N194),N194*$D$20),IF($E$20="",9E+99,$E$20)),0),ROUNDUP(MIN(IF($D$20&gt;=1,MIN($D$20,N194),N194*$D$20),IF($E$20="",9E+99,$E$20)),0))))</f>
        <v/>
      </c>
      <c r="R194" s="20">
        <f>IF(N194="","",IF(OR($D$21="",$H$21="X",N194&lt;N($C$21)),0,IF(B194="G마켓",ROUNDDOWN(MIN(IF($D$21&gt;=1,MIN($D$21,N194),N194*$D$21),IF($E$21="",9E+99,$E$21)),0),ROUNDUP(MIN(IF($D$21&gt;=1,MIN($D$21,N194),N194*$D$21),IF($E$21="",9E+99,$E$21)),0))))</f>
        <v/>
      </c>
      <c r="S194" s="19">
        <f>IF(G194="","",N194-MAX(O194:R194))</f>
        <v/>
      </c>
      <c r="T194" s="20">
        <f>IF(S194="","",IF(OR($D$25="",S194&lt;N($C$25)),0,IF(B194="G마켓",ROUNDDOWN(MIN(IF($D$25&gt;=1,MIN($D$25,S194),S194*$D$25),IF($E$25="",9E+99,$E$25)),0),ROUNDUP(MIN(IF($D$25&gt;=1,MIN($D$25,S194),S194*$D$25),IF($E$25="",9E+99,$E$25)),0))))</f>
        <v/>
      </c>
      <c r="U194" s="20">
        <f>IF(S194="","",IF(OR($D$26="",S194&lt;N($C$26)),0,IF(B194="G마켓",ROUNDDOWN(MIN(IF($D$26&gt;=1,MIN($D$26,S194),S194*$D$26),IF($E$26="",9E+99,$E$26)),0),ROUNDUP(MIN(IF($D$26&gt;=1,MIN($D$26,S194),S194*$D$26),IF($E$26="",9E+99,$E$26)),0))))</f>
        <v/>
      </c>
      <c r="V194" s="20">
        <f>IF(S194="","",IF(OR($D$27="",S194&lt;N($C$27)),0,IF(B194="G마켓",ROUNDDOWN(MIN(IF($D$27&gt;=1,MIN($D$27,S194),S194*$D$27),IF($E$27="",9E+99,$E$27)),0),ROUNDUP(MIN(IF($D$27&gt;=1,MIN($D$27,S194),S194*$D$27),IF($E$27="",9E+99,$E$27)),0))))</f>
        <v/>
      </c>
      <c r="W194" s="19">
        <f>IF(G194="","",MAX(T194:V194))</f>
        <v/>
      </c>
      <c r="X194" s="21">
        <f>IF(G194="","",S194-W194)</f>
        <v/>
      </c>
      <c r="Y194" s="19">
        <f>IF(G194="","",IF(B194="G마켓",ROUNDDOWN(MAX(I194*N($G$10),J194*N($G$11),K194*N($G$12),L194*N($G$13),M194*N($G$14))+MAX(O194*N($G$18),P194*N($G$19),Q194*N($G$20),R194*N($G$21))+MAX(T194*N($G$25),U194*N($G$26),V194*N($G$27)),0),ROUNDUP(MAX(I194*N($G$10),J194*N($G$11),K194*N($G$12),L194*N($G$13),M194*N($G$14))+MAX(O194*N($G$18),P194*N($G$19),Q194*N($G$20),R194*N($G$21))+MAX(T194*N($G$25),U194*N($G$26),V194*N($G$27)),0)))</f>
        <v/>
      </c>
      <c r="Z194" s="21">
        <f>IF(G194="","",IF(B194="G마켓",ROUNDDOWN(G194-G194*$Q$6-Y194,0),ROUNDUP(G194-G194*$Q$6-Y194,0)))</f>
        <v/>
      </c>
    </row>
    <row r="195">
      <c r="B195" s="7" t="n"/>
      <c r="C195" s="7" t="n"/>
      <c r="D195" s="22" t="n"/>
      <c r="E195" s="23" t="n"/>
      <c r="F195" s="23" t="n"/>
      <c r="G195" s="19">
        <f>IF(E195="","",E195-N(F195))</f>
        <v/>
      </c>
      <c r="I195" s="20">
        <f>IF(G195="","",IF(OR($D$10="",$H$10="X",G195&lt;N($C$10)),0,IF(B195="G마켓",ROUNDDOWN(MIN(IF($D$10&gt;=1,MIN($D$10,G195),G195*$D$10),IF($E$10="",9E+99,$E$10)),0),ROUNDUP(MIN(IF($D$10&gt;=1,MIN($D$10,G195),G195*$D$10),IF($E$10="",9E+99,$E$10)),0))))</f>
        <v/>
      </c>
      <c r="J195" s="20">
        <f>IF(G195="","",IF(OR($D$11="",$H$11="X",G195&lt;N($C$11)),0,IF(B195="G마켓",ROUNDDOWN(MIN(IF($D$11&gt;=1,MIN($D$11,G195),G195*$D$11),IF($E$11="",9E+99,$E$11)),0),ROUNDUP(MIN(IF($D$11&gt;=1,MIN($D$11,G195),G195*$D$11),IF($E$11="",9E+99,$E$11)),0))))</f>
        <v/>
      </c>
      <c r="K195" s="20">
        <f>IF(G195="","",IF(OR($D$12="",$H$12="X",G195&lt;N($C$12)),0,IF(B195="G마켓",ROUNDDOWN(MIN(IF($D$12&gt;=1,MIN($D$12,G195),G195*$D$12),IF($E$12="",9E+99,$E$12)),0),ROUNDUP(MIN(IF($D$12&gt;=1,MIN($D$12,G195),G195*$D$12),IF($E$12="",9E+99,$E$12)),0))))</f>
        <v/>
      </c>
      <c r="L195" s="20">
        <f>IF(G195="","",IF(OR($D$13="",$H$13="X",G195&lt;N($C$13)),0,IF(B195="G마켓",ROUNDDOWN(MIN(IF($D$13&gt;=1,MIN($D$13,G195),G195*$D$13),IF($E$13="",9E+99,$E$13)),0),ROUNDUP(MIN(IF($D$13&gt;=1,MIN($D$13,G195),G195*$D$13),IF($E$13="",9E+99,$E$13)),0))))</f>
        <v/>
      </c>
      <c r="M195" s="20">
        <f>IF(G195="","",IF(OR($D$14="",$H$14="X",G195&lt;N($C$14)),0,IF(B195="G마켓",ROUNDDOWN(MIN(IF($D$14&gt;=1,MIN($D$14,G195),G195*$D$14),IF($E$14="",9E+99,$E$14)),0),ROUNDUP(MIN(IF($D$14&gt;=1,MIN($D$14,G195),G195*$D$14),IF($E$14="",9E+99,$E$14)),0))))</f>
        <v/>
      </c>
      <c r="N195" s="19">
        <f>IF(G195="","",G195-MAX(I195:M195))</f>
        <v/>
      </c>
      <c r="O195" s="20">
        <f>IF(N195="","",IF(OR($D$18="",$H$18="X",N195&lt;N($C$18)),0,IF(B195="G마켓",ROUNDDOWN(MIN(IF($D$18&gt;=1,MIN($D$18,N195),N195*$D$18),IF($E$18="",9E+99,$E$18)),0),ROUNDUP(MIN(IF($D$18&gt;=1,MIN($D$18,N195),N195*$D$18),IF($E$18="",9E+99,$E$18)),0))))</f>
        <v/>
      </c>
      <c r="P195" s="20">
        <f>IF(N195="","",IF(OR($D$19="",$H$19="X",N195&lt;N($C$19)),0,IF(B195="G마켓",ROUNDDOWN(MIN(IF($D$19&gt;=1,MIN($D$19,N195),N195*$D$19),IF($E$19="",9E+99,$E$19)),0),ROUNDUP(MIN(IF($D$19&gt;=1,MIN($D$19,N195),N195*$D$19),IF($E$19="",9E+99,$E$19)),0))))</f>
        <v/>
      </c>
      <c r="Q195" s="20">
        <f>IF(N195="","",IF(OR($D$20="",$H$20="X",N195&lt;N($C$20)),0,IF(B195="G마켓",ROUNDDOWN(MIN(IF($D$20&gt;=1,MIN($D$20,N195),N195*$D$20),IF($E$20="",9E+99,$E$20)),0),ROUNDUP(MIN(IF($D$20&gt;=1,MIN($D$20,N195),N195*$D$20),IF($E$20="",9E+99,$E$20)),0))))</f>
        <v/>
      </c>
      <c r="R195" s="20">
        <f>IF(N195="","",IF(OR($D$21="",$H$21="X",N195&lt;N($C$21)),0,IF(B195="G마켓",ROUNDDOWN(MIN(IF($D$21&gt;=1,MIN($D$21,N195),N195*$D$21),IF($E$21="",9E+99,$E$21)),0),ROUNDUP(MIN(IF($D$21&gt;=1,MIN($D$21,N195),N195*$D$21),IF($E$21="",9E+99,$E$21)),0))))</f>
        <v/>
      </c>
      <c r="S195" s="19">
        <f>IF(G195="","",N195-MAX(O195:R195))</f>
        <v/>
      </c>
      <c r="T195" s="20">
        <f>IF(S195="","",IF(OR($D$25="",S195&lt;N($C$25)),0,IF(B195="G마켓",ROUNDDOWN(MIN(IF($D$25&gt;=1,MIN($D$25,S195),S195*$D$25),IF($E$25="",9E+99,$E$25)),0),ROUNDUP(MIN(IF($D$25&gt;=1,MIN($D$25,S195),S195*$D$25),IF($E$25="",9E+99,$E$25)),0))))</f>
        <v/>
      </c>
      <c r="U195" s="20">
        <f>IF(S195="","",IF(OR($D$26="",S195&lt;N($C$26)),0,IF(B195="G마켓",ROUNDDOWN(MIN(IF($D$26&gt;=1,MIN($D$26,S195),S195*$D$26),IF($E$26="",9E+99,$E$26)),0),ROUNDUP(MIN(IF($D$26&gt;=1,MIN($D$26,S195),S195*$D$26),IF($E$26="",9E+99,$E$26)),0))))</f>
        <v/>
      </c>
      <c r="V195" s="20">
        <f>IF(S195="","",IF(OR($D$27="",S195&lt;N($C$27)),0,IF(B195="G마켓",ROUNDDOWN(MIN(IF($D$27&gt;=1,MIN($D$27,S195),S195*$D$27),IF($E$27="",9E+99,$E$27)),0),ROUNDUP(MIN(IF($D$27&gt;=1,MIN($D$27,S195),S195*$D$27),IF($E$27="",9E+99,$E$27)),0))))</f>
        <v/>
      </c>
      <c r="W195" s="19">
        <f>IF(G195="","",MAX(T195:V195))</f>
        <v/>
      </c>
      <c r="X195" s="21">
        <f>IF(G195="","",S195-W195)</f>
        <v/>
      </c>
      <c r="Y195" s="19">
        <f>IF(G195="","",IF(B195="G마켓",ROUNDDOWN(MAX(I195*N($G$10),J195*N($G$11),K195*N($G$12),L195*N($G$13),M195*N($G$14))+MAX(O195*N($G$18),P195*N($G$19),Q195*N($G$20),R195*N($G$21))+MAX(T195*N($G$25),U195*N($G$26),V195*N($G$27)),0),ROUNDUP(MAX(I195*N($G$10),J195*N($G$11),K195*N($G$12),L195*N($G$13),M195*N($G$14))+MAX(O195*N($G$18),P195*N($G$19),Q195*N($G$20),R195*N($G$21))+MAX(T195*N($G$25),U195*N($G$26),V195*N($G$27)),0)))</f>
        <v/>
      </c>
      <c r="Z195" s="21">
        <f>IF(G195="","",IF(B195="G마켓",ROUNDDOWN(G195-G195*$Q$6-Y195,0),ROUNDUP(G195-G195*$Q$6-Y195,0)))</f>
        <v/>
      </c>
    </row>
    <row r="196">
      <c r="B196" s="7" t="n"/>
      <c r="C196" s="7" t="n"/>
      <c r="D196" s="22" t="n"/>
      <c r="E196" s="23" t="n"/>
      <c r="F196" s="23" t="n"/>
      <c r="G196" s="19">
        <f>IF(E196="","",E196-N(F196))</f>
        <v/>
      </c>
      <c r="I196" s="20">
        <f>IF(G196="","",IF(OR($D$10="",$H$10="X",G196&lt;N($C$10)),0,IF(B196="G마켓",ROUNDDOWN(MIN(IF($D$10&gt;=1,MIN($D$10,G196),G196*$D$10),IF($E$10="",9E+99,$E$10)),0),ROUNDUP(MIN(IF($D$10&gt;=1,MIN($D$10,G196),G196*$D$10),IF($E$10="",9E+99,$E$10)),0))))</f>
        <v/>
      </c>
      <c r="J196" s="20">
        <f>IF(G196="","",IF(OR($D$11="",$H$11="X",G196&lt;N($C$11)),0,IF(B196="G마켓",ROUNDDOWN(MIN(IF($D$11&gt;=1,MIN($D$11,G196),G196*$D$11),IF($E$11="",9E+99,$E$11)),0),ROUNDUP(MIN(IF($D$11&gt;=1,MIN($D$11,G196),G196*$D$11),IF($E$11="",9E+99,$E$11)),0))))</f>
        <v/>
      </c>
      <c r="K196" s="20">
        <f>IF(G196="","",IF(OR($D$12="",$H$12="X",G196&lt;N($C$12)),0,IF(B196="G마켓",ROUNDDOWN(MIN(IF($D$12&gt;=1,MIN($D$12,G196),G196*$D$12),IF($E$12="",9E+99,$E$12)),0),ROUNDUP(MIN(IF($D$12&gt;=1,MIN($D$12,G196),G196*$D$12),IF($E$12="",9E+99,$E$12)),0))))</f>
        <v/>
      </c>
      <c r="L196" s="20">
        <f>IF(G196="","",IF(OR($D$13="",$H$13="X",G196&lt;N($C$13)),0,IF(B196="G마켓",ROUNDDOWN(MIN(IF($D$13&gt;=1,MIN($D$13,G196),G196*$D$13),IF($E$13="",9E+99,$E$13)),0),ROUNDUP(MIN(IF($D$13&gt;=1,MIN($D$13,G196),G196*$D$13),IF($E$13="",9E+99,$E$13)),0))))</f>
        <v/>
      </c>
      <c r="M196" s="20">
        <f>IF(G196="","",IF(OR($D$14="",$H$14="X",G196&lt;N($C$14)),0,IF(B196="G마켓",ROUNDDOWN(MIN(IF($D$14&gt;=1,MIN($D$14,G196),G196*$D$14),IF($E$14="",9E+99,$E$14)),0),ROUNDUP(MIN(IF($D$14&gt;=1,MIN($D$14,G196),G196*$D$14),IF($E$14="",9E+99,$E$14)),0))))</f>
        <v/>
      </c>
      <c r="N196" s="19">
        <f>IF(G196="","",G196-MAX(I196:M196))</f>
        <v/>
      </c>
      <c r="O196" s="20">
        <f>IF(N196="","",IF(OR($D$18="",$H$18="X",N196&lt;N($C$18)),0,IF(B196="G마켓",ROUNDDOWN(MIN(IF($D$18&gt;=1,MIN($D$18,N196),N196*$D$18),IF($E$18="",9E+99,$E$18)),0),ROUNDUP(MIN(IF($D$18&gt;=1,MIN($D$18,N196),N196*$D$18),IF($E$18="",9E+99,$E$18)),0))))</f>
        <v/>
      </c>
      <c r="P196" s="20">
        <f>IF(N196="","",IF(OR($D$19="",$H$19="X",N196&lt;N($C$19)),0,IF(B196="G마켓",ROUNDDOWN(MIN(IF($D$19&gt;=1,MIN($D$19,N196),N196*$D$19),IF($E$19="",9E+99,$E$19)),0),ROUNDUP(MIN(IF($D$19&gt;=1,MIN($D$19,N196),N196*$D$19),IF($E$19="",9E+99,$E$19)),0))))</f>
        <v/>
      </c>
      <c r="Q196" s="20">
        <f>IF(N196="","",IF(OR($D$20="",$H$20="X",N196&lt;N($C$20)),0,IF(B196="G마켓",ROUNDDOWN(MIN(IF($D$20&gt;=1,MIN($D$20,N196),N196*$D$20),IF($E$20="",9E+99,$E$20)),0),ROUNDUP(MIN(IF($D$20&gt;=1,MIN($D$20,N196),N196*$D$20),IF($E$20="",9E+99,$E$20)),0))))</f>
        <v/>
      </c>
      <c r="R196" s="20">
        <f>IF(N196="","",IF(OR($D$21="",$H$21="X",N196&lt;N($C$21)),0,IF(B196="G마켓",ROUNDDOWN(MIN(IF($D$21&gt;=1,MIN($D$21,N196),N196*$D$21),IF($E$21="",9E+99,$E$21)),0),ROUNDUP(MIN(IF($D$21&gt;=1,MIN($D$21,N196),N196*$D$21),IF($E$21="",9E+99,$E$21)),0))))</f>
        <v/>
      </c>
      <c r="S196" s="19">
        <f>IF(G196="","",N196-MAX(O196:R196))</f>
        <v/>
      </c>
      <c r="T196" s="20">
        <f>IF(S196="","",IF(OR($D$25="",S196&lt;N($C$25)),0,IF(B196="G마켓",ROUNDDOWN(MIN(IF($D$25&gt;=1,MIN($D$25,S196),S196*$D$25),IF($E$25="",9E+99,$E$25)),0),ROUNDUP(MIN(IF($D$25&gt;=1,MIN($D$25,S196),S196*$D$25),IF($E$25="",9E+99,$E$25)),0))))</f>
        <v/>
      </c>
      <c r="U196" s="20">
        <f>IF(S196="","",IF(OR($D$26="",S196&lt;N($C$26)),0,IF(B196="G마켓",ROUNDDOWN(MIN(IF($D$26&gt;=1,MIN($D$26,S196),S196*$D$26),IF($E$26="",9E+99,$E$26)),0),ROUNDUP(MIN(IF($D$26&gt;=1,MIN($D$26,S196),S196*$D$26),IF($E$26="",9E+99,$E$26)),0))))</f>
        <v/>
      </c>
      <c r="V196" s="20">
        <f>IF(S196="","",IF(OR($D$27="",S196&lt;N($C$27)),0,IF(B196="G마켓",ROUNDDOWN(MIN(IF($D$27&gt;=1,MIN($D$27,S196),S196*$D$27),IF($E$27="",9E+99,$E$27)),0),ROUNDUP(MIN(IF($D$27&gt;=1,MIN($D$27,S196),S196*$D$27),IF($E$27="",9E+99,$E$27)),0))))</f>
        <v/>
      </c>
      <c r="W196" s="19">
        <f>IF(G196="","",MAX(T196:V196))</f>
        <v/>
      </c>
      <c r="X196" s="21">
        <f>IF(G196="","",S196-W196)</f>
        <v/>
      </c>
      <c r="Y196" s="19">
        <f>IF(G196="","",IF(B196="G마켓",ROUNDDOWN(MAX(I196*N($G$10),J196*N($G$11),K196*N($G$12),L196*N($G$13),M196*N($G$14))+MAX(O196*N($G$18),P196*N($G$19),Q196*N($G$20),R196*N($G$21))+MAX(T196*N($G$25),U196*N($G$26),V196*N($G$27)),0),ROUNDUP(MAX(I196*N($G$10),J196*N($G$11),K196*N($G$12),L196*N($G$13),M196*N($G$14))+MAX(O196*N($G$18),P196*N($G$19),Q196*N($G$20),R196*N($G$21))+MAX(T196*N($G$25),U196*N($G$26),V196*N($G$27)),0)))</f>
        <v/>
      </c>
      <c r="Z196" s="21">
        <f>IF(G196="","",IF(B196="G마켓",ROUNDDOWN(G196-G196*$Q$6-Y196,0),ROUNDUP(G196-G196*$Q$6-Y196,0)))</f>
        <v/>
      </c>
    </row>
    <row r="197">
      <c r="B197" s="7" t="n"/>
      <c r="C197" s="7" t="n"/>
      <c r="D197" s="22" t="n"/>
      <c r="E197" s="23" t="n"/>
      <c r="F197" s="23" t="n"/>
      <c r="G197" s="19">
        <f>IF(E197="","",E197-N(F197))</f>
        <v/>
      </c>
      <c r="I197" s="20">
        <f>IF(G197="","",IF(OR($D$10="",$H$10="X",G197&lt;N($C$10)),0,IF(B197="G마켓",ROUNDDOWN(MIN(IF($D$10&gt;=1,MIN($D$10,G197),G197*$D$10),IF($E$10="",9E+99,$E$10)),0),ROUNDUP(MIN(IF($D$10&gt;=1,MIN($D$10,G197),G197*$D$10),IF($E$10="",9E+99,$E$10)),0))))</f>
        <v/>
      </c>
      <c r="J197" s="20">
        <f>IF(G197="","",IF(OR($D$11="",$H$11="X",G197&lt;N($C$11)),0,IF(B197="G마켓",ROUNDDOWN(MIN(IF($D$11&gt;=1,MIN($D$11,G197),G197*$D$11),IF($E$11="",9E+99,$E$11)),0),ROUNDUP(MIN(IF($D$11&gt;=1,MIN($D$11,G197),G197*$D$11),IF($E$11="",9E+99,$E$11)),0))))</f>
        <v/>
      </c>
      <c r="K197" s="20">
        <f>IF(G197="","",IF(OR($D$12="",$H$12="X",G197&lt;N($C$12)),0,IF(B197="G마켓",ROUNDDOWN(MIN(IF($D$12&gt;=1,MIN($D$12,G197),G197*$D$12),IF($E$12="",9E+99,$E$12)),0),ROUNDUP(MIN(IF($D$12&gt;=1,MIN($D$12,G197),G197*$D$12),IF($E$12="",9E+99,$E$12)),0))))</f>
        <v/>
      </c>
      <c r="L197" s="20">
        <f>IF(G197="","",IF(OR($D$13="",$H$13="X",G197&lt;N($C$13)),0,IF(B197="G마켓",ROUNDDOWN(MIN(IF($D$13&gt;=1,MIN($D$13,G197),G197*$D$13),IF($E$13="",9E+99,$E$13)),0),ROUNDUP(MIN(IF($D$13&gt;=1,MIN($D$13,G197),G197*$D$13),IF($E$13="",9E+99,$E$13)),0))))</f>
        <v/>
      </c>
      <c r="M197" s="20">
        <f>IF(G197="","",IF(OR($D$14="",$H$14="X",G197&lt;N($C$14)),0,IF(B197="G마켓",ROUNDDOWN(MIN(IF($D$14&gt;=1,MIN($D$14,G197),G197*$D$14),IF($E$14="",9E+99,$E$14)),0),ROUNDUP(MIN(IF($D$14&gt;=1,MIN($D$14,G197),G197*$D$14),IF($E$14="",9E+99,$E$14)),0))))</f>
        <v/>
      </c>
      <c r="N197" s="19">
        <f>IF(G197="","",G197-MAX(I197:M197))</f>
        <v/>
      </c>
      <c r="O197" s="20">
        <f>IF(N197="","",IF(OR($D$18="",$H$18="X",N197&lt;N($C$18)),0,IF(B197="G마켓",ROUNDDOWN(MIN(IF($D$18&gt;=1,MIN($D$18,N197),N197*$D$18),IF($E$18="",9E+99,$E$18)),0),ROUNDUP(MIN(IF($D$18&gt;=1,MIN($D$18,N197),N197*$D$18),IF($E$18="",9E+99,$E$18)),0))))</f>
        <v/>
      </c>
      <c r="P197" s="20">
        <f>IF(N197="","",IF(OR($D$19="",$H$19="X",N197&lt;N($C$19)),0,IF(B197="G마켓",ROUNDDOWN(MIN(IF($D$19&gt;=1,MIN($D$19,N197),N197*$D$19),IF($E$19="",9E+99,$E$19)),0),ROUNDUP(MIN(IF($D$19&gt;=1,MIN($D$19,N197),N197*$D$19),IF($E$19="",9E+99,$E$19)),0))))</f>
        <v/>
      </c>
      <c r="Q197" s="20">
        <f>IF(N197="","",IF(OR($D$20="",$H$20="X",N197&lt;N($C$20)),0,IF(B197="G마켓",ROUNDDOWN(MIN(IF($D$20&gt;=1,MIN($D$20,N197),N197*$D$20),IF($E$20="",9E+99,$E$20)),0),ROUNDUP(MIN(IF($D$20&gt;=1,MIN($D$20,N197),N197*$D$20),IF($E$20="",9E+99,$E$20)),0))))</f>
        <v/>
      </c>
      <c r="R197" s="20">
        <f>IF(N197="","",IF(OR($D$21="",$H$21="X",N197&lt;N($C$21)),0,IF(B197="G마켓",ROUNDDOWN(MIN(IF($D$21&gt;=1,MIN($D$21,N197),N197*$D$21),IF($E$21="",9E+99,$E$21)),0),ROUNDUP(MIN(IF($D$21&gt;=1,MIN($D$21,N197),N197*$D$21),IF($E$21="",9E+99,$E$21)),0))))</f>
        <v/>
      </c>
      <c r="S197" s="19">
        <f>IF(G197="","",N197-MAX(O197:R197))</f>
        <v/>
      </c>
      <c r="T197" s="20">
        <f>IF(S197="","",IF(OR($D$25="",S197&lt;N($C$25)),0,IF(B197="G마켓",ROUNDDOWN(MIN(IF($D$25&gt;=1,MIN($D$25,S197),S197*$D$25),IF($E$25="",9E+99,$E$25)),0),ROUNDUP(MIN(IF($D$25&gt;=1,MIN($D$25,S197),S197*$D$25),IF($E$25="",9E+99,$E$25)),0))))</f>
        <v/>
      </c>
      <c r="U197" s="20">
        <f>IF(S197="","",IF(OR($D$26="",S197&lt;N($C$26)),0,IF(B197="G마켓",ROUNDDOWN(MIN(IF($D$26&gt;=1,MIN($D$26,S197),S197*$D$26),IF($E$26="",9E+99,$E$26)),0),ROUNDUP(MIN(IF($D$26&gt;=1,MIN($D$26,S197),S197*$D$26),IF($E$26="",9E+99,$E$26)),0))))</f>
        <v/>
      </c>
      <c r="V197" s="20">
        <f>IF(S197="","",IF(OR($D$27="",S197&lt;N($C$27)),0,IF(B197="G마켓",ROUNDDOWN(MIN(IF($D$27&gt;=1,MIN($D$27,S197),S197*$D$27),IF($E$27="",9E+99,$E$27)),0),ROUNDUP(MIN(IF($D$27&gt;=1,MIN($D$27,S197),S197*$D$27),IF($E$27="",9E+99,$E$27)),0))))</f>
        <v/>
      </c>
      <c r="W197" s="19">
        <f>IF(G197="","",MAX(T197:V197))</f>
        <v/>
      </c>
      <c r="X197" s="21">
        <f>IF(G197="","",S197-W197)</f>
        <v/>
      </c>
      <c r="Y197" s="19">
        <f>IF(G197="","",IF(B197="G마켓",ROUNDDOWN(MAX(I197*N($G$10),J197*N($G$11),K197*N($G$12),L197*N($G$13),M197*N($G$14))+MAX(O197*N($G$18),P197*N($G$19),Q197*N($G$20),R197*N($G$21))+MAX(T197*N($G$25),U197*N($G$26),V197*N($G$27)),0),ROUNDUP(MAX(I197*N($G$10),J197*N($G$11),K197*N($G$12),L197*N($G$13),M197*N($G$14))+MAX(O197*N($G$18),P197*N($G$19),Q197*N($G$20),R197*N($G$21))+MAX(T197*N($G$25),U197*N($G$26),V197*N($G$27)),0)))</f>
        <v/>
      </c>
      <c r="Z197" s="21">
        <f>IF(G197="","",IF(B197="G마켓",ROUNDDOWN(G197-G197*$Q$6-Y197,0),ROUNDUP(G197-G197*$Q$6-Y197,0)))</f>
        <v/>
      </c>
    </row>
    <row r="198">
      <c r="B198" s="7" t="n"/>
      <c r="C198" s="7" t="n"/>
      <c r="D198" s="22" t="n"/>
      <c r="E198" s="23" t="n"/>
      <c r="F198" s="23" t="n"/>
      <c r="G198" s="19">
        <f>IF(E198="","",E198-N(F198))</f>
        <v/>
      </c>
      <c r="I198" s="20">
        <f>IF(G198="","",IF(OR($D$10="",$H$10="X",G198&lt;N($C$10)),0,IF(B198="G마켓",ROUNDDOWN(MIN(IF($D$10&gt;=1,MIN($D$10,G198),G198*$D$10),IF($E$10="",9E+99,$E$10)),0),ROUNDUP(MIN(IF($D$10&gt;=1,MIN($D$10,G198),G198*$D$10),IF($E$10="",9E+99,$E$10)),0))))</f>
        <v/>
      </c>
      <c r="J198" s="20">
        <f>IF(G198="","",IF(OR($D$11="",$H$11="X",G198&lt;N($C$11)),0,IF(B198="G마켓",ROUNDDOWN(MIN(IF($D$11&gt;=1,MIN($D$11,G198),G198*$D$11),IF($E$11="",9E+99,$E$11)),0),ROUNDUP(MIN(IF($D$11&gt;=1,MIN($D$11,G198),G198*$D$11),IF($E$11="",9E+99,$E$11)),0))))</f>
        <v/>
      </c>
      <c r="K198" s="20">
        <f>IF(G198="","",IF(OR($D$12="",$H$12="X",G198&lt;N($C$12)),0,IF(B198="G마켓",ROUNDDOWN(MIN(IF($D$12&gt;=1,MIN($D$12,G198),G198*$D$12),IF($E$12="",9E+99,$E$12)),0),ROUNDUP(MIN(IF($D$12&gt;=1,MIN($D$12,G198),G198*$D$12),IF($E$12="",9E+99,$E$12)),0))))</f>
        <v/>
      </c>
      <c r="L198" s="20">
        <f>IF(G198="","",IF(OR($D$13="",$H$13="X",G198&lt;N($C$13)),0,IF(B198="G마켓",ROUNDDOWN(MIN(IF($D$13&gt;=1,MIN($D$13,G198),G198*$D$13),IF($E$13="",9E+99,$E$13)),0),ROUNDUP(MIN(IF($D$13&gt;=1,MIN($D$13,G198),G198*$D$13),IF($E$13="",9E+99,$E$13)),0))))</f>
        <v/>
      </c>
      <c r="M198" s="20">
        <f>IF(G198="","",IF(OR($D$14="",$H$14="X",G198&lt;N($C$14)),0,IF(B198="G마켓",ROUNDDOWN(MIN(IF($D$14&gt;=1,MIN($D$14,G198),G198*$D$14),IF($E$14="",9E+99,$E$14)),0),ROUNDUP(MIN(IF($D$14&gt;=1,MIN($D$14,G198),G198*$D$14),IF($E$14="",9E+99,$E$14)),0))))</f>
        <v/>
      </c>
      <c r="N198" s="19">
        <f>IF(G198="","",G198-MAX(I198:M198))</f>
        <v/>
      </c>
      <c r="O198" s="20">
        <f>IF(N198="","",IF(OR($D$18="",$H$18="X",N198&lt;N($C$18)),0,IF(B198="G마켓",ROUNDDOWN(MIN(IF($D$18&gt;=1,MIN($D$18,N198),N198*$D$18),IF($E$18="",9E+99,$E$18)),0),ROUNDUP(MIN(IF($D$18&gt;=1,MIN($D$18,N198),N198*$D$18),IF($E$18="",9E+99,$E$18)),0))))</f>
        <v/>
      </c>
      <c r="P198" s="20">
        <f>IF(N198="","",IF(OR($D$19="",$H$19="X",N198&lt;N($C$19)),0,IF(B198="G마켓",ROUNDDOWN(MIN(IF($D$19&gt;=1,MIN($D$19,N198),N198*$D$19),IF($E$19="",9E+99,$E$19)),0),ROUNDUP(MIN(IF($D$19&gt;=1,MIN($D$19,N198),N198*$D$19),IF($E$19="",9E+99,$E$19)),0))))</f>
        <v/>
      </c>
      <c r="Q198" s="20">
        <f>IF(N198="","",IF(OR($D$20="",$H$20="X",N198&lt;N($C$20)),0,IF(B198="G마켓",ROUNDDOWN(MIN(IF($D$20&gt;=1,MIN($D$20,N198),N198*$D$20),IF($E$20="",9E+99,$E$20)),0),ROUNDUP(MIN(IF($D$20&gt;=1,MIN($D$20,N198),N198*$D$20),IF($E$20="",9E+99,$E$20)),0))))</f>
        <v/>
      </c>
      <c r="R198" s="20">
        <f>IF(N198="","",IF(OR($D$21="",$H$21="X",N198&lt;N($C$21)),0,IF(B198="G마켓",ROUNDDOWN(MIN(IF($D$21&gt;=1,MIN($D$21,N198),N198*$D$21),IF($E$21="",9E+99,$E$21)),0),ROUNDUP(MIN(IF($D$21&gt;=1,MIN($D$21,N198),N198*$D$21),IF($E$21="",9E+99,$E$21)),0))))</f>
        <v/>
      </c>
      <c r="S198" s="19">
        <f>IF(G198="","",N198-MAX(O198:R198))</f>
        <v/>
      </c>
      <c r="T198" s="20">
        <f>IF(S198="","",IF(OR($D$25="",S198&lt;N($C$25)),0,IF(B198="G마켓",ROUNDDOWN(MIN(IF($D$25&gt;=1,MIN($D$25,S198),S198*$D$25),IF($E$25="",9E+99,$E$25)),0),ROUNDUP(MIN(IF($D$25&gt;=1,MIN($D$25,S198),S198*$D$25),IF($E$25="",9E+99,$E$25)),0))))</f>
        <v/>
      </c>
      <c r="U198" s="20">
        <f>IF(S198="","",IF(OR($D$26="",S198&lt;N($C$26)),0,IF(B198="G마켓",ROUNDDOWN(MIN(IF($D$26&gt;=1,MIN($D$26,S198),S198*$D$26),IF($E$26="",9E+99,$E$26)),0),ROUNDUP(MIN(IF($D$26&gt;=1,MIN($D$26,S198),S198*$D$26),IF($E$26="",9E+99,$E$26)),0))))</f>
        <v/>
      </c>
      <c r="V198" s="20">
        <f>IF(S198="","",IF(OR($D$27="",S198&lt;N($C$27)),0,IF(B198="G마켓",ROUNDDOWN(MIN(IF($D$27&gt;=1,MIN($D$27,S198),S198*$D$27),IF($E$27="",9E+99,$E$27)),0),ROUNDUP(MIN(IF($D$27&gt;=1,MIN($D$27,S198),S198*$D$27),IF($E$27="",9E+99,$E$27)),0))))</f>
        <v/>
      </c>
      <c r="W198" s="19">
        <f>IF(G198="","",MAX(T198:V198))</f>
        <v/>
      </c>
      <c r="X198" s="21">
        <f>IF(G198="","",S198-W198)</f>
        <v/>
      </c>
      <c r="Y198" s="19">
        <f>IF(G198="","",IF(B198="G마켓",ROUNDDOWN(MAX(I198*N($G$10),J198*N($G$11),K198*N($G$12),L198*N($G$13),M198*N($G$14))+MAX(O198*N($G$18),P198*N($G$19),Q198*N($G$20),R198*N($G$21))+MAX(T198*N($G$25),U198*N($G$26),V198*N($G$27)),0),ROUNDUP(MAX(I198*N($G$10),J198*N($G$11),K198*N($G$12),L198*N($G$13),M198*N($G$14))+MAX(O198*N($G$18),P198*N($G$19),Q198*N($G$20),R198*N($G$21))+MAX(T198*N($G$25),U198*N($G$26),V198*N($G$27)),0)))</f>
        <v/>
      </c>
      <c r="Z198" s="21">
        <f>IF(G198="","",IF(B198="G마켓",ROUNDDOWN(G198-G198*$Q$6-Y198,0),ROUNDUP(G198-G198*$Q$6-Y198,0)))</f>
        <v/>
      </c>
    </row>
    <row r="199">
      <c r="B199" s="7" t="n"/>
      <c r="C199" s="7" t="n"/>
      <c r="D199" s="22" t="n"/>
      <c r="E199" s="23" t="n"/>
      <c r="F199" s="23" t="n"/>
      <c r="G199" s="19">
        <f>IF(E199="","",E199-N(F199))</f>
        <v/>
      </c>
      <c r="I199" s="20">
        <f>IF(G199="","",IF(OR($D$10="",$H$10="X",G199&lt;N($C$10)),0,IF(B199="G마켓",ROUNDDOWN(MIN(IF($D$10&gt;=1,MIN($D$10,G199),G199*$D$10),IF($E$10="",9E+99,$E$10)),0),ROUNDUP(MIN(IF($D$10&gt;=1,MIN($D$10,G199),G199*$D$10),IF($E$10="",9E+99,$E$10)),0))))</f>
        <v/>
      </c>
      <c r="J199" s="20">
        <f>IF(G199="","",IF(OR($D$11="",$H$11="X",G199&lt;N($C$11)),0,IF(B199="G마켓",ROUNDDOWN(MIN(IF($D$11&gt;=1,MIN($D$11,G199),G199*$D$11),IF($E$11="",9E+99,$E$11)),0),ROUNDUP(MIN(IF($D$11&gt;=1,MIN($D$11,G199),G199*$D$11),IF($E$11="",9E+99,$E$11)),0))))</f>
        <v/>
      </c>
      <c r="K199" s="20">
        <f>IF(G199="","",IF(OR($D$12="",$H$12="X",G199&lt;N($C$12)),0,IF(B199="G마켓",ROUNDDOWN(MIN(IF($D$12&gt;=1,MIN($D$12,G199),G199*$D$12),IF($E$12="",9E+99,$E$12)),0),ROUNDUP(MIN(IF($D$12&gt;=1,MIN($D$12,G199),G199*$D$12),IF($E$12="",9E+99,$E$12)),0))))</f>
        <v/>
      </c>
      <c r="L199" s="20">
        <f>IF(G199="","",IF(OR($D$13="",$H$13="X",G199&lt;N($C$13)),0,IF(B199="G마켓",ROUNDDOWN(MIN(IF($D$13&gt;=1,MIN($D$13,G199),G199*$D$13),IF($E$13="",9E+99,$E$13)),0),ROUNDUP(MIN(IF($D$13&gt;=1,MIN($D$13,G199),G199*$D$13),IF($E$13="",9E+99,$E$13)),0))))</f>
        <v/>
      </c>
      <c r="M199" s="20">
        <f>IF(G199="","",IF(OR($D$14="",$H$14="X",G199&lt;N($C$14)),0,IF(B199="G마켓",ROUNDDOWN(MIN(IF($D$14&gt;=1,MIN($D$14,G199),G199*$D$14),IF($E$14="",9E+99,$E$14)),0),ROUNDUP(MIN(IF($D$14&gt;=1,MIN($D$14,G199),G199*$D$14),IF($E$14="",9E+99,$E$14)),0))))</f>
        <v/>
      </c>
      <c r="N199" s="19">
        <f>IF(G199="","",G199-MAX(I199:M199))</f>
        <v/>
      </c>
      <c r="O199" s="20">
        <f>IF(N199="","",IF(OR($D$18="",$H$18="X",N199&lt;N($C$18)),0,IF(B199="G마켓",ROUNDDOWN(MIN(IF($D$18&gt;=1,MIN($D$18,N199),N199*$D$18),IF($E$18="",9E+99,$E$18)),0),ROUNDUP(MIN(IF($D$18&gt;=1,MIN($D$18,N199),N199*$D$18),IF($E$18="",9E+99,$E$18)),0))))</f>
        <v/>
      </c>
      <c r="P199" s="20">
        <f>IF(N199="","",IF(OR($D$19="",$H$19="X",N199&lt;N($C$19)),0,IF(B199="G마켓",ROUNDDOWN(MIN(IF($D$19&gt;=1,MIN($D$19,N199),N199*$D$19),IF($E$19="",9E+99,$E$19)),0),ROUNDUP(MIN(IF($D$19&gt;=1,MIN($D$19,N199),N199*$D$19),IF($E$19="",9E+99,$E$19)),0))))</f>
        <v/>
      </c>
      <c r="Q199" s="20">
        <f>IF(N199="","",IF(OR($D$20="",$H$20="X",N199&lt;N($C$20)),0,IF(B199="G마켓",ROUNDDOWN(MIN(IF($D$20&gt;=1,MIN($D$20,N199),N199*$D$20),IF($E$20="",9E+99,$E$20)),0),ROUNDUP(MIN(IF($D$20&gt;=1,MIN($D$20,N199),N199*$D$20),IF($E$20="",9E+99,$E$20)),0))))</f>
        <v/>
      </c>
      <c r="R199" s="20">
        <f>IF(N199="","",IF(OR($D$21="",$H$21="X",N199&lt;N($C$21)),0,IF(B199="G마켓",ROUNDDOWN(MIN(IF($D$21&gt;=1,MIN($D$21,N199),N199*$D$21),IF($E$21="",9E+99,$E$21)),0),ROUNDUP(MIN(IF($D$21&gt;=1,MIN($D$21,N199),N199*$D$21),IF($E$21="",9E+99,$E$21)),0))))</f>
        <v/>
      </c>
      <c r="S199" s="19">
        <f>IF(G199="","",N199-MAX(O199:R199))</f>
        <v/>
      </c>
      <c r="T199" s="20">
        <f>IF(S199="","",IF(OR($D$25="",S199&lt;N($C$25)),0,IF(B199="G마켓",ROUNDDOWN(MIN(IF($D$25&gt;=1,MIN($D$25,S199),S199*$D$25),IF($E$25="",9E+99,$E$25)),0),ROUNDUP(MIN(IF($D$25&gt;=1,MIN($D$25,S199),S199*$D$25),IF($E$25="",9E+99,$E$25)),0))))</f>
        <v/>
      </c>
      <c r="U199" s="20">
        <f>IF(S199="","",IF(OR($D$26="",S199&lt;N($C$26)),0,IF(B199="G마켓",ROUNDDOWN(MIN(IF($D$26&gt;=1,MIN($D$26,S199),S199*$D$26),IF($E$26="",9E+99,$E$26)),0),ROUNDUP(MIN(IF($D$26&gt;=1,MIN($D$26,S199),S199*$D$26),IF($E$26="",9E+99,$E$26)),0))))</f>
        <v/>
      </c>
      <c r="V199" s="20">
        <f>IF(S199="","",IF(OR($D$27="",S199&lt;N($C$27)),0,IF(B199="G마켓",ROUNDDOWN(MIN(IF($D$27&gt;=1,MIN($D$27,S199),S199*$D$27),IF($E$27="",9E+99,$E$27)),0),ROUNDUP(MIN(IF($D$27&gt;=1,MIN($D$27,S199),S199*$D$27),IF($E$27="",9E+99,$E$27)),0))))</f>
        <v/>
      </c>
      <c r="W199" s="19">
        <f>IF(G199="","",MAX(T199:V199))</f>
        <v/>
      </c>
      <c r="X199" s="21">
        <f>IF(G199="","",S199-W199)</f>
        <v/>
      </c>
      <c r="Y199" s="19">
        <f>IF(G199="","",IF(B199="G마켓",ROUNDDOWN(MAX(I199*N($G$10),J199*N($G$11),K199*N($G$12),L199*N($G$13),M199*N($G$14))+MAX(O199*N($G$18),P199*N($G$19),Q199*N($G$20),R199*N($G$21))+MAX(T199*N($G$25),U199*N($G$26),V199*N($G$27)),0),ROUNDUP(MAX(I199*N($G$10),J199*N($G$11),K199*N($G$12),L199*N($G$13),M199*N($G$14))+MAX(O199*N($G$18),P199*N($G$19),Q199*N($G$20),R199*N($G$21))+MAX(T199*N($G$25),U199*N($G$26),V199*N($G$27)),0)))</f>
        <v/>
      </c>
      <c r="Z199" s="21">
        <f>IF(G199="","",IF(B199="G마켓",ROUNDDOWN(G199-G199*$Q$6-Y199,0),ROUNDUP(G199-G199*$Q$6-Y199,0)))</f>
        <v/>
      </c>
    </row>
    <row r="200">
      <c r="B200" s="7" t="n"/>
      <c r="C200" s="7" t="n"/>
      <c r="D200" s="22" t="n"/>
      <c r="E200" s="23" t="n"/>
      <c r="F200" s="23" t="n"/>
      <c r="G200" s="19">
        <f>IF(E200="","",E200-N(F200))</f>
        <v/>
      </c>
      <c r="I200" s="20">
        <f>IF(G200="","",IF(OR($D$10="",$H$10="X",G200&lt;N($C$10)),0,IF(B200="G마켓",ROUNDDOWN(MIN(IF($D$10&gt;=1,MIN($D$10,G200),G200*$D$10),IF($E$10="",9E+99,$E$10)),0),ROUNDUP(MIN(IF($D$10&gt;=1,MIN($D$10,G200),G200*$D$10),IF($E$10="",9E+99,$E$10)),0))))</f>
        <v/>
      </c>
      <c r="J200" s="20">
        <f>IF(G200="","",IF(OR($D$11="",$H$11="X",G200&lt;N($C$11)),0,IF(B200="G마켓",ROUNDDOWN(MIN(IF($D$11&gt;=1,MIN($D$11,G200),G200*$D$11),IF($E$11="",9E+99,$E$11)),0),ROUNDUP(MIN(IF($D$11&gt;=1,MIN($D$11,G200),G200*$D$11),IF($E$11="",9E+99,$E$11)),0))))</f>
        <v/>
      </c>
      <c r="K200" s="20">
        <f>IF(G200="","",IF(OR($D$12="",$H$12="X",G200&lt;N($C$12)),0,IF(B200="G마켓",ROUNDDOWN(MIN(IF($D$12&gt;=1,MIN($D$12,G200),G200*$D$12),IF($E$12="",9E+99,$E$12)),0),ROUNDUP(MIN(IF($D$12&gt;=1,MIN($D$12,G200),G200*$D$12),IF($E$12="",9E+99,$E$12)),0))))</f>
        <v/>
      </c>
      <c r="L200" s="20">
        <f>IF(G200="","",IF(OR($D$13="",$H$13="X",G200&lt;N($C$13)),0,IF(B200="G마켓",ROUNDDOWN(MIN(IF($D$13&gt;=1,MIN($D$13,G200),G200*$D$13),IF($E$13="",9E+99,$E$13)),0),ROUNDUP(MIN(IF($D$13&gt;=1,MIN($D$13,G200),G200*$D$13),IF($E$13="",9E+99,$E$13)),0))))</f>
        <v/>
      </c>
      <c r="M200" s="20">
        <f>IF(G200="","",IF(OR($D$14="",$H$14="X",G200&lt;N($C$14)),0,IF(B200="G마켓",ROUNDDOWN(MIN(IF($D$14&gt;=1,MIN($D$14,G200),G200*$D$14),IF($E$14="",9E+99,$E$14)),0),ROUNDUP(MIN(IF($D$14&gt;=1,MIN($D$14,G200),G200*$D$14),IF($E$14="",9E+99,$E$14)),0))))</f>
        <v/>
      </c>
      <c r="N200" s="19">
        <f>IF(G200="","",G200-MAX(I200:M200))</f>
        <v/>
      </c>
      <c r="O200" s="20">
        <f>IF(N200="","",IF(OR($D$18="",$H$18="X",N200&lt;N($C$18)),0,IF(B200="G마켓",ROUNDDOWN(MIN(IF($D$18&gt;=1,MIN($D$18,N200),N200*$D$18),IF($E$18="",9E+99,$E$18)),0),ROUNDUP(MIN(IF($D$18&gt;=1,MIN($D$18,N200),N200*$D$18),IF($E$18="",9E+99,$E$18)),0))))</f>
        <v/>
      </c>
      <c r="P200" s="20">
        <f>IF(N200="","",IF(OR($D$19="",$H$19="X",N200&lt;N($C$19)),0,IF(B200="G마켓",ROUNDDOWN(MIN(IF($D$19&gt;=1,MIN($D$19,N200),N200*$D$19),IF($E$19="",9E+99,$E$19)),0),ROUNDUP(MIN(IF($D$19&gt;=1,MIN($D$19,N200),N200*$D$19),IF($E$19="",9E+99,$E$19)),0))))</f>
        <v/>
      </c>
      <c r="Q200" s="20">
        <f>IF(N200="","",IF(OR($D$20="",$H$20="X",N200&lt;N($C$20)),0,IF(B200="G마켓",ROUNDDOWN(MIN(IF($D$20&gt;=1,MIN($D$20,N200),N200*$D$20),IF($E$20="",9E+99,$E$20)),0),ROUNDUP(MIN(IF($D$20&gt;=1,MIN($D$20,N200),N200*$D$20),IF($E$20="",9E+99,$E$20)),0))))</f>
        <v/>
      </c>
      <c r="R200" s="20">
        <f>IF(N200="","",IF(OR($D$21="",$H$21="X",N200&lt;N($C$21)),0,IF(B200="G마켓",ROUNDDOWN(MIN(IF($D$21&gt;=1,MIN($D$21,N200),N200*$D$21),IF($E$21="",9E+99,$E$21)),0),ROUNDUP(MIN(IF($D$21&gt;=1,MIN($D$21,N200),N200*$D$21),IF($E$21="",9E+99,$E$21)),0))))</f>
        <v/>
      </c>
      <c r="S200" s="19">
        <f>IF(G200="","",N200-MAX(O200:R200))</f>
        <v/>
      </c>
      <c r="T200" s="20">
        <f>IF(S200="","",IF(OR($D$25="",S200&lt;N($C$25)),0,IF(B200="G마켓",ROUNDDOWN(MIN(IF($D$25&gt;=1,MIN($D$25,S200),S200*$D$25),IF($E$25="",9E+99,$E$25)),0),ROUNDUP(MIN(IF($D$25&gt;=1,MIN($D$25,S200),S200*$D$25),IF($E$25="",9E+99,$E$25)),0))))</f>
        <v/>
      </c>
      <c r="U200" s="20">
        <f>IF(S200="","",IF(OR($D$26="",S200&lt;N($C$26)),0,IF(B200="G마켓",ROUNDDOWN(MIN(IF($D$26&gt;=1,MIN($D$26,S200),S200*$D$26),IF($E$26="",9E+99,$E$26)),0),ROUNDUP(MIN(IF($D$26&gt;=1,MIN($D$26,S200),S200*$D$26),IF($E$26="",9E+99,$E$26)),0))))</f>
        <v/>
      </c>
      <c r="V200" s="20">
        <f>IF(S200="","",IF(OR($D$27="",S200&lt;N($C$27)),0,IF(B200="G마켓",ROUNDDOWN(MIN(IF($D$27&gt;=1,MIN($D$27,S200),S200*$D$27),IF($E$27="",9E+99,$E$27)),0),ROUNDUP(MIN(IF($D$27&gt;=1,MIN($D$27,S200),S200*$D$27),IF($E$27="",9E+99,$E$27)),0))))</f>
        <v/>
      </c>
      <c r="W200" s="19">
        <f>IF(G200="","",MAX(T200:V200))</f>
        <v/>
      </c>
      <c r="X200" s="21">
        <f>IF(G200="","",S200-W200)</f>
        <v/>
      </c>
      <c r="Y200" s="19">
        <f>IF(G200="","",IF(B200="G마켓",ROUNDDOWN(MAX(I200*N($G$10),J200*N($G$11),K200*N($G$12),L200*N($G$13),M200*N($G$14))+MAX(O200*N($G$18),P200*N($G$19),Q200*N($G$20),R200*N($G$21))+MAX(T200*N($G$25),U200*N($G$26),V200*N($G$27)),0),ROUNDUP(MAX(I200*N($G$10),J200*N($G$11),K200*N($G$12),L200*N($G$13),M200*N($G$14))+MAX(O200*N($G$18),P200*N($G$19),Q200*N($G$20),R200*N($G$21))+MAX(T200*N($G$25),U200*N($G$26),V200*N($G$27)),0)))</f>
        <v/>
      </c>
      <c r="Z200" s="21">
        <f>IF(G200="","",IF(B200="G마켓",ROUNDDOWN(G200-G200*$Q$6-Y200,0),ROUNDUP(G200-G200*$Q$6-Y200,0)))</f>
        <v/>
      </c>
    </row>
    <row r="201">
      <c r="B201" s="7" t="n"/>
      <c r="C201" s="7" t="n"/>
      <c r="D201" s="22" t="n"/>
      <c r="E201" s="23" t="n"/>
      <c r="F201" s="23" t="n"/>
      <c r="G201" s="19">
        <f>IF(E201="","",E201-N(F201))</f>
        <v/>
      </c>
      <c r="I201" s="20">
        <f>IF(G201="","",IF(OR($D$10="",$H$10="X",G201&lt;N($C$10)),0,IF(B201="G마켓",ROUNDDOWN(MIN(IF($D$10&gt;=1,MIN($D$10,G201),G201*$D$10),IF($E$10="",9E+99,$E$10)),0),ROUNDUP(MIN(IF($D$10&gt;=1,MIN($D$10,G201),G201*$D$10),IF($E$10="",9E+99,$E$10)),0))))</f>
        <v/>
      </c>
      <c r="J201" s="20">
        <f>IF(G201="","",IF(OR($D$11="",$H$11="X",G201&lt;N($C$11)),0,IF(B201="G마켓",ROUNDDOWN(MIN(IF($D$11&gt;=1,MIN($D$11,G201),G201*$D$11),IF($E$11="",9E+99,$E$11)),0),ROUNDUP(MIN(IF($D$11&gt;=1,MIN($D$11,G201),G201*$D$11),IF($E$11="",9E+99,$E$11)),0))))</f>
        <v/>
      </c>
      <c r="K201" s="20">
        <f>IF(G201="","",IF(OR($D$12="",$H$12="X",G201&lt;N($C$12)),0,IF(B201="G마켓",ROUNDDOWN(MIN(IF($D$12&gt;=1,MIN($D$12,G201),G201*$D$12),IF($E$12="",9E+99,$E$12)),0),ROUNDUP(MIN(IF($D$12&gt;=1,MIN($D$12,G201),G201*$D$12),IF($E$12="",9E+99,$E$12)),0))))</f>
        <v/>
      </c>
      <c r="L201" s="20">
        <f>IF(G201="","",IF(OR($D$13="",$H$13="X",G201&lt;N($C$13)),0,IF(B201="G마켓",ROUNDDOWN(MIN(IF($D$13&gt;=1,MIN($D$13,G201),G201*$D$13),IF($E$13="",9E+99,$E$13)),0),ROUNDUP(MIN(IF($D$13&gt;=1,MIN($D$13,G201),G201*$D$13),IF($E$13="",9E+99,$E$13)),0))))</f>
        <v/>
      </c>
      <c r="M201" s="20">
        <f>IF(G201="","",IF(OR($D$14="",$H$14="X",G201&lt;N($C$14)),0,IF(B201="G마켓",ROUNDDOWN(MIN(IF($D$14&gt;=1,MIN($D$14,G201),G201*$D$14),IF($E$14="",9E+99,$E$14)),0),ROUNDUP(MIN(IF($D$14&gt;=1,MIN($D$14,G201),G201*$D$14),IF($E$14="",9E+99,$E$14)),0))))</f>
        <v/>
      </c>
      <c r="N201" s="19">
        <f>IF(G201="","",G201-MAX(I201:M201))</f>
        <v/>
      </c>
      <c r="O201" s="20">
        <f>IF(N201="","",IF(OR($D$18="",$H$18="X",N201&lt;N($C$18)),0,IF(B201="G마켓",ROUNDDOWN(MIN(IF($D$18&gt;=1,MIN($D$18,N201),N201*$D$18),IF($E$18="",9E+99,$E$18)),0),ROUNDUP(MIN(IF($D$18&gt;=1,MIN($D$18,N201),N201*$D$18),IF($E$18="",9E+99,$E$18)),0))))</f>
        <v/>
      </c>
      <c r="P201" s="20">
        <f>IF(N201="","",IF(OR($D$19="",$H$19="X",N201&lt;N($C$19)),0,IF(B201="G마켓",ROUNDDOWN(MIN(IF($D$19&gt;=1,MIN($D$19,N201),N201*$D$19),IF($E$19="",9E+99,$E$19)),0),ROUNDUP(MIN(IF($D$19&gt;=1,MIN($D$19,N201),N201*$D$19),IF($E$19="",9E+99,$E$19)),0))))</f>
        <v/>
      </c>
      <c r="Q201" s="20">
        <f>IF(N201="","",IF(OR($D$20="",$H$20="X",N201&lt;N($C$20)),0,IF(B201="G마켓",ROUNDDOWN(MIN(IF($D$20&gt;=1,MIN($D$20,N201),N201*$D$20),IF($E$20="",9E+99,$E$20)),0),ROUNDUP(MIN(IF($D$20&gt;=1,MIN($D$20,N201),N201*$D$20),IF($E$20="",9E+99,$E$20)),0))))</f>
        <v/>
      </c>
      <c r="R201" s="20">
        <f>IF(N201="","",IF(OR($D$21="",$H$21="X",N201&lt;N($C$21)),0,IF(B201="G마켓",ROUNDDOWN(MIN(IF($D$21&gt;=1,MIN($D$21,N201),N201*$D$21),IF($E$21="",9E+99,$E$21)),0),ROUNDUP(MIN(IF($D$21&gt;=1,MIN($D$21,N201),N201*$D$21),IF($E$21="",9E+99,$E$21)),0))))</f>
        <v/>
      </c>
      <c r="S201" s="19">
        <f>IF(G201="","",N201-MAX(O201:R201))</f>
        <v/>
      </c>
      <c r="T201" s="20">
        <f>IF(S201="","",IF(OR($D$25="",S201&lt;N($C$25)),0,IF(B201="G마켓",ROUNDDOWN(MIN(IF($D$25&gt;=1,MIN($D$25,S201),S201*$D$25),IF($E$25="",9E+99,$E$25)),0),ROUNDUP(MIN(IF($D$25&gt;=1,MIN($D$25,S201),S201*$D$25),IF($E$25="",9E+99,$E$25)),0))))</f>
        <v/>
      </c>
      <c r="U201" s="20">
        <f>IF(S201="","",IF(OR($D$26="",S201&lt;N($C$26)),0,IF(B201="G마켓",ROUNDDOWN(MIN(IF($D$26&gt;=1,MIN($D$26,S201),S201*$D$26),IF($E$26="",9E+99,$E$26)),0),ROUNDUP(MIN(IF($D$26&gt;=1,MIN($D$26,S201),S201*$D$26),IF($E$26="",9E+99,$E$26)),0))))</f>
        <v/>
      </c>
      <c r="V201" s="20">
        <f>IF(S201="","",IF(OR($D$27="",S201&lt;N($C$27)),0,IF(B201="G마켓",ROUNDDOWN(MIN(IF($D$27&gt;=1,MIN($D$27,S201),S201*$D$27),IF($E$27="",9E+99,$E$27)),0),ROUNDUP(MIN(IF($D$27&gt;=1,MIN($D$27,S201),S201*$D$27),IF($E$27="",9E+99,$E$27)),0))))</f>
        <v/>
      </c>
      <c r="W201" s="19">
        <f>IF(G201="","",MAX(T201:V201))</f>
        <v/>
      </c>
      <c r="X201" s="21">
        <f>IF(G201="","",S201-W201)</f>
        <v/>
      </c>
      <c r="Y201" s="19">
        <f>IF(G201="","",IF(B201="G마켓",ROUNDDOWN(MAX(I201*N($G$10),J201*N($G$11),K201*N($G$12),L201*N($G$13),M201*N($G$14))+MAX(O201*N($G$18),P201*N($G$19),Q201*N($G$20),R201*N($G$21))+MAX(T201*N($G$25),U201*N($G$26),V201*N($G$27)),0),ROUNDUP(MAX(I201*N($G$10),J201*N($G$11),K201*N($G$12),L201*N($G$13),M201*N($G$14))+MAX(O201*N($G$18),P201*N($G$19),Q201*N($G$20),R201*N($G$21))+MAX(T201*N($G$25),U201*N($G$26),V201*N($G$27)),0)))</f>
        <v/>
      </c>
      <c r="Z201" s="21">
        <f>IF(G201="","",IF(B201="G마켓",ROUNDDOWN(G201-G201*$Q$6-Y201,0),ROUNDUP(G201-G201*$Q$6-Y201,0)))</f>
        <v/>
      </c>
    </row>
    <row r="202">
      <c r="B202" s="7" t="n"/>
      <c r="C202" s="7" t="n"/>
      <c r="D202" s="22" t="n"/>
      <c r="E202" s="23" t="n"/>
      <c r="F202" s="23" t="n"/>
      <c r="G202" s="19">
        <f>IF(E202="","",E202-N(F202))</f>
        <v/>
      </c>
      <c r="I202" s="20">
        <f>IF(G202="","",IF(OR($D$10="",$H$10="X",G202&lt;N($C$10)),0,IF(B202="G마켓",ROUNDDOWN(MIN(IF($D$10&gt;=1,MIN($D$10,G202),G202*$D$10),IF($E$10="",9E+99,$E$10)),0),ROUNDUP(MIN(IF($D$10&gt;=1,MIN($D$10,G202),G202*$D$10),IF($E$10="",9E+99,$E$10)),0))))</f>
        <v/>
      </c>
      <c r="J202" s="20">
        <f>IF(G202="","",IF(OR($D$11="",$H$11="X",G202&lt;N($C$11)),0,IF(B202="G마켓",ROUNDDOWN(MIN(IF($D$11&gt;=1,MIN($D$11,G202),G202*$D$11),IF($E$11="",9E+99,$E$11)),0),ROUNDUP(MIN(IF($D$11&gt;=1,MIN($D$11,G202),G202*$D$11),IF($E$11="",9E+99,$E$11)),0))))</f>
        <v/>
      </c>
      <c r="K202" s="20">
        <f>IF(G202="","",IF(OR($D$12="",$H$12="X",G202&lt;N($C$12)),0,IF(B202="G마켓",ROUNDDOWN(MIN(IF($D$12&gt;=1,MIN($D$12,G202),G202*$D$12),IF($E$12="",9E+99,$E$12)),0),ROUNDUP(MIN(IF($D$12&gt;=1,MIN($D$12,G202),G202*$D$12),IF($E$12="",9E+99,$E$12)),0))))</f>
        <v/>
      </c>
      <c r="L202" s="20">
        <f>IF(G202="","",IF(OR($D$13="",$H$13="X",G202&lt;N($C$13)),0,IF(B202="G마켓",ROUNDDOWN(MIN(IF($D$13&gt;=1,MIN($D$13,G202),G202*$D$13),IF($E$13="",9E+99,$E$13)),0),ROUNDUP(MIN(IF($D$13&gt;=1,MIN($D$13,G202),G202*$D$13),IF($E$13="",9E+99,$E$13)),0))))</f>
        <v/>
      </c>
      <c r="M202" s="20">
        <f>IF(G202="","",IF(OR($D$14="",$H$14="X",G202&lt;N($C$14)),0,IF(B202="G마켓",ROUNDDOWN(MIN(IF($D$14&gt;=1,MIN($D$14,G202),G202*$D$14),IF($E$14="",9E+99,$E$14)),0),ROUNDUP(MIN(IF($D$14&gt;=1,MIN($D$14,G202),G202*$D$14),IF($E$14="",9E+99,$E$14)),0))))</f>
        <v/>
      </c>
      <c r="N202" s="19">
        <f>IF(G202="","",G202-MAX(I202:M202))</f>
        <v/>
      </c>
      <c r="O202" s="20">
        <f>IF(N202="","",IF(OR($D$18="",$H$18="X",N202&lt;N($C$18)),0,IF(B202="G마켓",ROUNDDOWN(MIN(IF($D$18&gt;=1,MIN($D$18,N202),N202*$D$18),IF($E$18="",9E+99,$E$18)),0),ROUNDUP(MIN(IF($D$18&gt;=1,MIN($D$18,N202),N202*$D$18),IF($E$18="",9E+99,$E$18)),0))))</f>
        <v/>
      </c>
      <c r="P202" s="20">
        <f>IF(N202="","",IF(OR($D$19="",$H$19="X",N202&lt;N($C$19)),0,IF(B202="G마켓",ROUNDDOWN(MIN(IF($D$19&gt;=1,MIN($D$19,N202),N202*$D$19),IF($E$19="",9E+99,$E$19)),0),ROUNDUP(MIN(IF($D$19&gt;=1,MIN($D$19,N202),N202*$D$19),IF($E$19="",9E+99,$E$19)),0))))</f>
        <v/>
      </c>
      <c r="Q202" s="20">
        <f>IF(N202="","",IF(OR($D$20="",$H$20="X",N202&lt;N($C$20)),0,IF(B202="G마켓",ROUNDDOWN(MIN(IF($D$20&gt;=1,MIN($D$20,N202),N202*$D$20),IF($E$20="",9E+99,$E$20)),0),ROUNDUP(MIN(IF($D$20&gt;=1,MIN($D$20,N202),N202*$D$20),IF($E$20="",9E+99,$E$20)),0))))</f>
        <v/>
      </c>
      <c r="R202" s="20">
        <f>IF(N202="","",IF(OR($D$21="",$H$21="X",N202&lt;N($C$21)),0,IF(B202="G마켓",ROUNDDOWN(MIN(IF($D$21&gt;=1,MIN($D$21,N202),N202*$D$21),IF($E$21="",9E+99,$E$21)),0),ROUNDUP(MIN(IF($D$21&gt;=1,MIN($D$21,N202),N202*$D$21),IF($E$21="",9E+99,$E$21)),0))))</f>
        <v/>
      </c>
      <c r="S202" s="19">
        <f>IF(G202="","",N202-MAX(O202:R202))</f>
        <v/>
      </c>
      <c r="T202" s="20">
        <f>IF(S202="","",IF(OR($D$25="",S202&lt;N($C$25)),0,IF(B202="G마켓",ROUNDDOWN(MIN(IF($D$25&gt;=1,MIN($D$25,S202),S202*$D$25),IF($E$25="",9E+99,$E$25)),0),ROUNDUP(MIN(IF($D$25&gt;=1,MIN($D$25,S202),S202*$D$25),IF($E$25="",9E+99,$E$25)),0))))</f>
        <v/>
      </c>
      <c r="U202" s="20">
        <f>IF(S202="","",IF(OR($D$26="",S202&lt;N($C$26)),0,IF(B202="G마켓",ROUNDDOWN(MIN(IF($D$26&gt;=1,MIN($D$26,S202),S202*$D$26),IF($E$26="",9E+99,$E$26)),0),ROUNDUP(MIN(IF($D$26&gt;=1,MIN($D$26,S202),S202*$D$26),IF($E$26="",9E+99,$E$26)),0))))</f>
        <v/>
      </c>
      <c r="V202" s="20">
        <f>IF(S202="","",IF(OR($D$27="",S202&lt;N($C$27)),0,IF(B202="G마켓",ROUNDDOWN(MIN(IF($D$27&gt;=1,MIN($D$27,S202),S202*$D$27),IF($E$27="",9E+99,$E$27)),0),ROUNDUP(MIN(IF($D$27&gt;=1,MIN($D$27,S202),S202*$D$27),IF($E$27="",9E+99,$E$27)),0))))</f>
        <v/>
      </c>
      <c r="W202" s="19">
        <f>IF(G202="","",MAX(T202:V202))</f>
        <v/>
      </c>
      <c r="X202" s="21">
        <f>IF(G202="","",S202-W202)</f>
        <v/>
      </c>
      <c r="Y202" s="19">
        <f>IF(G202="","",IF(B202="G마켓",ROUNDDOWN(MAX(I202*N($G$10),J202*N($G$11),K202*N($G$12),L202*N($G$13),M202*N($G$14))+MAX(O202*N($G$18),P202*N($G$19),Q202*N($G$20),R202*N($G$21))+MAX(T202*N($G$25),U202*N($G$26),V202*N($G$27)),0),ROUNDUP(MAX(I202*N($G$10),J202*N($G$11),K202*N($G$12),L202*N($G$13),M202*N($G$14))+MAX(O202*N($G$18),P202*N($G$19),Q202*N($G$20),R202*N($G$21))+MAX(T202*N($G$25),U202*N($G$26),V202*N($G$27)),0)))</f>
        <v/>
      </c>
      <c r="Z202" s="21">
        <f>IF(G202="","",IF(B202="G마켓",ROUNDDOWN(G202-G202*$Q$6-Y202,0),ROUNDUP(G202-G202*$Q$6-Y202,0)))</f>
        <v/>
      </c>
    </row>
    <row r="203">
      <c r="B203" s="7" t="n"/>
      <c r="C203" s="7" t="n"/>
      <c r="D203" s="22" t="n"/>
      <c r="E203" s="23" t="n"/>
      <c r="F203" s="23" t="n"/>
      <c r="G203" s="19">
        <f>IF(E203="","",E203-N(F203))</f>
        <v/>
      </c>
      <c r="I203" s="20">
        <f>IF(G203="","",IF(OR($D$10="",$H$10="X",G203&lt;N($C$10)),0,IF(B203="G마켓",ROUNDDOWN(MIN(IF($D$10&gt;=1,MIN($D$10,G203),G203*$D$10),IF($E$10="",9E+99,$E$10)),0),ROUNDUP(MIN(IF($D$10&gt;=1,MIN($D$10,G203),G203*$D$10),IF($E$10="",9E+99,$E$10)),0))))</f>
        <v/>
      </c>
      <c r="J203" s="20">
        <f>IF(G203="","",IF(OR($D$11="",$H$11="X",G203&lt;N($C$11)),0,IF(B203="G마켓",ROUNDDOWN(MIN(IF($D$11&gt;=1,MIN($D$11,G203),G203*$D$11),IF($E$11="",9E+99,$E$11)),0),ROUNDUP(MIN(IF($D$11&gt;=1,MIN($D$11,G203),G203*$D$11),IF($E$11="",9E+99,$E$11)),0))))</f>
        <v/>
      </c>
      <c r="K203" s="20">
        <f>IF(G203="","",IF(OR($D$12="",$H$12="X",G203&lt;N($C$12)),0,IF(B203="G마켓",ROUNDDOWN(MIN(IF($D$12&gt;=1,MIN($D$12,G203),G203*$D$12),IF($E$12="",9E+99,$E$12)),0),ROUNDUP(MIN(IF($D$12&gt;=1,MIN($D$12,G203),G203*$D$12),IF($E$12="",9E+99,$E$12)),0))))</f>
        <v/>
      </c>
      <c r="L203" s="20">
        <f>IF(G203="","",IF(OR($D$13="",$H$13="X",G203&lt;N($C$13)),0,IF(B203="G마켓",ROUNDDOWN(MIN(IF($D$13&gt;=1,MIN($D$13,G203),G203*$D$13),IF($E$13="",9E+99,$E$13)),0),ROUNDUP(MIN(IF($D$13&gt;=1,MIN($D$13,G203),G203*$D$13),IF($E$13="",9E+99,$E$13)),0))))</f>
        <v/>
      </c>
      <c r="M203" s="20">
        <f>IF(G203="","",IF(OR($D$14="",$H$14="X",G203&lt;N($C$14)),0,IF(B203="G마켓",ROUNDDOWN(MIN(IF($D$14&gt;=1,MIN($D$14,G203),G203*$D$14),IF($E$14="",9E+99,$E$14)),0),ROUNDUP(MIN(IF($D$14&gt;=1,MIN($D$14,G203),G203*$D$14),IF($E$14="",9E+99,$E$14)),0))))</f>
        <v/>
      </c>
      <c r="N203" s="19">
        <f>IF(G203="","",G203-MAX(I203:M203))</f>
        <v/>
      </c>
      <c r="O203" s="20">
        <f>IF(N203="","",IF(OR($D$18="",$H$18="X",N203&lt;N($C$18)),0,IF(B203="G마켓",ROUNDDOWN(MIN(IF($D$18&gt;=1,MIN($D$18,N203),N203*$D$18),IF($E$18="",9E+99,$E$18)),0),ROUNDUP(MIN(IF($D$18&gt;=1,MIN($D$18,N203),N203*$D$18),IF($E$18="",9E+99,$E$18)),0))))</f>
        <v/>
      </c>
      <c r="P203" s="20">
        <f>IF(N203="","",IF(OR($D$19="",$H$19="X",N203&lt;N($C$19)),0,IF(B203="G마켓",ROUNDDOWN(MIN(IF($D$19&gt;=1,MIN($D$19,N203),N203*$D$19),IF($E$19="",9E+99,$E$19)),0),ROUNDUP(MIN(IF($D$19&gt;=1,MIN($D$19,N203),N203*$D$19),IF($E$19="",9E+99,$E$19)),0))))</f>
        <v/>
      </c>
      <c r="Q203" s="20">
        <f>IF(N203="","",IF(OR($D$20="",$H$20="X",N203&lt;N($C$20)),0,IF(B203="G마켓",ROUNDDOWN(MIN(IF($D$20&gt;=1,MIN($D$20,N203),N203*$D$20),IF($E$20="",9E+99,$E$20)),0),ROUNDUP(MIN(IF($D$20&gt;=1,MIN($D$20,N203),N203*$D$20),IF($E$20="",9E+99,$E$20)),0))))</f>
        <v/>
      </c>
      <c r="R203" s="20">
        <f>IF(N203="","",IF(OR($D$21="",$H$21="X",N203&lt;N($C$21)),0,IF(B203="G마켓",ROUNDDOWN(MIN(IF($D$21&gt;=1,MIN($D$21,N203),N203*$D$21),IF($E$21="",9E+99,$E$21)),0),ROUNDUP(MIN(IF($D$21&gt;=1,MIN($D$21,N203),N203*$D$21),IF($E$21="",9E+99,$E$21)),0))))</f>
        <v/>
      </c>
      <c r="S203" s="19">
        <f>IF(G203="","",N203-MAX(O203:R203))</f>
        <v/>
      </c>
      <c r="T203" s="20">
        <f>IF(S203="","",IF(OR($D$25="",S203&lt;N($C$25)),0,IF(B203="G마켓",ROUNDDOWN(MIN(IF($D$25&gt;=1,MIN($D$25,S203),S203*$D$25),IF($E$25="",9E+99,$E$25)),0),ROUNDUP(MIN(IF($D$25&gt;=1,MIN($D$25,S203),S203*$D$25),IF($E$25="",9E+99,$E$25)),0))))</f>
        <v/>
      </c>
      <c r="U203" s="20">
        <f>IF(S203="","",IF(OR($D$26="",S203&lt;N($C$26)),0,IF(B203="G마켓",ROUNDDOWN(MIN(IF($D$26&gt;=1,MIN($D$26,S203),S203*$D$26),IF($E$26="",9E+99,$E$26)),0),ROUNDUP(MIN(IF($D$26&gt;=1,MIN($D$26,S203),S203*$D$26),IF($E$26="",9E+99,$E$26)),0))))</f>
        <v/>
      </c>
      <c r="V203" s="20">
        <f>IF(S203="","",IF(OR($D$27="",S203&lt;N($C$27)),0,IF(B203="G마켓",ROUNDDOWN(MIN(IF($D$27&gt;=1,MIN($D$27,S203),S203*$D$27),IF($E$27="",9E+99,$E$27)),0),ROUNDUP(MIN(IF($D$27&gt;=1,MIN($D$27,S203),S203*$D$27),IF($E$27="",9E+99,$E$27)),0))))</f>
        <v/>
      </c>
      <c r="W203" s="19">
        <f>IF(G203="","",MAX(T203:V203))</f>
        <v/>
      </c>
      <c r="X203" s="21">
        <f>IF(G203="","",S203-W203)</f>
        <v/>
      </c>
      <c r="Y203" s="19">
        <f>IF(G203="","",IF(B203="G마켓",ROUNDDOWN(MAX(I203*N($G$10),J203*N($G$11),K203*N($G$12),L203*N($G$13),M203*N($G$14))+MAX(O203*N($G$18),P203*N($G$19),Q203*N($G$20),R203*N($G$21))+MAX(T203*N($G$25),U203*N($G$26),V203*N($G$27)),0),ROUNDUP(MAX(I203*N($G$10),J203*N($G$11),K203*N($G$12),L203*N($G$13),M203*N($G$14))+MAX(O203*N($G$18),P203*N($G$19),Q203*N($G$20),R203*N($G$21))+MAX(T203*N($G$25),U203*N($G$26),V203*N($G$27)),0)))</f>
        <v/>
      </c>
      <c r="Z203" s="21">
        <f>IF(G203="","",IF(B203="G마켓",ROUNDDOWN(G203-G203*$Q$6-Y203,0),ROUNDUP(G203-G203*$Q$6-Y203,0)))</f>
        <v/>
      </c>
    </row>
    <row r="204">
      <c r="B204" s="7" t="n"/>
      <c r="C204" s="7" t="n"/>
      <c r="D204" s="22" t="n"/>
      <c r="E204" s="23" t="n"/>
      <c r="F204" s="23" t="n"/>
      <c r="G204" s="19">
        <f>IF(E204="","",E204-N(F204))</f>
        <v/>
      </c>
      <c r="I204" s="20">
        <f>IF(G204="","",IF(OR($D$10="",$H$10="X",G204&lt;N($C$10)),0,IF(B204="G마켓",ROUNDDOWN(MIN(IF($D$10&gt;=1,MIN($D$10,G204),G204*$D$10),IF($E$10="",9E+99,$E$10)),0),ROUNDUP(MIN(IF($D$10&gt;=1,MIN($D$10,G204),G204*$D$10),IF($E$10="",9E+99,$E$10)),0))))</f>
        <v/>
      </c>
      <c r="J204" s="20">
        <f>IF(G204="","",IF(OR($D$11="",$H$11="X",G204&lt;N($C$11)),0,IF(B204="G마켓",ROUNDDOWN(MIN(IF($D$11&gt;=1,MIN($D$11,G204),G204*$D$11),IF($E$11="",9E+99,$E$11)),0),ROUNDUP(MIN(IF($D$11&gt;=1,MIN($D$11,G204),G204*$D$11),IF($E$11="",9E+99,$E$11)),0))))</f>
        <v/>
      </c>
      <c r="K204" s="20">
        <f>IF(G204="","",IF(OR($D$12="",$H$12="X",G204&lt;N($C$12)),0,IF(B204="G마켓",ROUNDDOWN(MIN(IF($D$12&gt;=1,MIN($D$12,G204),G204*$D$12),IF($E$12="",9E+99,$E$12)),0),ROUNDUP(MIN(IF($D$12&gt;=1,MIN($D$12,G204),G204*$D$12),IF($E$12="",9E+99,$E$12)),0))))</f>
        <v/>
      </c>
      <c r="L204" s="20">
        <f>IF(G204="","",IF(OR($D$13="",$H$13="X",G204&lt;N($C$13)),0,IF(B204="G마켓",ROUNDDOWN(MIN(IF($D$13&gt;=1,MIN($D$13,G204),G204*$D$13),IF($E$13="",9E+99,$E$13)),0),ROUNDUP(MIN(IF($D$13&gt;=1,MIN($D$13,G204),G204*$D$13),IF($E$13="",9E+99,$E$13)),0))))</f>
        <v/>
      </c>
      <c r="M204" s="20">
        <f>IF(G204="","",IF(OR($D$14="",$H$14="X",G204&lt;N($C$14)),0,IF(B204="G마켓",ROUNDDOWN(MIN(IF($D$14&gt;=1,MIN($D$14,G204),G204*$D$14),IF($E$14="",9E+99,$E$14)),0),ROUNDUP(MIN(IF($D$14&gt;=1,MIN($D$14,G204),G204*$D$14),IF($E$14="",9E+99,$E$14)),0))))</f>
        <v/>
      </c>
      <c r="N204" s="19">
        <f>IF(G204="","",G204-MAX(I204:M204))</f>
        <v/>
      </c>
      <c r="O204" s="20">
        <f>IF(N204="","",IF(OR($D$18="",$H$18="X",N204&lt;N($C$18)),0,IF(B204="G마켓",ROUNDDOWN(MIN(IF($D$18&gt;=1,MIN($D$18,N204),N204*$D$18),IF($E$18="",9E+99,$E$18)),0),ROUNDUP(MIN(IF($D$18&gt;=1,MIN($D$18,N204),N204*$D$18),IF($E$18="",9E+99,$E$18)),0))))</f>
        <v/>
      </c>
      <c r="P204" s="20">
        <f>IF(N204="","",IF(OR($D$19="",$H$19="X",N204&lt;N($C$19)),0,IF(B204="G마켓",ROUNDDOWN(MIN(IF($D$19&gt;=1,MIN($D$19,N204),N204*$D$19),IF($E$19="",9E+99,$E$19)),0),ROUNDUP(MIN(IF($D$19&gt;=1,MIN($D$19,N204),N204*$D$19),IF($E$19="",9E+99,$E$19)),0))))</f>
        <v/>
      </c>
      <c r="Q204" s="20">
        <f>IF(N204="","",IF(OR($D$20="",$H$20="X",N204&lt;N($C$20)),0,IF(B204="G마켓",ROUNDDOWN(MIN(IF($D$20&gt;=1,MIN($D$20,N204),N204*$D$20),IF($E$20="",9E+99,$E$20)),0),ROUNDUP(MIN(IF($D$20&gt;=1,MIN($D$20,N204),N204*$D$20),IF($E$20="",9E+99,$E$20)),0))))</f>
        <v/>
      </c>
      <c r="R204" s="20">
        <f>IF(N204="","",IF(OR($D$21="",$H$21="X",N204&lt;N($C$21)),0,IF(B204="G마켓",ROUNDDOWN(MIN(IF($D$21&gt;=1,MIN($D$21,N204),N204*$D$21),IF($E$21="",9E+99,$E$21)),0),ROUNDUP(MIN(IF($D$21&gt;=1,MIN($D$21,N204),N204*$D$21),IF($E$21="",9E+99,$E$21)),0))))</f>
        <v/>
      </c>
      <c r="S204" s="19">
        <f>IF(G204="","",N204-MAX(O204:R204))</f>
        <v/>
      </c>
      <c r="T204" s="20">
        <f>IF(S204="","",IF(OR($D$25="",S204&lt;N($C$25)),0,IF(B204="G마켓",ROUNDDOWN(MIN(IF($D$25&gt;=1,MIN($D$25,S204),S204*$D$25),IF($E$25="",9E+99,$E$25)),0),ROUNDUP(MIN(IF($D$25&gt;=1,MIN($D$25,S204),S204*$D$25),IF($E$25="",9E+99,$E$25)),0))))</f>
        <v/>
      </c>
      <c r="U204" s="20">
        <f>IF(S204="","",IF(OR($D$26="",S204&lt;N($C$26)),0,IF(B204="G마켓",ROUNDDOWN(MIN(IF($D$26&gt;=1,MIN($D$26,S204),S204*$D$26),IF($E$26="",9E+99,$E$26)),0),ROUNDUP(MIN(IF($D$26&gt;=1,MIN($D$26,S204),S204*$D$26),IF($E$26="",9E+99,$E$26)),0))))</f>
        <v/>
      </c>
      <c r="V204" s="20">
        <f>IF(S204="","",IF(OR($D$27="",S204&lt;N($C$27)),0,IF(B204="G마켓",ROUNDDOWN(MIN(IF($D$27&gt;=1,MIN($D$27,S204),S204*$D$27),IF($E$27="",9E+99,$E$27)),0),ROUNDUP(MIN(IF($D$27&gt;=1,MIN($D$27,S204),S204*$D$27),IF($E$27="",9E+99,$E$27)),0))))</f>
        <v/>
      </c>
      <c r="W204" s="19">
        <f>IF(G204="","",MAX(T204:V204))</f>
        <v/>
      </c>
      <c r="X204" s="21">
        <f>IF(G204="","",S204-W204)</f>
        <v/>
      </c>
      <c r="Y204" s="19">
        <f>IF(G204="","",IF(B204="G마켓",ROUNDDOWN(MAX(I204*N($G$10),J204*N($G$11),K204*N($G$12),L204*N($G$13),M204*N($G$14))+MAX(O204*N($G$18),P204*N($G$19),Q204*N($G$20),R204*N($G$21))+MAX(T204*N($G$25),U204*N($G$26),V204*N($G$27)),0),ROUNDUP(MAX(I204*N($G$10),J204*N($G$11),K204*N($G$12),L204*N($G$13),M204*N($G$14))+MAX(O204*N($G$18),P204*N($G$19),Q204*N($G$20),R204*N($G$21))+MAX(T204*N($G$25),U204*N($G$26),V204*N($G$27)),0)))</f>
        <v/>
      </c>
      <c r="Z204" s="21">
        <f>IF(G204="","",IF(B204="G마켓",ROUNDDOWN(G204-G204*$Q$6-Y204,0),ROUNDUP(G204-G204*$Q$6-Y204,0)))</f>
        <v/>
      </c>
    </row>
    <row r="205">
      <c r="B205" s="7" t="n"/>
      <c r="C205" s="7" t="n"/>
      <c r="D205" s="22" t="n"/>
      <c r="E205" s="23" t="n"/>
      <c r="F205" s="23" t="n"/>
      <c r="G205" s="19">
        <f>IF(E205="","",E205-N(F205))</f>
        <v/>
      </c>
      <c r="I205" s="20">
        <f>IF(G205="","",IF(OR($D$10="",$H$10="X",G205&lt;N($C$10)),0,IF(B205="G마켓",ROUNDDOWN(MIN(IF($D$10&gt;=1,MIN($D$10,G205),G205*$D$10),IF($E$10="",9E+99,$E$10)),0),ROUNDUP(MIN(IF($D$10&gt;=1,MIN($D$10,G205),G205*$D$10),IF($E$10="",9E+99,$E$10)),0))))</f>
        <v/>
      </c>
      <c r="J205" s="20">
        <f>IF(G205="","",IF(OR($D$11="",$H$11="X",G205&lt;N($C$11)),0,IF(B205="G마켓",ROUNDDOWN(MIN(IF($D$11&gt;=1,MIN($D$11,G205),G205*$D$11),IF($E$11="",9E+99,$E$11)),0),ROUNDUP(MIN(IF($D$11&gt;=1,MIN($D$11,G205),G205*$D$11),IF($E$11="",9E+99,$E$11)),0))))</f>
        <v/>
      </c>
      <c r="K205" s="20">
        <f>IF(G205="","",IF(OR($D$12="",$H$12="X",G205&lt;N($C$12)),0,IF(B205="G마켓",ROUNDDOWN(MIN(IF($D$12&gt;=1,MIN($D$12,G205),G205*$D$12),IF($E$12="",9E+99,$E$12)),0),ROUNDUP(MIN(IF($D$12&gt;=1,MIN($D$12,G205),G205*$D$12),IF($E$12="",9E+99,$E$12)),0))))</f>
        <v/>
      </c>
      <c r="L205" s="20">
        <f>IF(G205="","",IF(OR($D$13="",$H$13="X",G205&lt;N($C$13)),0,IF(B205="G마켓",ROUNDDOWN(MIN(IF($D$13&gt;=1,MIN($D$13,G205),G205*$D$13),IF($E$13="",9E+99,$E$13)),0),ROUNDUP(MIN(IF($D$13&gt;=1,MIN($D$13,G205),G205*$D$13),IF($E$13="",9E+99,$E$13)),0))))</f>
        <v/>
      </c>
      <c r="M205" s="20">
        <f>IF(G205="","",IF(OR($D$14="",$H$14="X",G205&lt;N($C$14)),0,IF(B205="G마켓",ROUNDDOWN(MIN(IF($D$14&gt;=1,MIN($D$14,G205),G205*$D$14),IF($E$14="",9E+99,$E$14)),0),ROUNDUP(MIN(IF($D$14&gt;=1,MIN($D$14,G205),G205*$D$14),IF($E$14="",9E+99,$E$14)),0))))</f>
        <v/>
      </c>
      <c r="N205" s="19">
        <f>IF(G205="","",G205-MAX(I205:M205))</f>
        <v/>
      </c>
      <c r="O205" s="20">
        <f>IF(N205="","",IF(OR($D$18="",$H$18="X",N205&lt;N($C$18)),0,IF(B205="G마켓",ROUNDDOWN(MIN(IF($D$18&gt;=1,MIN($D$18,N205),N205*$D$18),IF($E$18="",9E+99,$E$18)),0),ROUNDUP(MIN(IF($D$18&gt;=1,MIN($D$18,N205),N205*$D$18),IF($E$18="",9E+99,$E$18)),0))))</f>
        <v/>
      </c>
      <c r="P205" s="20">
        <f>IF(N205="","",IF(OR($D$19="",$H$19="X",N205&lt;N($C$19)),0,IF(B205="G마켓",ROUNDDOWN(MIN(IF($D$19&gt;=1,MIN($D$19,N205),N205*$D$19),IF($E$19="",9E+99,$E$19)),0),ROUNDUP(MIN(IF($D$19&gt;=1,MIN($D$19,N205),N205*$D$19),IF($E$19="",9E+99,$E$19)),0))))</f>
        <v/>
      </c>
      <c r="Q205" s="20">
        <f>IF(N205="","",IF(OR($D$20="",$H$20="X",N205&lt;N($C$20)),0,IF(B205="G마켓",ROUNDDOWN(MIN(IF($D$20&gt;=1,MIN($D$20,N205),N205*$D$20),IF($E$20="",9E+99,$E$20)),0),ROUNDUP(MIN(IF($D$20&gt;=1,MIN($D$20,N205),N205*$D$20),IF($E$20="",9E+99,$E$20)),0))))</f>
        <v/>
      </c>
      <c r="R205" s="20">
        <f>IF(N205="","",IF(OR($D$21="",$H$21="X",N205&lt;N($C$21)),0,IF(B205="G마켓",ROUNDDOWN(MIN(IF($D$21&gt;=1,MIN($D$21,N205),N205*$D$21),IF($E$21="",9E+99,$E$21)),0),ROUNDUP(MIN(IF($D$21&gt;=1,MIN($D$21,N205),N205*$D$21),IF($E$21="",9E+99,$E$21)),0))))</f>
        <v/>
      </c>
      <c r="S205" s="19">
        <f>IF(G205="","",N205-MAX(O205:R205))</f>
        <v/>
      </c>
      <c r="T205" s="20">
        <f>IF(S205="","",IF(OR($D$25="",S205&lt;N($C$25)),0,IF(B205="G마켓",ROUNDDOWN(MIN(IF($D$25&gt;=1,MIN($D$25,S205),S205*$D$25),IF($E$25="",9E+99,$E$25)),0),ROUNDUP(MIN(IF($D$25&gt;=1,MIN($D$25,S205),S205*$D$25),IF($E$25="",9E+99,$E$25)),0))))</f>
        <v/>
      </c>
      <c r="U205" s="20">
        <f>IF(S205="","",IF(OR($D$26="",S205&lt;N($C$26)),0,IF(B205="G마켓",ROUNDDOWN(MIN(IF($D$26&gt;=1,MIN($D$26,S205),S205*$D$26),IF($E$26="",9E+99,$E$26)),0),ROUNDUP(MIN(IF($D$26&gt;=1,MIN($D$26,S205),S205*$D$26),IF($E$26="",9E+99,$E$26)),0))))</f>
        <v/>
      </c>
      <c r="V205" s="20">
        <f>IF(S205="","",IF(OR($D$27="",S205&lt;N($C$27)),0,IF(B205="G마켓",ROUNDDOWN(MIN(IF($D$27&gt;=1,MIN($D$27,S205),S205*$D$27),IF($E$27="",9E+99,$E$27)),0),ROUNDUP(MIN(IF($D$27&gt;=1,MIN($D$27,S205),S205*$D$27),IF($E$27="",9E+99,$E$27)),0))))</f>
        <v/>
      </c>
      <c r="W205" s="19">
        <f>IF(G205="","",MAX(T205:V205))</f>
        <v/>
      </c>
      <c r="X205" s="21">
        <f>IF(G205="","",S205-W205)</f>
        <v/>
      </c>
      <c r="Y205" s="19">
        <f>IF(G205="","",IF(B205="G마켓",ROUNDDOWN(MAX(I205*N($G$10),J205*N($G$11),K205*N($G$12),L205*N($G$13),M205*N($G$14))+MAX(O205*N($G$18),P205*N($G$19),Q205*N($G$20),R205*N($G$21))+MAX(T205*N($G$25),U205*N($G$26),V205*N($G$27)),0),ROUNDUP(MAX(I205*N($G$10),J205*N($G$11),K205*N($G$12),L205*N($G$13),M205*N($G$14))+MAX(O205*N($G$18),P205*N($G$19),Q205*N($G$20),R205*N($G$21))+MAX(T205*N($G$25),U205*N($G$26),V205*N($G$27)),0)))</f>
        <v/>
      </c>
      <c r="Z205" s="21">
        <f>IF(G205="","",IF(B205="G마켓",ROUNDDOWN(G205-G205*$Q$6-Y205,0),ROUNDUP(G205-G205*$Q$6-Y205,0)))</f>
        <v/>
      </c>
    </row>
    <row r="206">
      <c r="B206" s="7" t="n"/>
      <c r="C206" s="7" t="n"/>
      <c r="D206" s="22" t="n"/>
      <c r="E206" s="23" t="n"/>
      <c r="F206" s="23" t="n"/>
      <c r="G206" s="19">
        <f>IF(E206="","",E206-N(F206))</f>
        <v/>
      </c>
      <c r="I206" s="20">
        <f>IF(G206="","",IF(OR($D$10="",$H$10="X",G206&lt;N($C$10)),0,IF(B206="G마켓",ROUNDDOWN(MIN(IF($D$10&gt;=1,MIN($D$10,G206),G206*$D$10),IF($E$10="",9E+99,$E$10)),0),ROUNDUP(MIN(IF($D$10&gt;=1,MIN($D$10,G206),G206*$D$10),IF($E$10="",9E+99,$E$10)),0))))</f>
        <v/>
      </c>
      <c r="J206" s="20">
        <f>IF(G206="","",IF(OR($D$11="",$H$11="X",G206&lt;N($C$11)),0,IF(B206="G마켓",ROUNDDOWN(MIN(IF($D$11&gt;=1,MIN($D$11,G206),G206*$D$11),IF($E$11="",9E+99,$E$11)),0),ROUNDUP(MIN(IF($D$11&gt;=1,MIN($D$11,G206),G206*$D$11),IF($E$11="",9E+99,$E$11)),0))))</f>
        <v/>
      </c>
      <c r="K206" s="20">
        <f>IF(G206="","",IF(OR($D$12="",$H$12="X",G206&lt;N($C$12)),0,IF(B206="G마켓",ROUNDDOWN(MIN(IF($D$12&gt;=1,MIN($D$12,G206),G206*$D$12),IF($E$12="",9E+99,$E$12)),0),ROUNDUP(MIN(IF($D$12&gt;=1,MIN($D$12,G206),G206*$D$12),IF($E$12="",9E+99,$E$12)),0))))</f>
        <v/>
      </c>
      <c r="L206" s="20">
        <f>IF(G206="","",IF(OR($D$13="",$H$13="X",G206&lt;N($C$13)),0,IF(B206="G마켓",ROUNDDOWN(MIN(IF($D$13&gt;=1,MIN($D$13,G206),G206*$D$13),IF($E$13="",9E+99,$E$13)),0),ROUNDUP(MIN(IF($D$13&gt;=1,MIN($D$13,G206),G206*$D$13),IF($E$13="",9E+99,$E$13)),0))))</f>
        <v/>
      </c>
      <c r="M206" s="20">
        <f>IF(G206="","",IF(OR($D$14="",$H$14="X",G206&lt;N($C$14)),0,IF(B206="G마켓",ROUNDDOWN(MIN(IF($D$14&gt;=1,MIN($D$14,G206),G206*$D$14),IF($E$14="",9E+99,$E$14)),0),ROUNDUP(MIN(IF($D$14&gt;=1,MIN($D$14,G206),G206*$D$14),IF($E$14="",9E+99,$E$14)),0))))</f>
        <v/>
      </c>
      <c r="N206" s="19">
        <f>IF(G206="","",G206-MAX(I206:M206))</f>
        <v/>
      </c>
      <c r="O206" s="20">
        <f>IF(N206="","",IF(OR($D$18="",$H$18="X",N206&lt;N($C$18)),0,IF(B206="G마켓",ROUNDDOWN(MIN(IF($D$18&gt;=1,MIN($D$18,N206),N206*$D$18),IF($E$18="",9E+99,$E$18)),0),ROUNDUP(MIN(IF($D$18&gt;=1,MIN($D$18,N206),N206*$D$18),IF($E$18="",9E+99,$E$18)),0))))</f>
        <v/>
      </c>
      <c r="P206" s="20">
        <f>IF(N206="","",IF(OR($D$19="",$H$19="X",N206&lt;N($C$19)),0,IF(B206="G마켓",ROUNDDOWN(MIN(IF($D$19&gt;=1,MIN($D$19,N206),N206*$D$19),IF($E$19="",9E+99,$E$19)),0),ROUNDUP(MIN(IF($D$19&gt;=1,MIN($D$19,N206),N206*$D$19),IF($E$19="",9E+99,$E$19)),0))))</f>
        <v/>
      </c>
      <c r="Q206" s="20">
        <f>IF(N206="","",IF(OR($D$20="",$H$20="X",N206&lt;N($C$20)),0,IF(B206="G마켓",ROUNDDOWN(MIN(IF($D$20&gt;=1,MIN($D$20,N206),N206*$D$20),IF($E$20="",9E+99,$E$20)),0),ROUNDUP(MIN(IF($D$20&gt;=1,MIN($D$20,N206),N206*$D$20),IF($E$20="",9E+99,$E$20)),0))))</f>
        <v/>
      </c>
      <c r="R206" s="20">
        <f>IF(N206="","",IF(OR($D$21="",$H$21="X",N206&lt;N($C$21)),0,IF(B206="G마켓",ROUNDDOWN(MIN(IF($D$21&gt;=1,MIN($D$21,N206),N206*$D$21),IF($E$21="",9E+99,$E$21)),0),ROUNDUP(MIN(IF($D$21&gt;=1,MIN($D$21,N206),N206*$D$21),IF($E$21="",9E+99,$E$21)),0))))</f>
        <v/>
      </c>
      <c r="S206" s="19">
        <f>IF(G206="","",N206-MAX(O206:R206))</f>
        <v/>
      </c>
      <c r="T206" s="20">
        <f>IF(S206="","",IF(OR($D$25="",S206&lt;N($C$25)),0,IF(B206="G마켓",ROUNDDOWN(MIN(IF($D$25&gt;=1,MIN($D$25,S206),S206*$D$25),IF($E$25="",9E+99,$E$25)),0),ROUNDUP(MIN(IF($D$25&gt;=1,MIN($D$25,S206),S206*$D$25),IF($E$25="",9E+99,$E$25)),0))))</f>
        <v/>
      </c>
      <c r="U206" s="20">
        <f>IF(S206="","",IF(OR($D$26="",S206&lt;N($C$26)),0,IF(B206="G마켓",ROUNDDOWN(MIN(IF($D$26&gt;=1,MIN($D$26,S206),S206*$D$26),IF($E$26="",9E+99,$E$26)),0),ROUNDUP(MIN(IF($D$26&gt;=1,MIN($D$26,S206),S206*$D$26),IF($E$26="",9E+99,$E$26)),0))))</f>
        <v/>
      </c>
      <c r="V206" s="20">
        <f>IF(S206="","",IF(OR($D$27="",S206&lt;N($C$27)),0,IF(B206="G마켓",ROUNDDOWN(MIN(IF($D$27&gt;=1,MIN($D$27,S206),S206*$D$27),IF($E$27="",9E+99,$E$27)),0),ROUNDUP(MIN(IF($D$27&gt;=1,MIN($D$27,S206),S206*$D$27),IF($E$27="",9E+99,$E$27)),0))))</f>
        <v/>
      </c>
      <c r="W206" s="19">
        <f>IF(G206="","",MAX(T206:V206))</f>
        <v/>
      </c>
      <c r="X206" s="21">
        <f>IF(G206="","",S206-W206)</f>
        <v/>
      </c>
      <c r="Y206" s="19">
        <f>IF(G206="","",IF(B206="G마켓",ROUNDDOWN(MAX(I206*N($G$10),J206*N($G$11),K206*N($G$12),L206*N($G$13),M206*N($G$14))+MAX(O206*N($G$18),P206*N($G$19),Q206*N($G$20),R206*N($G$21))+MAX(T206*N($G$25),U206*N($G$26),V206*N($G$27)),0),ROUNDUP(MAX(I206*N($G$10),J206*N($G$11),K206*N($G$12),L206*N($G$13),M206*N($G$14))+MAX(O206*N($G$18),P206*N($G$19),Q206*N($G$20),R206*N($G$21))+MAX(T206*N($G$25),U206*N($G$26),V206*N($G$27)),0)))</f>
        <v/>
      </c>
      <c r="Z206" s="21">
        <f>IF(G206="","",IF(B206="G마켓",ROUNDDOWN(G206-G206*$Q$6-Y206,0),ROUNDUP(G206-G206*$Q$6-Y206,0)))</f>
        <v/>
      </c>
    </row>
    <row r="207">
      <c r="B207" s="7" t="n"/>
      <c r="C207" s="7" t="n"/>
      <c r="D207" s="22" t="n"/>
      <c r="E207" s="23" t="n"/>
      <c r="F207" s="23" t="n"/>
      <c r="G207" s="19">
        <f>IF(E207="","",E207-N(F207))</f>
        <v/>
      </c>
      <c r="I207" s="20">
        <f>IF(G207="","",IF(OR($D$10="",$H$10="X",G207&lt;N($C$10)),0,IF(B207="G마켓",ROUNDDOWN(MIN(IF($D$10&gt;=1,MIN($D$10,G207),G207*$D$10),IF($E$10="",9E+99,$E$10)),0),ROUNDUP(MIN(IF($D$10&gt;=1,MIN($D$10,G207),G207*$D$10),IF($E$10="",9E+99,$E$10)),0))))</f>
        <v/>
      </c>
      <c r="J207" s="20">
        <f>IF(G207="","",IF(OR($D$11="",$H$11="X",G207&lt;N($C$11)),0,IF(B207="G마켓",ROUNDDOWN(MIN(IF($D$11&gt;=1,MIN($D$11,G207),G207*$D$11),IF($E$11="",9E+99,$E$11)),0),ROUNDUP(MIN(IF($D$11&gt;=1,MIN($D$11,G207),G207*$D$11),IF($E$11="",9E+99,$E$11)),0))))</f>
        <v/>
      </c>
      <c r="K207" s="20">
        <f>IF(G207="","",IF(OR($D$12="",$H$12="X",G207&lt;N($C$12)),0,IF(B207="G마켓",ROUNDDOWN(MIN(IF($D$12&gt;=1,MIN($D$12,G207),G207*$D$12),IF($E$12="",9E+99,$E$12)),0),ROUNDUP(MIN(IF($D$12&gt;=1,MIN($D$12,G207),G207*$D$12),IF($E$12="",9E+99,$E$12)),0))))</f>
        <v/>
      </c>
      <c r="L207" s="20">
        <f>IF(G207="","",IF(OR($D$13="",$H$13="X",G207&lt;N($C$13)),0,IF(B207="G마켓",ROUNDDOWN(MIN(IF($D$13&gt;=1,MIN($D$13,G207),G207*$D$13),IF($E$13="",9E+99,$E$13)),0),ROUNDUP(MIN(IF($D$13&gt;=1,MIN($D$13,G207),G207*$D$13),IF($E$13="",9E+99,$E$13)),0))))</f>
        <v/>
      </c>
      <c r="M207" s="20">
        <f>IF(G207="","",IF(OR($D$14="",$H$14="X",G207&lt;N($C$14)),0,IF(B207="G마켓",ROUNDDOWN(MIN(IF($D$14&gt;=1,MIN($D$14,G207),G207*$D$14),IF($E$14="",9E+99,$E$14)),0),ROUNDUP(MIN(IF($D$14&gt;=1,MIN($D$14,G207),G207*$D$14),IF($E$14="",9E+99,$E$14)),0))))</f>
        <v/>
      </c>
      <c r="N207" s="19">
        <f>IF(G207="","",G207-MAX(I207:M207))</f>
        <v/>
      </c>
      <c r="O207" s="20">
        <f>IF(N207="","",IF(OR($D$18="",$H$18="X",N207&lt;N($C$18)),0,IF(B207="G마켓",ROUNDDOWN(MIN(IF($D$18&gt;=1,MIN($D$18,N207),N207*$D$18),IF($E$18="",9E+99,$E$18)),0),ROUNDUP(MIN(IF($D$18&gt;=1,MIN($D$18,N207),N207*$D$18),IF($E$18="",9E+99,$E$18)),0))))</f>
        <v/>
      </c>
      <c r="P207" s="20">
        <f>IF(N207="","",IF(OR($D$19="",$H$19="X",N207&lt;N($C$19)),0,IF(B207="G마켓",ROUNDDOWN(MIN(IF($D$19&gt;=1,MIN($D$19,N207),N207*$D$19),IF($E$19="",9E+99,$E$19)),0),ROUNDUP(MIN(IF($D$19&gt;=1,MIN($D$19,N207),N207*$D$19),IF($E$19="",9E+99,$E$19)),0))))</f>
        <v/>
      </c>
      <c r="Q207" s="20">
        <f>IF(N207="","",IF(OR($D$20="",$H$20="X",N207&lt;N($C$20)),0,IF(B207="G마켓",ROUNDDOWN(MIN(IF($D$20&gt;=1,MIN($D$20,N207),N207*$D$20),IF($E$20="",9E+99,$E$20)),0),ROUNDUP(MIN(IF($D$20&gt;=1,MIN($D$20,N207),N207*$D$20),IF($E$20="",9E+99,$E$20)),0))))</f>
        <v/>
      </c>
      <c r="R207" s="20">
        <f>IF(N207="","",IF(OR($D$21="",$H$21="X",N207&lt;N($C$21)),0,IF(B207="G마켓",ROUNDDOWN(MIN(IF($D$21&gt;=1,MIN($D$21,N207),N207*$D$21),IF($E$21="",9E+99,$E$21)),0),ROUNDUP(MIN(IF($D$21&gt;=1,MIN($D$21,N207),N207*$D$21),IF($E$21="",9E+99,$E$21)),0))))</f>
        <v/>
      </c>
      <c r="S207" s="19">
        <f>IF(G207="","",N207-MAX(O207:R207))</f>
        <v/>
      </c>
      <c r="T207" s="20">
        <f>IF(S207="","",IF(OR($D$25="",S207&lt;N($C$25)),0,IF(B207="G마켓",ROUNDDOWN(MIN(IF($D$25&gt;=1,MIN($D$25,S207),S207*$D$25),IF($E$25="",9E+99,$E$25)),0),ROUNDUP(MIN(IF($D$25&gt;=1,MIN($D$25,S207),S207*$D$25),IF($E$25="",9E+99,$E$25)),0))))</f>
        <v/>
      </c>
      <c r="U207" s="20">
        <f>IF(S207="","",IF(OR($D$26="",S207&lt;N($C$26)),0,IF(B207="G마켓",ROUNDDOWN(MIN(IF($D$26&gt;=1,MIN($D$26,S207),S207*$D$26),IF($E$26="",9E+99,$E$26)),0),ROUNDUP(MIN(IF($D$26&gt;=1,MIN($D$26,S207),S207*$D$26),IF($E$26="",9E+99,$E$26)),0))))</f>
        <v/>
      </c>
      <c r="V207" s="20">
        <f>IF(S207="","",IF(OR($D$27="",S207&lt;N($C$27)),0,IF(B207="G마켓",ROUNDDOWN(MIN(IF($D$27&gt;=1,MIN($D$27,S207),S207*$D$27),IF($E$27="",9E+99,$E$27)),0),ROUNDUP(MIN(IF($D$27&gt;=1,MIN($D$27,S207),S207*$D$27),IF($E$27="",9E+99,$E$27)),0))))</f>
        <v/>
      </c>
      <c r="W207" s="19">
        <f>IF(G207="","",MAX(T207:V207))</f>
        <v/>
      </c>
      <c r="X207" s="21">
        <f>IF(G207="","",S207-W207)</f>
        <v/>
      </c>
      <c r="Y207" s="19">
        <f>IF(G207="","",IF(B207="G마켓",ROUNDDOWN(MAX(I207*N($G$10),J207*N($G$11),K207*N($G$12),L207*N($G$13),M207*N($G$14))+MAX(O207*N($G$18),P207*N($G$19),Q207*N($G$20),R207*N($G$21))+MAX(T207*N($G$25),U207*N($G$26),V207*N($G$27)),0),ROUNDUP(MAX(I207*N($G$10),J207*N($G$11),K207*N($G$12),L207*N($G$13),M207*N($G$14))+MAX(O207*N($G$18),P207*N($G$19),Q207*N($G$20),R207*N($G$21))+MAX(T207*N($G$25),U207*N($G$26),V207*N($G$27)),0)))</f>
        <v/>
      </c>
      <c r="Z207" s="21">
        <f>IF(G207="","",IF(B207="G마켓",ROUNDDOWN(G207-G207*$Q$6-Y207,0),ROUNDUP(G207-G207*$Q$6-Y207,0)))</f>
        <v/>
      </c>
    </row>
    <row r="208">
      <c r="B208" s="7" t="n"/>
      <c r="C208" s="7" t="n"/>
      <c r="D208" s="22" t="n"/>
      <c r="E208" s="23" t="n"/>
      <c r="F208" s="23" t="n"/>
      <c r="G208" s="19">
        <f>IF(E208="","",E208-N(F208))</f>
        <v/>
      </c>
      <c r="I208" s="20">
        <f>IF(G208="","",IF(OR($D$10="",$H$10="X",G208&lt;N($C$10)),0,IF(B208="G마켓",ROUNDDOWN(MIN(IF($D$10&gt;=1,MIN($D$10,G208),G208*$D$10),IF($E$10="",9E+99,$E$10)),0),ROUNDUP(MIN(IF($D$10&gt;=1,MIN($D$10,G208),G208*$D$10),IF($E$10="",9E+99,$E$10)),0))))</f>
        <v/>
      </c>
      <c r="J208" s="20">
        <f>IF(G208="","",IF(OR($D$11="",$H$11="X",G208&lt;N($C$11)),0,IF(B208="G마켓",ROUNDDOWN(MIN(IF($D$11&gt;=1,MIN($D$11,G208),G208*$D$11),IF($E$11="",9E+99,$E$11)),0),ROUNDUP(MIN(IF($D$11&gt;=1,MIN($D$11,G208),G208*$D$11),IF($E$11="",9E+99,$E$11)),0))))</f>
        <v/>
      </c>
      <c r="K208" s="20">
        <f>IF(G208="","",IF(OR($D$12="",$H$12="X",G208&lt;N($C$12)),0,IF(B208="G마켓",ROUNDDOWN(MIN(IF($D$12&gt;=1,MIN($D$12,G208),G208*$D$12),IF($E$12="",9E+99,$E$12)),0),ROUNDUP(MIN(IF($D$12&gt;=1,MIN($D$12,G208),G208*$D$12),IF($E$12="",9E+99,$E$12)),0))))</f>
        <v/>
      </c>
      <c r="L208" s="20">
        <f>IF(G208="","",IF(OR($D$13="",$H$13="X",G208&lt;N($C$13)),0,IF(B208="G마켓",ROUNDDOWN(MIN(IF($D$13&gt;=1,MIN($D$13,G208),G208*$D$13),IF($E$13="",9E+99,$E$13)),0),ROUNDUP(MIN(IF($D$13&gt;=1,MIN($D$13,G208),G208*$D$13),IF($E$13="",9E+99,$E$13)),0))))</f>
        <v/>
      </c>
      <c r="M208" s="20">
        <f>IF(G208="","",IF(OR($D$14="",$H$14="X",G208&lt;N($C$14)),0,IF(B208="G마켓",ROUNDDOWN(MIN(IF($D$14&gt;=1,MIN($D$14,G208),G208*$D$14),IF($E$14="",9E+99,$E$14)),0),ROUNDUP(MIN(IF($D$14&gt;=1,MIN($D$14,G208),G208*$D$14),IF($E$14="",9E+99,$E$14)),0))))</f>
        <v/>
      </c>
      <c r="N208" s="19">
        <f>IF(G208="","",G208-MAX(I208:M208))</f>
        <v/>
      </c>
      <c r="O208" s="20">
        <f>IF(N208="","",IF(OR($D$18="",$H$18="X",N208&lt;N($C$18)),0,IF(B208="G마켓",ROUNDDOWN(MIN(IF($D$18&gt;=1,MIN($D$18,N208),N208*$D$18),IF($E$18="",9E+99,$E$18)),0),ROUNDUP(MIN(IF($D$18&gt;=1,MIN($D$18,N208),N208*$D$18),IF($E$18="",9E+99,$E$18)),0))))</f>
        <v/>
      </c>
      <c r="P208" s="20">
        <f>IF(N208="","",IF(OR($D$19="",$H$19="X",N208&lt;N($C$19)),0,IF(B208="G마켓",ROUNDDOWN(MIN(IF($D$19&gt;=1,MIN($D$19,N208),N208*$D$19),IF($E$19="",9E+99,$E$19)),0),ROUNDUP(MIN(IF($D$19&gt;=1,MIN($D$19,N208),N208*$D$19),IF($E$19="",9E+99,$E$19)),0))))</f>
        <v/>
      </c>
      <c r="Q208" s="20">
        <f>IF(N208="","",IF(OR($D$20="",$H$20="X",N208&lt;N($C$20)),0,IF(B208="G마켓",ROUNDDOWN(MIN(IF($D$20&gt;=1,MIN($D$20,N208),N208*$D$20),IF($E$20="",9E+99,$E$20)),0),ROUNDUP(MIN(IF($D$20&gt;=1,MIN($D$20,N208),N208*$D$20),IF($E$20="",9E+99,$E$20)),0))))</f>
        <v/>
      </c>
      <c r="R208" s="20">
        <f>IF(N208="","",IF(OR($D$21="",$H$21="X",N208&lt;N($C$21)),0,IF(B208="G마켓",ROUNDDOWN(MIN(IF($D$21&gt;=1,MIN($D$21,N208),N208*$D$21),IF($E$21="",9E+99,$E$21)),0),ROUNDUP(MIN(IF($D$21&gt;=1,MIN($D$21,N208),N208*$D$21),IF($E$21="",9E+99,$E$21)),0))))</f>
        <v/>
      </c>
      <c r="S208" s="19">
        <f>IF(G208="","",N208-MAX(O208:R208))</f>
        <v/>
      </c>
      <c r="T208" s="20">
        <f>IF(S208="","",IF(OR($D$25="",S208&lt;N($C$25)),0,IF(B208="G마켓",ROUNDDOWN(MIN(IF($D$25&gt;=1,MIN($D$25,S208),S208*$D$25),IF($E$25="",9E+99,$E$25)),0),ROUNDUP(MIN(IF($D$25&gt;=1,MIN($D$25,S208),S208*$D$25),IF($E$25="",9E+99,$E$25)),0))))</f>
        <v/>
      </c>
      <c r="U208" s="20">
        <f>IF(S208="","",IF(OR($D$26="",S208&lt;N($C$26)),0,IF(B208="G마켓",ROUNDDOWN(MIN(IF($D$26&gt;=1,MIN($D$26,S208),S208*$D$26),IF($E$26="",9E+99,$E$26)),0),ROUNDUP(MIN(IF($D$26&gt;=1,MIN($D$26,S208),S208*$D$26),IF($E$26="",9E+99,$E$26)),0))))</f>
        <v/>
      </c>
      <c r="V208" s="20">
        <f>IF(S208="","",IF(OR($D$27="",S208&lt;N($C$27)),0,IF(B208="G마켓",ROUNDDOWN(MIN(IF($D$27&gt;=1,MIN($D$27,S208),S208*$D$27),IF($E$27="",9E+99,$E$27)),0),ROUNDUP(MIN(IF($D$27&gt;=1,MIN($D$27,S208),S208*$D$27),IF($E$27="",9E+99,$E$27)),0))))</f>
        <v/>
      </c>
      <c r="W208" s="19">
        <f>IF(G208="","",MAX(T208:V208))</f>
        <v/>
      </c>
      <c r="X208" s="21">
        <f>IF(G208="","",S208-W208)</f>
        <v/>
      </c>
      <c r="Y208" s="19">
        <f>IF(G208="","",IF(B208="G마켓",ROUNDDOWN(MAX(I208*N($G$10),J208*N($G$11),K208*N($G$12),L208*N($G$13),M208*N($G$14))+MAX(O208*N($G$18),P208*N($G$19),Q208*N($G$20),R208*N($G$21))+MAX(T208*N($G$25),U208*N($G$26),V208*N($G$27)),0),ROUNDUP(MAX(I208*N($G$10),J208*N($G$11),K208*N($G$12),L208*N($G$13),M208*N($G$14))+MAX(O208*N($G$18),P208*N($G$19),Q208*N($G$20),R208*N($G$21))+MAX(T208*N($G$25),U208*N($G$26),V208*N($G$27)),0)))</f>
        <v/>
      </c>
      <c r="Z208" s="21">
        <f>IF(G208="","",IF(B208="G마켓",ROUNDDOWN(G208-G208*$Q$6-Y208,0),ROUNDUP(G208-G208*$Q$6-Y208,0)))</f>
        <v/>
      </c>
    </row>
    <row r="209">
      <c r="B209" s="7" t="n"/>
      <c r="C209" s="7" t="n"/>
      <c r="D209" s="22" t="n"/>
      <c r="E209" s="23" t="n"/>
      <c r="F209" s="23" t="n"/>
      <c r="G209" s="19">
        <f>IF(E209="","",E209-N(F209))</f>
        <v/>
      </c>
      <c r="I209" s="20">
        <f>IF(G209="","",IF(OR($D$10="",$H$10="X",G209&lt;N($C$10)),0,IF(B209="G마켓",ROUNDDOWN(MIN(IF($D$10&gt;=1,MIN($D$10,G209),G209*$D$10),IF($E$10="",9E+99,$E$10)),0),ROUNDUP(MIN(IF($D$10&gt;=1,MIN($D$10,G209),G209*$D$10),IF($E$10="",9E+99,$E$10)),0))))</f>
        <v/>
      </c>
      <c r="J209" s="20">
        <f>IF(G209="","",IF(OR($D$11="",$H$11="X",G209&lt;N($C$11)),0,IF(B209="G마켓",ROUNDDOWN(MIN(IF($D$11&gt;=1,MIN($D$11,G209),G209*$D$11),IF($E$11="",9E+99,$E$11)),0),ROUNDUP(MIN(IF($D$11&gt;=1,MIN($D$11,G209),G209*$D$11),IF($E$11="",9E+99,$E$11)),0))))</f>
        <v/>
      </c>
      <c r="K209" s="20">
        <f>IF(G209="","",IF(OR($D$12="",$H$12="X",G209&lt;N($C$12)),0,IF(B209="G마켓",ROUNDDOWN(MIN(IF($D$12&gt;=1,MIN($D$12,G209),G209*$D$12),IF($E$12="",9E+99,$E$12)),0),ROUNDUP(MIN(IF($D$12&gt;=1,MIN($D$12,G209),G209*$D$12),IF($E$12="",9E+99,$E$12)),0))))</f>
        <v/>
      </c>
      <c r="L209" s="20">
        <f>IF(G209="","",IF(OR($D$13="",$H$13="X",G209&lt;N($C$13)),0,IF(B209="G마켓",ROUNDDOWN(MIN(IF($D$13&gt;=1,MIN($D$13,G209),G209*$D$13),IF($E$13="",9E+99,$E$13)),0),ROUNDUP(MIN(IF($D$13&gt;=1,MIN($D$13,G209),G209*$D$13),IF($E$13="",9E+99,$E$13)),0))))</f>
        <v/>
      </c>
      <c r="M209" s="20">
        <f>IF(G209="","",IF(OR($D$14="",$H$14="X",G209&lt;N($C$14)),0,IF(B209="G마켓",ROUNDDOWN(MIN(IF($D$14&gt;=1,MIN($D$14,G209),G209*$D$14),IF($E$14="",9E+99,$E$14)),0),ROUNDUP(MIN(IF($D$14&gt;=1,MIN($D$14,G209),G209*$D$14),IF($E$14="",9E+99,$E$14)),0))))</f>
        <v/>
      </c>
      <c r="N209" s="19">
        <f>IF(G209="","",G209-MAX(I209:M209))</f>
        <v/>
      </c>
      <c r="O209" s="20">
        <f>IF(N209="","",IF(OR($D$18="",$H$18="X",N209&lt;N($C$18)),0,IF(B209="G마켓",ROUNDDOWN(MIN(IF($D$18&gt;=1,MIN($D$18,N209),N209*$D$18),IF($E$18="",9E+99,$E$18)),0),ROUNDUP(MIN(IF($D$18&gt;=1,MIN($D$18,N209),N209*$D$18),IF($E$18="",9E+99,$E$18)),0))))</f>
        <v/>
      </c>
      <c r="P209" s="20">
        <f>IF(N209="","",IF(OR($D$19="",$H$19="X",N209&lt;N($C$19)),0,IF(B209="G마켓",ROUNDDOWN(MIN(IF($D$19&gt;=1,MIN($D$19,N209),N209*$D$19),IF($E$19="",9E+99,$E$19)),0),ROUNDUP(MIN(IF($D$19&gt;=1,MIN($D$19,N209),N209*$D$19),IF($E$19="",9E+99,$E$19)),0))))</f>
        <v/>
      </c>
      <c r="Q209" s="20">
        <f>IF(N209="","",IF(OR($D$20="",$H$20="X",N209&lt;N($C$20)),0,IF(B209="G마켓",ROUNDDOWN(MIN(IF($D$20&gt;=1,MIN($D$20,N209),N209*$D$20),IF($E$20="",9E+99,$E$20)),0),ROUNDUP(MIN(IF($D$20&gt;=1,MIN($D$20,N209),N209*$D$20),IF($E$20="",9E+99,$E$20)),0))))</f>
        <v/>
      </c>
      <c r="R209" s="20">
        <f>IF(N209="","",IF(OR($D$21="",$H$21="X",N209&lt;N($C$21)),0,IF(B209="G마켓",ROUNDDOWN(MIN(IF($D$21&gt;=1,MIN($D$21,N209),N209*$D$21),IF($E$21="",9E+99,$E$21)),0),ROUNDUP(MIN(IF($D$21&gt;=1,MIN($D$21,N209),N209*$D$21),IF($E$21="",9E+99,$E$21)),0))))</f>
        <v/>
      </c>
      <c r="S209" s="19">
        <f>IF(G209="","",N209-MAX(O209:R209))</f>
        <v/>
      </c>
      <c r="T209" s="20">
        <f>IF(S209="","",IF(OR($D$25="",S209&lt;N($C$25)),0,IF(B209="G마켓",ROUNDDOWN(MIN(IF($D$25&gt;=1,MIN($D$25,S209),S209*$D$25),IF($E$25="",9E+99,$E$25)),0),ROUNDUP(MIN(IF($D$25&gt;=1,MIN($D$25,S209),S209*$D$25),IF($E$25="",9E+99,$E$25)),0))))</f>
        <v/>
      </c>
      <c r="U209" s="20">
        <f>IF(S209="","",IF(OR($D$26="",S209&lt;N($C$26)),0,IF(B209="G마켓",ROUNDDOWN(MIN(IF($D$26&gt;=1,MIN($D$26,S209),S209*$D$26),IF($E$26="",9E+99,$E$26)),0),ROUNDUP(MIN(IF($D$26&gt;=1,MIN($D$26,S209),S209*$D$26),IF($E$26="",9E+99,$E$26)),0))))</f>
        <v/>
      </c>
      <c r="V209" s="20">
        <f>IF(S209="","",IF(OR($D$27="",S209&lt;N($C$27)),0,IF(B209="G마켓",ROUNDDOWN(MIN(IF($D$27&gt;=1,MIN($D$27,S209),S209*$D$27),IF($E$27="",9E+99,$E$27)),0),ROUNDUP(MIN(IF($D$27&gt;=1,MIN($D$27,S209),S209*$D$27),IF($E$27="",9E+99,$E$27)),0))))</f>
        <v/>
      </c>
      <c r="W209" s="19">
        <f>IF(G209="","",MAX(T209:V209))</f>
        <v/>
      </c>
      <c r="X209" s="21">
        <f>IF(G209="","",S209-W209)</f>
        <v/>
      </c>
      <c r="Y209" s="19">
        <f>IF(G209="","",IF(B209="G마켓",ROUNDDOWN(MAX(I209*N($G$10),J209*N($G$11),K209*N($G$12),L209*N($G$13),M209*N($G$14))+MAX(O209*N($G$18),P209*N($G$19),Q209*N($G$20),R209*N($G$21))+MAX(T209*N($G$25),U209*N($G$26),V209*N($G$27)),0),ROUNDUP(MAX(I209*N($G$10),J209*N($G$11),K209*N($G$12),L209*N($G$13),M209*N($G$14))+MAX(O209*N($G$18),P209*N($G$19),Q209*N($G$20),R209*N($G$21))+MAX(T209*N($G$25),U209*N($G$26),V209*N($G$27)),0)))</f>
        <v/>
      </c>
      <c r="Z209" s="21">
        <f>IF(G209="","",IF(B209="G마켓",ROUNDDOWN(G209-G209*$Q$6-Y209,0),ROUNDUP(G209-G209*$Q$6-Y209,0)))</f>
        <v/>
      </c>
    </row>
    <row r="210">
      <c r="B210" s="7" t="n"/>
      <c r="C210" s="7" t="n"/>
      <c r="D210" s="22" t="n"/>
      <c r="E210" s="23" t="n"/>
      <c r="F210" s="23" t="n"/>
      <c r="G210" s="19">
        <f>IF(E210="","",E210-N(F210))</f>
        <v/>
      </c>
      <c r="I210" s="20">
        <f>IF(G210="","",IF(OR($D$10="",$H$10="X",G210&lt;N($C$10)),0,IF(B210="G마켓",ROUNDDOWN(MIN(IF($D$10&gt;=1,MIN($D$10,G210),G210*$D$10),IF($E$10="",9E+99,$E$10)),0),ROUNDUP(MIN(IF($D$10&gt;=1,MIN($D$10,G210),G210*$D$10),IF($E$10="",9E+99,$E$10)),0))))</f>
        <v/>
      </c>
      <c r="J210" s="20">
        <f>IF(G210="","",IF(OR($D$11="",$H$11="X",G210&lt;N($C$11)),0,IF(B210="G마켓",ROUNDDOWN(MIN(IF($D$11&gt;=1,MIN($D$11,G210),G210*$D$11),IF($E$11="",9E+99,$E$11)),0),ROUNDUP(MIN(IF($D$11&gt;=1,MIN($D$11,G210),G210*$D$11),IF($E$11="",9E+99,$E$11)),0))))</f>
        <v/>
      </c>
      <c r="K210" s="20">
        <f>IF(G210="","",IF(OR($D$12="",$H$12="X",G210&lt;N($C$12)),0,IF(B210="G마켓",ROUNDDOWN(MIN(IF($D$12&gt;=1,MIN($D$12,G210),G210*$D$12),IF($E$12="",9E+99,$E$12)),0),ROUNDUP(MIN(IF($D$12&gt;=1,MIN($D$12,G210),G210*$D$12),IF($E$12="",9E+99,$E$12)),0))))</f>
        <v/>
      </c>
      <c r="L210" s="20">
        <f>IF(G210="","",IF(OR($D$13="",$H$13="X",G210&lt;N($C$13)),0,IF(B210="G마켓",ROUNDDOWN(MIN(IF($D$13&gt;=1,MIN($D$13,G210),G210*$D$13),IF($E$13="",9E+99,$E$13)),0),ROUNDUP(MIN(IF($D$13&gt;=1,MIN($D$13,G210),G210*$D$13),IF($E$13="",9E+99,$E$13)),0))))</f>
        <v/>
      </c>
      <c r="M210" s="20">
        <f>IF(G210="","",IF(OR($D$14="",$H$14="X",G210&lt;N($C$14)),0,IF(B210="G마켓",ROUNDDOWN(MIN(IF($D$14&gt;=1,MIN($D$14,G210),G210*$D$14),IF($E$14="",9E+99,$E$14)),0),ROUNDUP(MIN(IF($D$14&gt;=1,MIN($D$14,G210),G210*$D$14),IF($E$14="",9E+99,$E$14)),0))))</f>
        <v/>
      </c>
      <c r="N210" s="19">
        <f>IF(G210="","",G210-MAX(I210:M210))</f>
        <v/>
      </c>
      <c r="O210" s="20">
        <f>IF(N210="","",IF(OR($D$18="",$H$18="X",N210&lt;N($C$18)),0,IF(B210="G마켓",ROUNDDOWN(MIN(IF($D$18&gt;=1,MIN($D$18,N210),N210*$D$18),IF($E$18="",9E+99,$E$18)),0),ROUNDUP(MIN(IF($D$18&gt;=1,MIN($D$18,N210),N210*$D$18),IF($E$18="",9E+99,$E$18)),0))))</f>
        <v/>
      </c>
      <c r="P210" s="20">
        <f>IF(N210="","",IF(OR($D$19="",$H$19="X",N210&lt;N($C$19)),0,IF(B210="G마켓",ROUNDDOWN(MIN(IF($D$19&gt;=1,MIN($D$19,N210),N210*$D$19),IF($E$19="",9E+99,$E$19)),0),ROUNDUP(MIN(IF($D$19&gt;=1,MIN($D$19,N210),N210*$D$19),IF($E$19="",9E+99,$E$19)),0))))</f>
        <v/>
      </c>
      <c r="Q210" s="20">
        <f>IF(N210="","",IF(OR($D$20="",$H$20="X",N210&lt;N($C$20)),0,IF(B210="G마켓",ROUNDDOWN(MIN(IF($D$20&gt;=1,MIN($D$20,N210),N210*$D$20),IF($E$20="",9E+99,$E$20)),0),ROUNDUP(MIN(IF($D$20&gt;=1,MIN($D$20,N210),N210*$D$20),IF($E$20="",9E+99,$E$20)),0))))</f>
        <v/>
      </c>
      <c r="R210" s="20">
        <f>IF(N210="","",IF(OR($D$21="",$H$21="X",N210&lt;N($C$21)),0,IF(B210="G마켓",ROUNDDOWN(MIN(IF($D$21&gt;=1,MIN($D$21,N210),N210*$D$21),IF($E$21="",9E+99,$E$21)),0),ROUNDUP(MIN(IF($D$21&gt;=1,MIN($D$21,N210),N210*$D$21),IF($E$21="",9E+99,$E$21)),0))))</f>
        <v/>
      </c>
      <c r="S210" s="19">
        <f>IF(G210="","",N210-MAX(O210:R210))</f>
        <v/>
      </c>
      <c r="T210" s="20">
        <f>IF(S210="","",IF(OR($D$25="",S210&lt;N($C$25)),0,IF(B210="G마켓",ROUNDDOWN(MIN(IF($D$25&gt;=1,MIN($D$25,S210),S210*$D$25),IF($E$25="",9E+99,$E$25)),0),ROUNDUP(MIN(IF($D$25&gt;=1,MIN($D$25,S210),S210*$D$25),IF($E$25="",9E+99,$E$25)),0))))</f>
        <v/>
      </c>
      <c r="U210" s="20">
        <f>IF(S210="","",IF(OR($D$26="",S210&lt;N($C$26)),0,IF(B210="G마켓",ROUNDDOWN(MIN(IF($D$26&gt;=1,MIN($D$26,S210),S210*$D$26),IF($E$26="",9E+99,$E$26)),0),ROUNDUP(MIN(IF($D$26&gt;=1,MIN($D$26,S210),S210*$D$26),IF($E$26="",9E+99,$E$26)),0))))</f>
        <v/>
      </c>
      <c r="V210" s="20">
        <f>IF(S210="","",IF(OR($D$27="",S210&lt;N($C$27)),0,IF(B210="G마켓",ROUNDDOWN(MIN(IF($D$27&gt;=1,MIN($D$27,S210),S210*$D$27),IF($E$27="",9E+99,$E$27)),0),ROUNDUP(MIN(IF($D$27&gt;=1,MIN($D$27,S210),S210*$D$27),IF($E$27="",9E+99,$E$27)),0))))</f>
        <v/>
      </c>
      <c r="W210" s="19">
        <f>IF(G210="","",MAX(T210:V210))</f>
        <v/>
      </c>
      <c r="X210" s="21">
        <f>IF(G210="","",S210-W210)</f>
        <v/>
      </c>
      <c r="Y210" s="19">
        <f>IF(G210="","",IF(B210="G마켓",ROUNDDOWN(MAX(I210*N($G$10),J210*N($G$11),K210*N($G$12),L210*N($G$13),M210*N($G$14))+MAX(O210*N($G$18),P210*N($G$19),Q210*N($G$20),R210*N($G$21))+MAX(T210*N($G$25),U210*N($G$26),V210*N($G$27)),0),ROUNDUP(MAX(I210*N($G$10),J210*N($G$11),K210*N($G$12),L210*N($G$13),M210*N($G$14))+MAX(O210*N($G$18),P210*N($G$19),Q210*N($G$20),R210*N($G$21))+MAX(T210*N($G$25),U210*N($G$26),V210*N($G$27)),0)))</f>
        <v/>
      </c>
      <c r="Z210" s="21">
        <f>IF(G210="","",IF(B210="G마켓",ROUNDDOWN(G210-G210*$Q$6-Y210,0),ROUNDUP(G210-G210*$Q$6-Y210,0)))</f>
        <v/>
      </c>
    </row>
    <row r="211">
      <c r="B211" s="7" t="n"/>
      <c r="C211" s="7" t="n"/>
      <c r="D211" s="22" t="n"/>
      <c r="E211" s="23" t="n"/>
      <c r="F211" s="23" t="n"/>
      <c r="G211" s="19">
        <f>IF(E211="","",E211-N(F211))</f>
        <v/>
      </c>
      <c r="I211" s="20">
        <f>IF(G211="","",IF(OR($D$10="",$H$10="X",G211&lt;N($C$10)),0,IF(B211="G마켓",ROUNDDOWN(MIN(IF($D$10&gt;=1,MIN($D$10,G211),G211*$D$10),IF($E$10="",9E+99,$E$10)),0),ROUNDUP(MIN(IF($D$10&gt;=1,MIN($D$10,G211),G211*$D$10),IF($E$10="",9E+99,$E$10)),0))))</f>
        <v/>
      </c>
      <c r="J211" s="20">
        <f>IF(G211="","",IF(OR($D$11="",$H$11="X",G211&lt;N($C$11)),0,IF(B211="G마켓",ROUNDDOWN(MIN(IF($D$11&gt;=1,MIN($D$11,G211),G211*$D$11),IF($E$11="",9E+99,$E$11)),0),ROUNDUP(MIN(IF($D$11&gt;=1,MIN($D$11,G211),G211*$D$11),IF($E$11="",9E+99,$E$11)),0))))</f>
        <v/>
      </c>
      <c r="K211" s="20">
        <f>IF(G211="","",IF(OR($D$12="",$H$12="X",G211&lt;N($C$12)),0,IF(B211="G마켓",ROUNDDOWN(MIN(IF($D$12&gt;=1,MIN($D$12,G211),G211*$D$12),IF($E$12="",9E+99,$E$12)),0),ROUNDUP(MIN(IF($D$12&gt;=1,MIN($D$12,G211),G211*$D$12),IF($E$12="",9E+99,$E$12)),0))))</f>
        <v/>
      </c>
      <c r="L211" s="20">
        <f>IF(G211="","",IF(OR($D$13="",$H$13="X",G211&lt;N($C$13)),0,IF(B211="G마켓",ROUNDDOWN(MIN(IF($D$13&gt;=1,MIN($D$13,G211),G211*$D$13),IF($E$13="",9E+99,$E$13)),0),ROUNDUP(MIN(IF($D$13&gt;=1,MIN($D$13,G211),G211*$D$13),IF($E$13="",9E+99,$E$13)),0))))</f>
        <v/>
      </c>
      <c r="M211" s="20">
        <f>IF(G211="","",IF(OR($D$14="",$H$14="X",G211&lt;N($C$14)),0,IF(B211="G마켓",ROUNDDOWN(MIN(IF($D$14&gt;=1,MIN($D$14,G211),G211*$D$14),IF($E$14="",9E+99,$E$14)),0),ROUNDUP(MIN(IF($D$14&gt;=1,MIN($D$14,G211),G211*$D$14),IF($E$14="",9E+99,$E$14)),0))))</f>
        <v/>
      </c>
      <c r="N211" s="19">
        <f>IF(G211="","",G211-MAX(I211:M211))</f>
        <v/>
      </c>
      <c r="O211" s="20">
        <f>IF(N211="","",IF(OR($D$18="",$H$18="X",N211&lt;N($C$18)),0,IF(B211="G마켓",ROUNDDOWN(MIN(IF($D$18&gt;=1,MIN($D$18,N211),N211*$D$18),IF($E$18="",9E+99,$E$18)),0),ROUNDUP(MIN(IF($D$18&gt;=1,MIN($D$18,N211),N211*$D$18),IF($E$18="",9E+99,$E$18)),0))))</f>
        <v/>
      </c>
      <c r="P211" s="20">
        <f>IF(N211="","",IF(OR($D$19="",$H$19="X",N211&lt;N($C$19)),0,IF(B211="G마켓",ROUNDDOWN(MIN(IF($D$19&gt;=1,MIN($D$19,N211),N211*$D$19),IF($E$19="",9E+99,$E$19)),0),ROUNDUP(MIN(IF($D$19&gt;=1,MIN($D$19,N211),N211*$D$19),IF($E$19="",9E+99,$E$19)),0))))</f>
        <v/>
      </c>
      <c r="Q211" s="20">
        <f>IF(N211="","",IF(OR($D$20="",$H$20="X",N211&lt;N($C$20)),0,IF(B211="G마켓",ROUNDDOWN(MIN(IF($D$20&gt;=1,MIN($D$20,N211),N211*$D$20),IF($E$20="",9E+99,$E$20)),0),ROUNDUP(MIN(IF($D$20&gt;=1,MIN($D$20,N211),N211*$D$20),IF($E$20="",9E+99,$E$20)),0))))</f>
        <v/>
      </c>
      <c r="R211" s="20">
        <f>IF(N211="","",IF(OR($D$21="",$H$21="X",N211&lt;N($C$21)),0,IF(B211="G마켓",ROUNDDOWN(MIN(IF($D$21&gt;=1,MIN($D$21,N211),N211*$D$21),IF($E$21="",9E+99,$E$21)),0),ROUNDUP(MIN(IF($D$21&gt;=1,MIN($D$21,N211),N211*$D$21),IF($E$21="",9E+99,$E$21)),0))))</f>
        <v/>
      </c>
      <c r="S211" s="19">
        <f>IF(G211="","",N211-MAX(O211:R211))</f>
        <v/>
      </c>
      <c r="T211" s="20">
        <f>IF(S211="","",IF(OR($D$25="",S211&lt;N($C$25)),0,IF(B211="G마켓",ROUNDDOWN(MIN(IF($D$25&gt;=1,MIN($D$25,S211),S211*$D$25),IF($E$25="",9E+99,$E$25)),0),ROUNDUP(MIN(IF($D$25&gt;=1,MIN($D$25,S211),S211*$D$25),IF($E$25="",9E+99,$E$25)),0))))</f>
        <v/>
      </c>
      <c r="U211" s="20">
        <f>IF(S211="","",IF(OR($D$26="",S211&lt;N($C$26)),0,IF(B211="G마켓",ROUNDDOWN(MIN(IF($D$26&gt;=1,MIN($D$26,S211),S211*$D$26),IF($E$26="",9E+99,$E$26)),0),ROUNDUP(MIN(IF($D$26&gt;=1,MIN($D$26,S211),S211*$D$26),IF($E$26="",9E+99,$E$26)),0))))</f>
        <v/>
      </c>
      <c r="V211" s="20">
        <f>IF(S211="","",IF(OR($D$27="",S211&lt;N($C$27)),0,IF(B211="G마켓",ROUNDDOWN(MIN(IF($D$27&gt;=1,MIN($D$27,S211),S211*$D$27),IF($E$27="",9E+99,$E$27)),0),ROUNDUP(MIN(IF($D$27&gt;=1,MIN($D$27,S211),S211*$D$27),IF($E$27="",9E+99,$E$27)),0))))</f>
        <v/>
      </c>
      <c r="W211" s="19">
        <f>IF(G211="","",MAX(T211:V211))</f>
        <v/>
      </c>
      <c r="X211" s="21">
        <f>IF(G211="","",S211-W211)</f>
        <v/>
      </c>
      <c r="Y211" s="19">
        <f>IF(G211="","",IF(B211="G마켓",ROUNDDOWN(MAX(I211*N($G$10),J211*N($G$11),K211*N($G$12),L211*N($G$13),M211*N($G$14))+MAX(O211*N($G$18),P211*N($G$19),Q211*N($G$20),R211*N($G$21))+MAX(T211*N($G$25),U211*N($G$26),V211*N($G$27)),0),ROUNDUP(MAX(I211*N($G$10),J211*N($G$11),K211*N($G$12),L211*N($G$13),M211*N($G$14))+MAX(O211*N($G$18),P211*N($G$19),Q211*N($G$20),R211*N($G$21))+MAX(T211*N($G$25),U211*N($G$26),V211*N($G$27)),0)))</f>
        <v/>
      </c>
      <c r="Z211" s="21">
        <f>IF(G211="","",IF(B211="G마켓",ROUNDDOWN(G211-G211*$Q$6-Y211,0),ROUNDUP(G211-G211*$Q$6-Y211,0)))</f>
        <v/>
      </c>
    </row>
    <row r="212">
      <c r="B212" s="7" t="n"/>
      <c r="C212" s="7" t="n"/>
      <c r="D212" s="22" t="n"/>
      <c r="E212" s="23" t="n"/>
      <c r="F212" s="23" t="n"/>
      <c r="G212" s="19">
        <f>IF(E212="","",E212-N(F212))</f>
        <v/>
      </c>
      <c r="I212" s="20">
        <f>IF(G212="","",IF(OR($D$10="",$H$10="X",G212&lt;N($C$10)),0,IF(B212="G마켓",ROUNDDOWN(MIN(IF($D$10&gt;=1,MIN($D$10,G212),G212*$D$10),IF($E$10="",9E+99,$E$10)),0),ROUNDUP(MIN(IF($D$10&gt;=1,MIN($D$10,G212),G212*$D$10),IF($E$10="",9E+99,$E$10)),0))))</f>
        <v/>
      </c>
      <c r="J212" s="20">
        <f>IF(G212="","",IF(OR($D$11="",$H$11="X",G212&lt;N($C$11)),0,IF(B212="G마켓",ROUNDDOWN(MIN(IF($D$11&gt;=1,MIN($D$11,G212),G212*$D$11),IF($E$11="",9E+99,$E$11)),0),ROUNDUP(MIN(IF($D$11&gt;=1,MIN($D$11,G212),G212*$D$11),IF($E$11="",9E+99,$E$11)),0))))</f>
        <v/>
      </c>
      <c r="K212" s="20">
        <f>IF(G212="","",IF(OR($D$12="",$H$12="X",G212&lt;N($C$12)),0,IF(B212="G마켓",ROUNDDOWN(MIN(IF($D$12&gt;=1,MIN($D$12,G212),G212*$D$12),IF($E$12="",9E+99,$E$12)),0),ROUNDUP(MIN(IF($D$12&gt;=1,MIN($D$12,G212),G212*$D$12),IF($E$12="",9E+99,$E$12)),0))))</f>
        <v/>
      </c>
      <c r="L212" s="20">
        <f>IF(G212="","",IF(OR($D$13="",$H$13="X",G212&lt;N($C$13)),0,IF(B212="G마켓",ROUNDDOWN(MIN(IF($D$13&gt;=1,MIN($D$13,G212),G212*$D$13),IF($E$13="",9E+99,$E$13)),0),ROUNDUP(MIN(IF($D$13&gt;=1,MIN($D$13,G212),G212*$D$13),IF($E$13="",9E+99,$E$13)),0))))</f>
        <v/>
      </c>
      <c r="M212" s="20">
        <f>IF(G212="","",IF(OR($D$14="",$H$14="X",G212&lt;N($C$14)),0,IF(B212="G마켓",ROUNDDOWN(MIN(IF($D$14&gt;=1,MIN($D$14,G212),G212*$D$14),IF($E$14="",9E+99,$E$14)),0),ROUNDUP(MIN(IF($D$14&gt;=1,MIN($D$14,G212),G212*$D$14),IF($E$14="",9E+99,$E$14)),0))))</f>
        <v/>
      </c>
      <c r="N212" s="19">
        <f>IF(G212="","",G212-MAX(I212:M212))</f>
        <v/>
      </c>
      <c r="O212" s="20">
        <f>IF(N212="","",IF(OR($D$18="",$H$18="X",N212&lt;N($C$18)),0,IF(B212="G마켓",ROUNDDOWN(MIN(IF($D$18&gt;=1,MIN($D$18,N212),N212*$D$18),IF($E$18="",9E+99,$E$18)),0),ROUNDUP(MIN(IF($D$18&gt;=1,MIN($D$18,N212),N212*$D$18),IF($E$18="",9E+99,$E$18)),0))))</f>
        <v/>
      </c>
      <c r="P212" s="20">
        <f>IF(N212="","",IF(OR($D$19="",$H$19="X",N212&lt;N($C$19)),0,IF(B212="G마켓",ROUNDDOWN(MIN(IF($D$19&gt;=1,MIN($D$19,N212),N212*$D$19),IF($E$19="",9E+99,$E$19)),0),ROUNDUP(MIN(IF($D$19&gt;=1,MIN($D$19,N212),N212*$D$19),IF($E$19="",9E+99,$E$19)),0))))</f>
        <v/>
      </c>
      <c r="Q212" s="20">
        <f>IF(N212="","",IF(OR($D$20="",$H$20="X",N212&lt;N($C$20)),0,IF(B212="G마켓",ROUNDDOWN(MIN(IF($D$20&gt;=1,MIN($D$20,N212),N212*$D$20),IF($E$20="",9E+99,$E$20)),0),ROUNDUP(MIN(IF($D$20&gt;=1,MIN($D$20,N212),N212*$D$20),IF($E$20="",9E+99,$E$20)),0))))</f>
        <v/>
      </c>
      <c r="R212" s="20">
        <f>IF(N212="","",IF(OR($D$21="",$H$21="X",N212&lt;N($C$21)),0,IF(B212="G마켓",ROUNDDOWN(MIN(IF($D$21&gt;=1,MIN($D$21,N212),N212*$D$21),IF($E$21="",9E+99,$E$21)),0),ROUNDUP(MIN(IF($D$21&gt;=1,MIN($D$21,N212),N212*$D$21),IF($E$21="",9E+99,$E$21)),0))))</f>
        <v/>
      </c>
      <c r="S212" s="19">
        <f>IF(G212="","",N212-MAX(O212:R212))</f>
        <v/>
      </c>
      <c r="T212" s="20">
        <f>IF(S212="","",IF(OR($D$25="",S212&lt;N($C$25)),0,IF(B212="G마켓",ROUNDDOWN(MIN(IF($D$25&gt;=1,MIN($D$25,S212),S212*$D$25),IF($E$25="",9E+99,$E$25)),0),ROUNDUP(MIN(IF($D$25&gt;=1,MIN($D$25,S212),S212*$D$25),IF($E$25="",9E+99,$E$25)),0))))</f>
        <v/>
      </c>
      <c r="U212" s="20">
        <f>IF(S212="","",IF(OR($D$26="",S212&lt;N($C$26)),0,IF(B212="G마켓",ROUNDDOWN(MIN(IF($D$26&gt;=1,MIN($D$26,S212),S212*$D$26),IF($E$26="",9E+99,$E$26)),0),ROUNDUP(MIN(IF($D$26&gt;=1,MIN($D$26,S212),S212*$D$26),IF($E$26="",9E+99,$E$26)),0))))</f>
        <v/>
      </c>
      <c r="V212" s="20">
        <f>IF(S212="","",IF(OR($D$27="",S212&lt;N($C$27)),0,IF(B212="G마켓",ROUNDDOWN(MIN(IF($D$27&gt;=1,MIN($D$27,S212),S212*$D$27),IF($E$27="",9E+99,$E$27)),0),ROUNDUP(MIN(IF($D$27&gt;=1,MIN($D$27,S212),S212*$D$27),IF($E$27="",9E+99,$E$27)),0))))</f>
        <v/>
      </c>
      <c r="W212" s="19">
        <f>IF(G212="","",MAX(T212:V212))</f>
        <v/>
      </c>
      <c r="X212" s="21">
        <f>IF(G212="","",S212-W212)</f>
        <v/>
      </c>
      <c r="Y212" s="19">
        <f>IF(G212="","",IF(B212="G마켓",ROUNDDOWN(MAX(I212*N($G$10),J212*N($G$11),K212*N($G$12),L212*N($G$13),M212*N($G$14))+MAX(O212*N($G$18),P212*N($G$19),Q212*N($G$20),R212*N($G$21))+MAX(T212*N($G$25),U212*N($G$26),V212*N($G$27)),0),ROUNDUP(MAX(I212*N($G$10),J212*N($G$11),K212*N($G$12),L212*N($G$13),M212*N($G$14))+MAX(O212*N($G$18),P212*N($G$19),Q212*N($G$20),R212*N($G$21))+MAX(T212*N($G$25),U212*N($G$26),V212*N($G$27)),0)))</f>
        <v/>
      </c>
      <c r="Z212" s="21">
        <f>IF(G212="","",IF(B212="G마켓",ROUNDDOWN(G212-G212*$Q$6-Y212,0),ROUNDUP(G212-G212*$Q$6-Y212,0)))</f>
        <v/>
      </c>
    </row>
    <row r="213">
      <c r="B213" s="7" t="n"/>
      <c r="C213" s="7" t="n"/>
      <c r="D213" s="22" t="n"/>
      <c r="E213" s="23" t="n"/>
      <c r="F213" s="23" t="n"/>
      <c r="G213" s="19">
        <f>IF(E213="","",E213-N(F213))</f>
        <v/>
      </c>
      <c r="I213" s="20">
        <f>IF(G213="","",IF(OR($D$10="",$H$10="X",G213&lt;N($C$10)),0,IF(B213="G마켓",ROUNDDOWN(MIN(IF($D$10&gt;=1,MIN($D$10,G213),G213*$D$10),IF($E$10="",9E+99,$E$10)),0),ROUNDUP(MIN(IF($D$10&gt;=1,MIN($D$10,G213),G213*$D$10),IF($E$10="",9E+99,$E$10)),0))))</f>
        <v/>
      </c>
      <c r="J213" s="20">
        <f>IF(G213="","",IF(OR($D$11="",$H$11="X",G213&lt;N($C$11)),0,IF(B213="G마켓",ROUNDDOWN(MIN(IF($D$11&gt;=1,MIN($D$11,G213),G213*$D$11),IF($E$11="",9E+99,$E$11)),0),ROUNDUP(MIN(IF($D$11&gt;=1,MIN($D$11,G213),G213*$D$11),IF($E$11="",9E+99,$E$11)),0))))</f>
        <v/>
      </c>
      <c r="K213" s="20">
        <f>IF(G213="","",IF(OR($D$12="",$H$12="X",G213&lt;N($C$12)),0,IF(B213="G마켓",ROUNDDOWN(MIN(IF($D$12&gt;=1,MIN($D$12,G213),G213*$D$12),IF($E$12="",9E+99,$E$12)),0),ROUNDUP(MIN(IF($D$12&gt;=1,MIN($D$12,G213),G213*$D$12),IF($E$12="",9E+99,$E$12)),0))))</f>
        <v/>
      </c>
      <c r="L213" s="20">
        <f>IF(G213="","",IF(OR($D$13="",$H$13="X",G213&lt;N($C$13)),0,IF(B213="G마켓",ROUNDDOWN(MIN(IF($D$13&gt;=1,MIN($D$13,G213),G213*$D$13),IF($E$13="",9E+99,$E$13)),0),ROUNDUP(MIN(IF($D$13&gt;=1,MIN($D$13,G213),G213*$D$13),IF($E$13="",9E+99,$E$13)),0))))</f>
        <v/>
      </c>
      <c r="M213" s="20">
        <f>IF(G213="","",IF(OR($D$14="",$H$14="X",G213&lt;N($C$14)),0,IF(B213="G마켓",ROUNDDOWN(MIN(IF($D$14&gt;=1,MIN($D$14,G213),G213*$D$14),IF($E$14="",9E+99,$E$14)),0),ROUNDUP(MIN(IF($D$14&gt;=1,MIN($D$14,G213),G213*$D$14),IF($E$14="",9E+99,$E$14)),0))))</f>
        <v/>
      </c>
      <c r="N213" s="19">
        <f>IF(G213="","",G213-MAX(I213:M213))</f>
        <v/>
      </c>
      <c r="O213" s="20">
        <f>IF(N213="","",IF(OR($D$18="",$H$18="X",N213&lt;N($C$18)),0,IF(B213="G마켓",ROUNDDOWN(MIN(IF($D$18&gt;=1,MIN($D$18,N213),N213*$D$18),IF($E$18="",9E+99,$E$18)),0),ROUNDUP(MIN(IF($D$18&gt;=1,MIN($D$18,N213),N213*$D$18),IF($E$18="",9E+99,$E$18)),0))))</f>
        <v/>
      </c>
      <c r="P213" s="20">
        <f>IF(N213="","",IF(OR($D$19="",$H$19="X",N213&lt;N($C$19)),0,IF(B213="G마켓",ROUNDDOWN(MIN(IF($D$19&gt;=1,MIN($D$19,N213),N213*$D$19),IF($E$19="",9E+99,$E$19)),0),ROUNDUP(MIN(IF($D$19&gt;=1,MIN($D$19,N213),N213*$D$19),IF($E$19="",9E+99,$E$19)),0))))</f>
        <v/>
      </c>
      <c r="Q213" s="20">
        <f>IF(N213="","",IF(OR($D$20="",$H$20="X",N213&lt;N($C$20)),0,IF(B213="G마켓",ROUNDDOWN(MIN(IF($D$20&gt;=1,MIN($D$20,N213),N213*$D$20),IF($E$20="",9E+99,$E$20)),0),ROUNDUP(MIN(IF($D$20&gt;=1,MIN($D$20,N213),N213*$D$20),IF($E$20="",9E+99,$E$20)),0))))</f>
        <v/>
      </c>
      <c r="R213" s="20">
        <f>IF(N213="","",IF(OR($D$21="",$H$21="X",N213&lt;N($C$21)),0,IF(B213="G마켓",ROUNDDOWN(MIN(IF($D$21&gt;=1,MIN($D$21,N213),N213*$D$21),IF($E$21="",9E+99,$E$21)),0),ROUNDUP(MIN(IF($D$21&gt;=1,MIN($D$21,N213),N213*$D$21),IF($E$21="",9E+99,$E$21)),0))))</f>
        <v/>
      </c>
      <c r="S213" s="19">
        <f>IF(G213="","",N213-MAX(O213:R213))</f>
        <v/>
      </c>
      <c r="T213" s="20">
        <f>IF(S213="","",IF(OR($D$25="",S213&lt;N($C$25)),0,IF(B213="G마켓",ROUNDDOWN(MIN(IF($D$25&gt;=1,MIN($D$25,S213),S213*$D$25),IF($E$25="",9E+99,$E$25)),0),ROUNDUP(MIN(IF($D$25&gt;=1,MIN($D$25,S213),S213*$D$25),IF($E$25="",9E+99,$E$25)),0))))</f>
        <v/>
      </c>
      <c r="U213" s="20">
        <f>IF(S213="","",IF(OR($D$26="",S213&lt;N($C$26)),0,IF(B213="G마켓",ROUNDDOWN(MIN(IF($D$26&gt;=1,MIN($D$26,S213),S213*$D$26),IF($E$26="",9E+99,$E$26)),0),ROUNDUP(MIN(IF($D$26&gt;=1,MIN($D$26,S213),S213*$D$26),IF($E$26="",9E+99,$E$26)),0))))</f>
        <v/>
      </c>
      <c r="V213" s="20">
        <f>IF(S213="","",IF(OR($D$27="",S213&lt;N($C$27)),0,IF(B213="G마켓",ROUNDDOWN(MIN(IF($D$27&gt;=1,MIN($D$27,S213),S213*$D$27),IF($E$27="",9E+99,$E$27)),0),ROUNDUP(MIN(IF($D$27&gt;=1,MIN($D$27,S213),S213*$D$27),IF($E$27="",9E+99,$E$27)),0))))</f>
        <v/>
      </c>
      <c r="W213" s="19">
        <f>IF(G213="","",MAX(T213:V213))</f>
        <v/>
      </c>
      <c r="X213" s="21">
        <f>IF(G213="","",S213-W213)</f>
        <v/>
      </c>
      <c r="Y213" s="19">
        <f>IF(G213="","",IF(B213="G마켓",ROUNDDOWN(MAX(I213*N($G$10),J213*N($G$11),K213*N($G$12),L213*N($G$13),M213*N($G$14))+MAX(O213*N($G$18),P213*N($G$19),Q213*N($G$20),R213*N($G$21))+MAX(T213*N($G$25),U213*N($G$26),V213*N($G$27)),0),ROUNDUP(MAX(I213*N($G$10),J213*N($G$11),K213*N($G$12),L213*N($G$13),M213*N($G$14))+MAX(O213*N($G$18),P213*N($G$19),Q213*N($G$20),R213*N($G$21))+MAX(T213*N($G$25),U213*N($G$26),V213*N($G$27)),0)))</f>
        <v/>
      </c>
      <c r="Z213" s="21">
        <f>IF(G213="","",IF(B213="G마켓",ROUNDDOWN(G213-G213*$Q$6-Y213,0),ROUNDUP(G213-G213*$Q$6-Y213,0)))</f>
        <v/>
      </c>
    </row>
    <row r="214">
      <c r="B214" s="7" t="n"/>
      <c r="C214" s="7" t="n"/>
      <c r="D214" s="22" t="n"/>
      <c r="E214" s="23" t="n"/>
      <c r="F214" s="23" t="n"/>
      <c r="G214" s="19">
        <f>IF(E214="","",E214-N(F214))</f>
        <v/>
      </c>
      <c r="I214" s="20">
        <f>IF(G214="","",IF(OR($D$10="",$H$10="X",G214&lt;N($C$10)),0,IF(B214="G마켓",ROUNDDOWN(MIN(IF($D$10&gt;=1,MIN($D$10,G214),G214*$D$10),IF($E$10="",9E+99,$E$10)),0),ROUNDUP(MIN(IF($D$10&gt;=1,MIN($D$10,G214),G214*$D$10),IF($E$10="",9E+99,$E$10)),0))))</f>
        <v/>
      </c>
      <c r="J214" s="20">
        <f>IF(G214="","",IF(OR($D$11="",$H$11="X",G214&lt;N($C$11)),0,IF(B214="G마켓",ROUNDDOWN(MIN(IF($D$11&gt;=1,MIN($D$11,G214),G214*$D$11),IF($E$11="",9E+99,$E$11)),0),ROUNDUP(MIN(IF($D$11&gt;=1,MIN($D$11,G214),G214*$D$11),IF($E$11="",9E+99,$E$11)),0))))</f>
        <v/>
      </c>
      <c r="K214" s="20">
        <f>IF(G214="","",IF(OR($D$12="",$H$12="X",G214&lt;N($C$12)),0,IF(B214="G마켓",ROUNDDOWN(MIN(IF($D$12&gt;=1,MIN($D$12,G214),G214*$D$12),IF($E$12="",9E+99,$E$12)),0),ROUNDUP(MIN(IF($D$12&gt;=1,MIN($D$12,G214),G214*$D$12),IF($E$12="",9E+99,$E$12)),0))))</f>
        <v/>
      </c>
      <c r="L214" s="20">
        <f>IF(G214="","",IF(OR($D$13="",$H$13="X",G214&lt;N($C$13)),0,IF(B214="G마켓",ROUNDDOWN(MIN(IF($D$13&gt;=1,MIN($D$13,G214),G214*$D$13),IF($E$13="",9E+99,$E$13)),0),ROUNDUP(MIN(IF($D$13&gt;=1,MIN($D$13,G214),G214*$D$13),IF($E$13="",9E+99,$E$13)),0))))</f>
        <v/>
      </c>
      <c r="M214" s="20">
        <f>IF(G214="","",IF(OR($D$14="",$H$14="X",G214&lt;N($C$14)),0,IF(B214="G마켓",ROUNDDOWN(MIN(IF($D$14&gt;=1,MIN($D$14,G214),G214*$D$14),IF($E$14="",9E+99,$E$14)),0),ROUNDUP(MIN(IF($D$14&gt;=1,MIN($D$14,G214),G214*$D$14),IF($E$14="",9E+99,$E$14)),0))))</f>
        <v/>
      </c>
      <c r="N214" s="19">
        <f>IF(G214="","",G214-MAX(I214:M214))</f>
        <v/>
      </c>
      <c r="O214" s="20">
        <f>IF(N214="","",IF(OR($D$18="",$H$18="X",N214&lt;N($C$18)),0,IF(B214="G마켓",ROUNDDOWN(MIN(IF($D$18&gt;=1,MIN($D$18,N214),N214*$D$18),IF($E$18="",9E+99,$E$18)),0),ROUNDUP(MIN(IF($D$18&gt;=1,MIN($D$18,N214),N214*$D$18),IF($E$18="",9E+99,$E$18)),0))))</f>
        <v/>
      </c>
      <c r="P214" s="20">
        <f>IF(N214="","",IF(OR($D$19="",$H$19="X",N214&lt;N($C$19)),0,IF(B214="G마켓",ROUNDDOWN(MIN(IF($D$19&gt;=1,MIN($D$19,N214),N214*$D$19),IF($E$19="",9E+99,$E$19)),0),ROUNDUP(MIN(IF($D$19&gt;=1,MIN($D$19,N214),N214*$D$19),IF($E$19="",9E+99,$E$19)),0))))</f>
        <v/>
      </c>
      <c r="Q214" s="20">
        <f>IF(N214="","",IF(OR($D$20="",$H$20="X",N214&lt;N($C$20)),0,IF(B214="G마켓",ROUNDDOWN(MIN(IF($D$20&gt;=1,MIN($D$20,N214),N214*$D$20),IF($E$20="",9E+99,$E$20)),0),ROUNDUP(MIN(IF($D$20&gt;=1,MIN($D$20,N214),N214*$D$20),IF($E$20="",9E+99,$E$20)),0))))</f>
        <v/>
      </c>
      <c r="R214" s="20">
        <f>IF(N214="","",IF(OR($D$21="",$H$21="X",N214&lt;N($C$21)),0,IF(B214="G마켓",ROUNDDOWN(MIN(IF($D$21&gt;=1,MIN($D$21,N214),N214*$D$21),IF($E$21="",9E+99,$E$21)),0),ROUNDUP(MIN(IF($D$21&gt;=1,MIN($D$21,N214),N214*$D$21),IF($E$21="",9E+99,$E$21)),0))))</f>
        <v/>
      </c>
      <c r="S214" s="19">
        <f>IF(G214="","",N214-MAX(O214:R214))</f>
        <v/>
      </c>
      <c r="T214" s="20">
        <f>IF(S214="","",IF(OR($D$25="",S214&lt;N($C$25)),0,IF(B214="G마켓",ROUNDDOWN(MIN(IF($D$25&gt;=1,MIN($D$25,S214),S214*$D$25),IF($E$25="",9E+99,$E$25)),0),ROUNDUP(MIN(IF($D$25&gt;=1,MIN($D$25,S214),S214*$D$25),IF($E$25="",9E+99,$E$25)),0))))</f>
        <v/>
      </c>
      <c r="U214" s="20">
        <f>IF(S214="","",IF(OR($D$26="",S214&lt;N($C$26)),0,IF(B214="G마켓",ROUNDDOWN(MIN(IF($D$26&gt;=1,MIN($D$26,S214),S214*$D$26),IF($E$26="",9E+99,$E$26)),0),ROUNDUP(MIN(IF($D$26&gt;=1,MIN($D$26,S214),S214*$D$26),IF($E$26="",9E+99,$E$26)),0))))</f>
        <v/>
      </c>
      <c r="V214" s="20">
        <f>IF(S214="","",IF(OR($D$27="",S214&lt;N($C$27)),0,IF(B214="G마켓",ROUNDDOWN(MIN(IF($D$27&gt;=1,MIN($D$27,S214),S214*$D$27),IF($E$27="",9E+99,$E$27)),0),ROUNDUP(MIN(IF($D$27&gt;=1,MIN($D$27,S214),S214*$D$27),IF($E$27="",9E+99,$E$27)),0))))</f>
        <v/>
      </c>
      <c r="W214" s="19">
        <f>IF(G214="","",MAX(T214:V214))</f>
        <v/>
      </c>
      <c r="X214" s="21">
        <f>IF(G214="","",S214-W214)</f>
        <v/>
      </c>
      <c r="Y214" s="19">
        <f>IF(G214="","",IF(B214="G마켓",ROUNDDOWN(MAX(I214*N($G$10),J214*N($G$11),K214*N($G$12),L214*N($G$13),M214*N($G$14))+MAX(O214*N($G$18),P214*N($G$19),Q214*N($G$20),R214*N($G$21))+MAX(T214*N($G$25),U214*N($G$26),V214*N($G$27)),0),ROUNDUP(MAX(I214*N($G$10),J214*N($G$11),K214*N($G$12),L214*N($G$13),M214*N($G$14))+MAX(O214*N($G$18),P214*N($G$19),Q214*N($G$20),R214*N($G$21))+MAX(T214*N($G$25),U214*N($G$26),V214*N($G$27)),0)))</f>
        <v/>
      </c>
      <c r="Z214" s="21">
        <f>IF(G214="","",IF(B214="G마켓",ROUNDDOWN(G214-G214*$Q$6-Y214,0),ROUNDUP(G214-G214*$Q$6-Y214,0)))</f>
        <v/>
      </c>
    </row>
    <row r="215">
      <c r="B215" s="7" t="n"/>
      <c r="C215" s="7" t="n"/>
      <c r="D215" s="22" t="n"/>
      <c r="E215" s="23" t="n"/>
      <c r="F215" s="23" t="n"/>
      <c r="G215" s="19">
        <f>IF(E215="","",E215-N(F215))</f>
        <v/>
      </c>
      <c r="I215" s="20">
        <f>IF(G215="","",IF(OR($D$10="",$H$10="X",G215&lt;N($C$10)),0,IF(B215="G마켓",ROUNDDOWN(MIN(IF($D$10&gt;=1,MIN($D$10,G215),G215*$D$10),IF($E$10="",9E+99,$E$10)),0),ROUNDUP(MIN(IF($D$10&gt;=1,MIN($D$10,G215),G215*$D$10),IF($E$10="",9E+99,$E$10)),0))))</f>
        <v/>
      </c>
      <c r="J215" s="20">
        <f>IF(G215="","",IF(OR($D$11="",$H$11="X",G215&lt;N($C$11)),0,IF(B215="G마켓",ROUNDDOWN(MIN(IF($D$11&gt;=1,MIN($D$11,G215),G215*$D$11),IF($E$11="",9E+99,$E$11)),0),ROUNDUP(MIN(IF($D$11&gt;=1,MIN($D$11,G215),G215*$D$11),IF($E$11="",9E+99,$E$11)),0))))</f>
        <v/>
      </c>
      <c r="K215" s="20">
        <f>IF(G215="","",IF(OR($D$12="",$H$12="X",G215&lt;N($C$12)),0,IF(B215="G마켓",ROUNDDOWN(MIN(IF($D$12&gt;=1,MIN($D$12,G215),G215*$D$12),IF($E$12="",9E+99,$E$12)),0),ROUNDUP(MIN(IF($D$12&gt;=1,MIN($D$12,G215),G215*$D$12),IF($E$12="",9E+99,$E$12)),0))))</f>
        <v/>
      </c>
      <c r="L215" s="20">
        <f>IF(G215="","",IF(OR($D$13="",$H$13="X",G215&lt;N($C$13)),0,IF(B215="G마켓",ROUNDDOWN(MIN(IF($D$13&gt;=1,MIN($D$13,G215),G215*$D$13),IF($E$13="",9E+99,$E$13)),0),ROUNDUP(MIN(IF($D$13&gt;=1,MIN($D$13,G215),G215*$D$13),IF($E$13="",9E+99,$E$13)),0))))</f>
        <v/>
      </c>
      <c r="M215" s="20">
        <f>IF(G215="","",IF(OR($D$14="",$H$14="X",G215&lt;N($C$14)),0,IF(B215="G마켓",ROUNDDOWN(MIN(IF($D$14&gt;=1,MIN($D$14,G215),G215*$D$14),IF($E$14="",9E+99,$E$14)),0),ROUNDUP(MIN(IF($D$14&gt;=1,MIN($D$14,G215),G215*$D$14),IF($E$14="",9E+99,$E$14)),0))))</f>
        <v/>
      </c>
      <c r="N215" s="19">
        <f>IF(G215="","",G215-MAX(I215:M215))</f>
        <v/>
      </c>
      <c r="O215" s="20">
        <f>IF(N215="","",IF(OR($D$18="",$H$18="X",N215&lt;N($C$18)),0,IF(B215="G마켓",ROUNDDOWN(MIN(IF($D$18&gt;=1,MIN($D$18,N215),N215*$D$18),IF($E$18="",9E+99,$E$18)),0),ROUNDUP(MIN(IF($D$18&gt;=1,MIN($D$18,N215),N215*$D$18),IF($E$18="",9E+99,$E$18)),0))))</f>
        <v/>
      </c>
      <c r="P215" s="20">
        <f>IF(N215="","",IF(OR($D$19="",$H$19="X",N215&lt;N($C$19)),0,IF(B215="G마켓",ROUNDDOWN(MIN(IF($D$19&gt;=1,MIN($D$19,N215),N215*$D$19),IF($E$19="",9E+99,$E$19)),0),ROUNDUP(MIN(IF($D$19&gt;=1,MIN($D$19,N215),N215*$D$19),IF($E$19="",9E+99,$E$19)),0))))</f>
        <v/>
      </c>
      <c r="Q215" s="20">
        <f>IF(N215="","",IF(OR($D$20="",$H$20="X",N215&lt;N($C$20)),0,IF(B215="G마켓",ROUNDDOWN(MIN(IF($D$20&gt;=1,MIN($D$20,N215),N215*$D$20),IF($E$20="",9E+99,$E$20)),0),ROUNDUP(MIN(IF($D$20&gt;=1,MIN($D$20,N215),N215*$D$20),IF($E$20="",9E+99,$E$20)),0))))</f>
        <v/>
      </c>
      <c r="R215" s="20">
        <f>IF(N215="","",IF(OR($D$21="",$H$21="X",N215&lt;N($C$21)),0,IF(B215="G마켓",ROUNDDOWN(MIN(IF($D$21&gt;=1,MIN($D$21,N215),N215*$D$21),IF($E$21="",9E+99,$E$21)),0),ROUNDUP(MIN(IF($D$21&gt;=1,MIN($D$21,N215),N215*$D$21),IF($E$21="",9E+99,$E$21)),0))))</f>
        <v/>
      </c>
      <c r="S215" s="19">
        <f>IF(G215="","",N215-MAX(O215:R215))</f>
        <v/>
      </c>
      <c r="T215" s="20">
        <f>IF(S215="","",IF(OR($D$25="",S215&lt;N($C$25)),0,IF(B215="G마켓",ROUNDDOWN(MIN(IF($D$25&gt;=1,MIN($D$25,S215),S215*$D$25),IF($E$25="",9E+99,$E$25)),0),ROUNDUP(MIN(IF($D$25&gt;=1,MIN($D$25,S215),S215*$D$25),IF($E$25="",9E+99,$E$25)),0))))</f>
        <v/>
      </c>
      <c r="U215" s="20">
        <f>IF(S215="","",IF(OR($D$26="",S215&lt;N($C$26)),0,IF(B215="G마켓",ROUNDDOWN(MIN(IF($D$26&gt;=1,MIN($D$26,S215),S215*$D$26),IF($E$26="",9E+99,$E$26)),0),ROUNDUP(MIN(IF($D$26&gt;=1,MIN($D$26,S215),S215*$D$26),IF($E$26="",9E+99,$E$26)),0))))</f>
        <v/>
      </c>
      <c r="V215" s="20">
        <f>IF(S215="","",IF(OR($D$27="",S215&lt;N($C$27)),0,IF(B215="G마켓",ROUNDDOWN(MIN(IF($D$27&gt;=1,MIN($D$27,S215),S215*$D$27),IF($E$27="",9E+99,$E$27)),0),ROUNDUP(MIN(IF($D$27&gt;=1,MIN($D$27,S215),S215*$D$27),IF($E$27="",9E+99,$E$27)),0))))</f>
        <v/>
      </c>
      <c r="W215" s="19">
        <f>IF(G215="","",MAX(T215:V215))</f>
        <v/>
      </c>
      <c r="X215" s="21">
        <f>IF(G215="","",S215-W215)</f>
        <v/>
      </c>
      <c r="Y215" s="19">
        <f>IF(G215="","",IF(B215="G마켓",ROUNDDOWN(MAX(I215*N($G$10),J215*N($G$11),K215*N($G$12),L215*N($G$13),M215*N($G$14))+MAX(O215*N($G$18),P215*N($G$19),Q215*N($G$20),R215*N($G$21))+MAX(T215*N($G$25),U215*N($G$26),V215*N($G$27)),0),ROUNDUP(MAX(I215*N($G$10),J215*N($G$11),K215*N($G$12),L215*N($G$13),M215*N($G$14))+MAX(O215*N($G$18),P215*N($G$19),Q215*N($G$20),R215*N($G$21))+MAX(T215*N($G$25),U215*N($G$26),V215*N($G$27)),0)))</f>
        <v/>
      </c>
      <c r="Z215" s="21">
        <f>IF(G215="","",IF(B215="G마켓",ROUNDDOWN(G215-G215*$Q$6-Y215,0),ROUNDUP(G215-G215*$Q$6-Y215,0)))</f>
        <v/>
      </c>
    </row>
    <row r="216">
      <c r="B216" s="7" t="n"/>
      <c r="C216" s="7" t="n"/>
      <c r="D216" s="22" t="n"/>
      <c r="E216" s="23" t="n"/>
      <c r="F216" s="23" t="n"/>
      <c r="G216" s="19">
        <f>IF(E216="","",E216-N(F216))</f>
        <v/>
      </c>
      <c r="I216" s="20">
        <f>IF(G216="","",IF(OR($D$10="",$H$10="X",G216&lt;N($C$10)),0,IF(B216="G마켓",ROUNDDOWN(MIN(IF($D$10&gt;=1,MIN($D$10,G216),G216*$D$10),IF($E$10="",9E+99,$E$10)),0),ROUNDUP(MIN(IF($D$10&gt;=1,MIN($D$10,G216),G216*$D$10),IF($E$10="",9E+99,$E$10)),0))))</f>
        <v/>
      </c>
      <c r="J216" s="20">
        <f>IF(G216="","",IF(OR($D$11="",$H$11="X",G216&lt;N($C$11)),0,IF(B216="G마켓",ROUNDDOWN(MIN(IF($D$11&gt;=1,MIN($D$11,G216),G216*$D$11),IF($E$11="",9E+99,$E$11)),0),ROUNDUP(MIN(IF($D$11&gt;=1,MIN($D$11,G216),G216*$D$11),IF($E$11="",9E+99,$E$11)),0))))</f>
        <v/>
      </c>
      <c r="K216" s="20">
        <f>IF(G216="","",IF(OR($D$12="",$H$12="X",G216&lt;N($C$12)),0,IF(B216="G마켓",ROUNDDOWN(MIN(IF($D$12&gt;=1,MIN($D$12,G216),G216*$D$12),IF($E$12="",9E+99,$E$12)),0),ROUNDUP(MIN(IF($D$12&gt;=1,MIN($D$12,G216),G216*$D$12),IF($E$12="",9E+99,$E$12)),0))))</f>
        <v/>
      </c>
      <c r="L216" s="20">
        <f>IF(G216="","",IF(OR($D$13="",$H$13="X",G216&lt;N($C$13)),0,IF(B216="G마켓",ROUNDDOWN(MIN(IF($D$13&gt;=1,MIN($D$13,G216),G216*$D$13),IF($E$13="",9E+99,$E$13)),0),ROUNDUP(MIN(IF($D$13&gt;=1,MIN($D$13,G216),G216*$D$13),IF($E$13="",9E+99,$E$13)),0))))</f>
        <v/>
      </c>
      <c r="M216" s="20">
        <f>IF(G216="","",IF(OR($D$14="",$H$14="X",G216&lt;N($C$14)),0,IF(B216="G마켓",ROUNDDOWN(MIN(IF($D$14&gt;=1,MIN($D$14,G216),G216*$D$14),IF($E$14="",9E+99,$E$14)),0),ROUNDUP(MIN(IF($D$14&gt;=1,MIN($D$14,G216),G216*$D$14),IF($E$14="",9E+99,$E$14)),0))))</f>
        <v/>
      </c>
      <c r="N216" s="19">
        <f>IF(G216="","",G216-MAX(I216:M216))</f>
        <v/>
      </c>
      <c r="O216" s="20">
        <f>IF(N216="","",IF(OR($D$18="",$H$18="X",N216&lt;N($C$18)),0,IF(B216="G마켓",ROUNDDOWN(MIN(IF($D$18&gt;=1,MIN($D$18,N216),N216*$D$18),IF($E$18="",9E+99,$E$18)),0),ROUNDUP(MIN(IF($D$18&gt;=1,MIN($D$18,N216),N216*$D$18),IF($E$18="",9E+99,$E$18)),0))))</f>
        <v/>
      </c>
      <c r="P216" s="20">
        <f>IF(N216="","",IF(OR($D$19="",$H$19="X",N216&lt;N($C$19)),0,IF(B216="G마켓",ROUNDDOWN(MIN(IF($D$19&gt;=1,MIN($D$19,N216),N216*$D$19),IF($E$19="",9E+99,$E$19)),0),ROUNDUP(MIN(IF($D$19&gt;=1,MIN($D$19,N216),N216*$D$19),IF($E$19="",9E+99,$E$19)),0))))</f>
        <v/>
      </c>
      <c r="Q216" s="20">
        <f>IF(N216="","",IF(OR($D$20="",$H$20="X",N216&lt;N($C$20)),0,IF(B216="G마켓",ROUNDDOWN(MIN(IF($D$20&gt;=1,MIN($D$20,N216),N216*$D$20),IF($E$20="",9E+99,$E$20)),0),ROUNDUP(MIN(IF($D$20&gt;=1,MIN($D$20,N216),N216*$D$20),IF($E$20="",9E+99,$E$20)),0))))</f>
        <v/>
      </c>
      <c r="R216" s="20">
        <f>IF(N216="","",IF(OR($D$21="",$H$21="X",N216&lt;N($C$21)),0,IF(B216="G마켓",ROUNDDOWN(MIN(IF($D$21&gt;=1,MIN($D$21,N216),N216*$D$21),IF($E$21="",9E+99,$E$21)),0),ROUNDUP(MIN(IF($D$21&gt;=1,MIN($D$21,N216),N216*$D$21),IF($E$21="",9E+99,$E$21)),0))))</f>
        <v/>
      </c>
      <c r="S216" s="19">
        <f>IF(G216="","",N216-MAX(O216:R216))</f>
        <v/>
      </c>
      <c r="T216" s="20">
        <f>IF(S216="","",IF(OR($D$25="",S216&lt;N($C$25)),0,IF(B216="G마켓",ROUNDDOWN(MIN(IF($D$25&gt;=1,MIN($D$25,S216),S216*$D$25),IF($E$25="",9E+99,$E$25)),0),ROUNDUP(MIN(IF($D$25&gt;=1,MIN($D$25,S216),S216*$D$25),IF($E$25="",9E+99,$E$25)),0))))</f>
        <v/>
      </c>
      <c r="U216" s="20">
        <f>IF(S216="","",IF(OR($D$26="",S216&lt;N($C$26)),0,IF(B216="G마켓",ROUNDDOWN(MIN(IF($D$26&gt;=1,MIN($D$26,S216),S216*$D$26),IF($E$26="",9E+99,$E$26)),0),ROUNDUP(MIN(IF($D$26&gt;=1,MIN($D$26,S216),S216*$D$26),IF($E$26="",9E+99,$E$26)),0))))</f>
        <v/>
      </c>
      <c r="V216" s="20">
        <f>IF(S216="","",IF(OR($D$27="",S216&lt;N($C$27)),0,IF(B216="G마켓",ROUNDDOWN(MIN(IF($D$27&gt;=1,MIN($D$27,S216),S216*$D$27),IF($E$27="",9E+99,$E$27)),0),ROUNDUP(MIN(IF($D$27&gt;=1,MIN($D$27,S216),S216*$D$27),IF($E$27="",9E+99,$E$27)),0))))</f>
        <v/>
      </c>
      <c r="W216" s="19">
        <f>IF(G216="","",MAX(T216:V216))</f>
        <v/>
      </c>
      <c r="X216" s="21">
        <f>IF(G216="","",S216-W216)</f>
        <v/>
      </c>
      <c r="Y216" s="19">
        <f>IF(G216="","",IF(B216="G마켓",ROUNDDOWN(MAX(I216*N($G$10),J216*N($G$11),K216*N($G$12),L216*N($G$13),M216*N($G$14))+MAX(O216*N($G$18),P216*N($G$19),Q216*N($G$20),R216*N($G$21))+MAX(T216*N($G$25),U216*N($G$26),V216*N($G$27)),0),ROUNDUP(MAX(I216*N($G$10),J216*N($G$11),K216*N($G$12),L216*N($G$13),M216*N($G$14))+MAX(O216*N($G$18),P216*N($G$19),Q216*N($G$20),R216*N($G$21))+MAX(T216*N($G$25),U216*N($G$26),V216*N($G$27)),0)))</f>
        <v/>
      </c>
      <c r="Z216" s="21">
        <f>IF(G216="","",IF(B216="G마켓",ROUNDDOWN(G216-G216*$Q$6-Y216,0),ROUNDUP(G216-G216*$Q$6-Y216,0)))</f>
        <v/>
      </c>
    </row>
    <row r="217">
      <c r="B217" s="7" t="n"/>
      <c r="C217" s="7" t="n"/>
      <c r="D217" s="22" t="n"/>
      <c r="E217" s="23" t="n"/>
      <c r="F217" s="23" t="n"/>
      <c r="G217" s="19">
        <f>IF(E217="","",E217-N(F217))</f>
        <v/>
      </c>
      <c r="I217" s="20">
        <f>IF(G217="","",IF(OR($D$10="",$H$10="X",G217&lt;N($C$10)),0,IF(B217="G마켓",ROUNDDOWN(MIN(IF($D$10&gt;=1,MIN($D$10,G217),G217*$D$10),IF($E$10="",9E+99,$E$10)),0),ROUNDUP(MIN(IF($D$10&gt;=1,MIN($D$10,G217),G217*$D$10),IF($E$10="",9E+99,$E$10)),0))))</f>
        <v/>
      </c>
      <c r="J217" s="20">
        <f>IF(G217="","",IF(OR($D$11="",$H$11="X",G217&lt;N($C$11)),0,IF(B217="G마켓",ROUNDDOWN(MIN(IF($D$11&gt;=1,MIN($D$11,G217),G217*$D$11),IF($E$11="",9E+99,$E$11)),0),ROUNDUP(MIN(IF($D$11&gt;=1,MIN($D$11,G217),G217*$D$11),IF($E$11="",9E+99,$E$11)),0))))</f>
        <v/>
      </c>
      <c r="K217" s="20">
        <f>IF(G217="","",IF(OR($D$12="",$H$12="X",G217&lt;N($C$12)),0,IF(B217="G마켓",ROUNDDOWN(MIN(IF($D$12&gt;=1,MIN($D$12,G217),G217*$D$12),IF($E$12="",9E+99,$E$12)),0),ROUNDUP(MIN(IF($D$12&gt;=1,MIN($D$12,G217),G217*$D$12),IF($E$12="",9E+99,$E$12)),0))))</f>
        <v/>
      </c>
      <c r="L217" s="20">
        <f>IF(G217="","",IF(OR($D$13="",$H$13="X",G217&lt;N($C$13)),0,IF(B217="G마켓",ROUNDDOWN(MIN(IF($D$13&gt;=1,MIN($D$13,G217),G217*$D$13),IF($E$13="",9E+99,$E$13)),0),ROUNDUP(MIN(IF($D$13&gt;=1,MIN($D$13,G217),G217*$D$13),IF($E$13="",9E+99,$E$13)),0))))</f>
        <v/>
      </c>
      <c r="M217" s="20">
        <f>IF(G217="","",IF(OR($D$14="",$H$14="X",G217&lt;N($C$14)),0,IF(B217="G마켓",ROUNDDOWN(MIN(IF($D$14&gt;=1,MIN($D$14,G217),G217*$D$14),IF($E$14="",9E+99,$E$14)),0),ROUNDUP(MIN(IF($D$14&gt;=1,MIN($D$14,G217),G217*$D$14),IF($E$14="",9E+99,$E$14)),0))))</f>
        <v/>
      </c>
      <c r="N217" s="19">
        <f>IF(G217="","",G217-MAX(I217:M217))</f>
        <v/>
      </c>
      <c r="O217" s="20">
        <f>IF(N217="","",IF(OR($D$18="",$H$18="X",N217&lt;N($C$18)),0,IF(B217="G마켓",ROUNDDOWN(MIN(IF($D$18&gt;=1,MIN($D$18,N217),N217*$D$18),IF($E$18="",9E+99,$E$18)),0),ROUNDUP(MIN(IF($D$18&gt;=1,MIN($D$18,N217),N217*$D$18),IF($E$18="",9E+99,$E$18)),0))))</f>
        <v/>
      </c>
      <c r="P217" s="20">
        <f>IF(N217="","",IF(OR($D$19="",$H$19="X",N217&lt;N($C$19)),0,IF(B217="G마켓",ROUNDDOWN(MIN(IF($D$19&gt;=1,MIN($D$19,N217),N217*$D$19),IF($E$19="",9E+99,$E$19)),0),ROUNDUP(MIN(IF($D$19&gt;=1,MIN($D$19,N217),N217*$D$19),IF($E$19="",9E+99,$E$19)),0))))</f>
        <v/>
      </c>
      <c r="Q217" s="20">
        <f>IF(N217="","",IF(OR($D$20="",$H$20="X",N217&lt;N($C$20)),0,IF(B217="G마켓",ROUNDDOWN(MIN(IF($D$20&gt;=1,MIN($D$20,N217),N217*$D$20),IF($E$20="",9E+99,$E$20)),0),ROUNDUP(MIN(IF($D$20&gt;=1,MIN($D$20,N217),N217*$D$20),IF($E$20="",9E+99,$E$20)),0))))</f>
        <v/>
      </c>
      <c r="R217" s="20">
        <f>IF(N217="","",IF(OR($D$21="",$H$21="X",N217&lt;N($C$21)),0,IF(B217="G마켓",ROUNDDOWN(MIN(IF($D$21&gt;=1,MIN($D$21,N217),N217*$D$21),IF($E$21="",9E+99,$E$21)),0),ROUNDUP(MIN(IF($D$21&gt;=1,MIN($D$21,N217),N217*$D$21),IF($E$21="",9E+99,$E$21)),0))))</f>
        <v/>
      </c>
      <c r="S217" s="19">
        <f>IF(G217="","",N217-MAX(O217:R217))</f>
        <v/>
      </c>
      <c r="T217" s="20">
        <f>IF(S217="","",IF(OR($D$25="",S217&lt;N($C$25)),0,IF(B217="G마켓",ROUNDDOWN(MIN(IF($D$25&gt;=1,MIN($D$25,S217),S217*$D$25),IF($E$25="",9E+99,$E$25)),0),ROUNDUP(MIN(IF($D$25&gt;=1,MIN($D$25,S217),S217*$D$25),IF($E$25="",9E+99,$E$25)),0))))</f>
        <v/>
      </c>
      <c r="U217" s="20">
        <f>IF(S217="","",IF(OR($D$26="",S217&lt;N($C$26)),0,IF(B217="G마켓",ROUNDDOWN(MIN(IF($D$26&gt;=1,MIN($D$26,S217),S217*$D$26),IF($E$26="",9E+99,$E$26)),0),ROUNDUP(MIN(IF($D$26&gt;=1,MIN($D$26,S217),S217*$D$26),IF($E$26="",9E+99,$E$26)),0))))</f>
        <v/>
      </c>
      <c r="V217" s="20">
        <f>IF(S217="","",IF(OR($D$27="",S217&lt;N($C$27)),0,IF(B217="G마켓",ROUNDDOWN(MIN(IF($D$27&gt;=1,MIN($D$27,S217),S217*$D$27),IF($E$27="",9E+99,$E$27)),0),ROUNDUP(MIN(IF($D$27&gt;=1,MIN($D$27,S217),S217*$D$27),IF($E$27="",9E+99,$E$27)),0))))</f>
        <v/>
      </c>
      <c r="W217" s="19">
        <f>IF(G217="","",MAX(T217:V217))</f>
        <v/>
      </c>
      <c r="X217" s="21">
        <f>IF(G217="","",S217-W217)</f>
        <v/>
      </c>
      <c r="Y217" s="19">
        <f>IF(G217="","",IF(B217="G마켓",ROUNDDOWN(MAX(I217*N($G$10),J217*N($G$11),K217*N($G$12),L217*N($G$13),M217*N($G$14))+MAX(O217*N($G$18),P217*N($G$19),Q217*N($G$20),R217*N($G$21))+MAX(T217*N($G$25),U217*N($G$26),V217*N($G$27)),0),ROUNDUP(MAX(I217*N($G$10),J217*N($G$11),K217*N($G$12),L217*N($G$13),M217*N($G$14))+MAX(O217*N($G$18),P217*N($G$19),Q217*N($G$20),R217*N($G$21))+MAX(T217*N($G$25),U217*N($G$26),V217*N($G$27)),0)))</f>
        <v/>
      </c>
      <c r="Z217" s="21">
        <f>IF(G217="","",IF(B217="G마켓",ROUNDDOWN(G217-G217*$Q$6-Y217,0),ROUNDUP(G217-G217*$Q$6-Y217,0)))</f>
        <v/>
      </c>
    </row>
    <row r="218">
      <c r="B218" s="7" t="n"/>
      <c r="C218" s="7" t="n"/>
      <c r="D218" s="22" t="n"/>
      <c r="E218" s="23" t="n"/>
      <c r="F218" s="23" t="n"/>
      <c r="G218" s="19">
        <f>IF(E218="","",E218-N(F218))</f>
        <v/>
      </c>
      <c r="I218" s="20">
        <f>IF(G218="","",IF(OR($D$10="",$H$10="X",G218&lt;N($C$10)),0,IF(B218="G마켓",ROUNDDOWN(MIN(IF($D$10&gt;=1,MIN($D$10,G218),G218*$D$10),IF($E$10="",9E+99,$E$10)),0),ROUNDUP(MIN(IF($D$10&gt;=1,MIN($D$10,G218),G218*$D$10),IF($E$10="",9E+99,$E$10)),0))))</f>
        <v/>
      </c>
      <c r="J218" s="20">
        <f>IF(G218="","",IF(OR($D$11="",$H$11="X",G218&lt;N($C$11)),0,IF(B218="G마켓",ROUNDDOWN(MIN(IF($D$11&gt;=1,MIN($D$11,G218),G218*$D$11),IF($E$11="",9E+99,$E$11)),0),ROUNDUP(MIN(IF($D$11&gt;=1,MIN($D$11,G218),G218*$D$11),IF($E$11="",9E+99,$E$11)),0))))</f>
        <v/>
      </c>
      <c r="K218" s="20">
        <f>IF(G218="","",IF(OR($D$12="",$H$12="X",G218&lt;N($C$12)),0,IF(B218="G마켓",ROUNDDOWN(MIN(IF($D$12&gt;=1,MIN($D$12,G218),G218*$D$12),IF($E$12="",9E+99,$E$12)),0),ROUNDUP(MIN(IF($D$12&gt;=1,MIN($D$12,G218),G218*$D$12),IF($E$12="",9E+99,$E$12)),0))))</f>
        <v/>
      </c>
      <c r="L218" s="20">
        <f>IF(G218="","",IF(OR($D$13="",$H$13="X",G218&lt;N($C$13)),0,IF(B218="G마켓",ROUNDDOWN(MIN(IF($D$13&gt;=1,MIN($D$13,G218),G218*$D$13),IF($E$13="",9E+99,$E$13)),0),ROUNDUP(MIN(IF($D$13&gt;=1,MIN($D$13,G218),G218*$D$13),IF($E$13="",9E+99,$E$13)),0))))</f>
        <v/>
      </c>
      <c r="M218" s="20">
        <f>IF(G218="","",IF(OR($D$14="",$H$14="X",G218&lt;N($C$14)),0,IF(B218="G마켓",ROUNDDOWN(MIN(IF($D$14&gt;=1,MIN($D$14,G218),G218*$D$14),IF($E$14="",9E+99,$E$14)),0),ROUNDUP(MIN(IF($D$14&gt;=1,MIN($D$14,G218),G218*$D$14),IF($E$14="",9E+99,$E$14)),0))))</f>
        <v/>
      </c>
      <c r="N218" s="19">
        <f>IF(G218="","",G218-MAX(I218:M218))</f>
        <v/>
      </c>
      <c r="O218" s="20">
        <f>IF(N218="","",IF(OR($D$18="",$H$18="X",N218&lt;N($C$18)),0,IF(B218="G마켓",ROUNDDOWN(MIN(IF($D$18&gt;=1,MIN($D$18,N218),N218*$D$18),IF($E$18="",9E+99,$E$18)),0),ROUNDUP(MIN(IF($D$18&gt;=1,MIN($D$18,N218),N218*$D$18),IF($E$18="",9E+99,$E$18)),0))))</f>
        <v/>
      </c>
      <c r="P218" s="20">
        <f>IF(N218="","",IF(OR($D$19="",$H$19="X",N218&lt;N($C$19)),0,IF(B218="G마켓",ROUNDDOWN(MIN(IF($D$19&gt;=1,MIN($D$19,N218),N218*$D$19),IF($E$19="",9E+99,$E$19)),0),ROUNDUP(MIN(IF($D$19&gt;=1,MIN($D$19,N218),N218*$D$19),IF($E$19="",9E+99,$E$19)),0))))</f>
        <v/>
      </c>
      <c r="Q218" s="20">
        <f>IF(N218="","",IF(OR($D$20="",$H$20="X",N218&lt;N($C$20)),0,IF(B218="G마켓",ROUNDDOWN(MIN(IF($D$20&gt;=1,MIN($D$20,N218),N218*$D$20),IF($E$20="",9E+99,$E$20)),0),ROUNDUP(MIN(IF($D$20&gt;=1,MIN($D$20,N218),N218*$D$20),IF($E$20="",9E+99,$E$20)),0))))</f>
        <v/>
      </c>
      <c r="R218" s="20">
        <f>IF(N218="","",IF(OR($D$21="",$H$21="X",N218&lt;N($C$21)),0,IF(B218="G마켓",ROUNDDOWN(MIN(IF($D$21&gt;=1,MIN($D$21,N218),N218*$D$21),IF($E$21="",9E+99,$E$21)),0),ROUNDUP(MIN(IF($D$21&gt;=1,MIN($D$21,N218),N218*$D$21),IF($E$21="",9E+99,$E$21)),0))))</f>
        <v/>
      </c>
      <c r="S218" s="19">
        <f>IF(G218="","",N218-MAX(O218:R218))</f>
        <v/>
      </c>
      <c r="T218" s="20">
        <f>IF(S218="","",IF(OR($D$25="",S218&lt;N($C$25)),0,IF(B218="G마켓",ROUNDDOWN(MIN(IF($D$25&gt;=1,MIN($D$25,S218),S218*$D$25),IF($E$25="",9E+99,$E$25)),0),ROUNDUP(MIN(IF($D$25&gt;=1,MIN($D$25,S218),S218*$D$25),IF($E$25="",9E+99,$E$25)),0))))</f>
        <v/>
      </c>
      <c r="U218" s="20">
        <f>IF(S218="","",IF(OR($D$26="",S218&lt;N($C$26)),0,IF(B218="G마켓",ROUNDDOWN(MIN(IF($D$26&gt;=1,MIN($D$26,S218),S218*$D$26),IF($E$26="",9E+99,$E$26)),0),ROUNDUP(MIN(IF($D$26&gt;=1,MIN($D$26,S218),S218*$D$26),IF($E$26="",9E+99,$E$26)),0))))</f>
        <v/>
      </c>
      <c r="V218" s="20">
        <f>IF(S218="","",IF(OR($D$27="",S218&lt;N($C$27)),0,IF(B218="G마켓",ROUNDDOWN(MIN(IF($D$27&gt;=1,MIN($D$27,S218),S218*$D$27),IF($E$27="",9E+99,$E$27)),0),ROUNDUP(MIN(IF($D$27&gt;=1,MIN($D$27,S218),S218*$D$27),IF($E$27="",9E+99,$E$27)),0))))</f>
        <v/>
      </c>
      <c r="W218" s="19">
        <f>IF(G218="","",MAX(T218:V218))</f>
        <v/>
      </c>
      <c r="X218" s="21">
        <f>IF(G218="","",S218-W218)</f>
        <v/>
      </c>
      <c r="Y218" s="19">
        <f>IF(G218="","",IF(B218="G마켓",ROUNDDOWN(MAX(I218*N($G$10),J218*N($G$11),K218*N($G$12),L218*N($G$13),M218*N($G$14))+MAX(O218*N($G$18),P218*N($G$19),Q218*N($G$20),R218*N($G$21))+MAX(T218*N($G$25),U218*N($G$26),V218*N($G$27)),0),ROUNDUP(MAX(I218*N($G$10),J218*N($G$11),K218*N($G$12),L218*N($G$13),M218*N($G$14))+MAX(O218*N($G$18),P218*N($G$19),Q218*N($G$20),R218*N($G$21))+MAX(T218*N($G$25),U218*N($G$26),V218*N($G$27)),0)))</f>
        <v/>
      </c>
      <c r="Z218" s="21">
        <f>IF(G218="","",IF(B218="G마켓",ROUNDDOWN(G218-G218*$Q$6-Y218,0),ROUNDUP(G218-G218*$Q$6-Y218,0)))</f>
        <v/>
      </c>
    </row>
    <row r="219">
      <c r="B219" s="7" t="n"/>
      <c r="C219" s="7" t="n"/>
      <c r="D219" s="22" t="n"/>
      <c r="E219" s="23" t="n"/>
      <c r="F219" s="23" t="n"/>
      <c r="G219" s="19">
        <f>IF(E219="","",E219-N(F219))</f>
        <v/>
      </c>
      <c r="I219" s="20">
        <f>IF(G219="","",IF(OR($D$10="",$H$10="X",G219&lt;N($C$10)),0,IF(B219="G마켓",ROUNDDOWN(MIN(IF($D$10&gt;=1,MIN($D$10,G219),G219*$D$10),IF($E$10="",9E+99,$E$10)),0),ROUNDUP(MIN(IF($D$10&gt;=1,MIN($D$10,G219),G219*$D$10),IF($E$10="",9E+99,$E$10)),0))))</f>
        <v/>
      </c>
      <c r="J219" s="20">
        <f>IF(G219="","",IF(OR($D$11="",$H$11="X",G219&lt;N($C$11)),0,IF(B219="G마켓",ROUNDDOWN(MIN(IF($D$11&gt;=1,MIN($D$11,G219),G219*$D$11),IF($E$11="",9E+99,$E$11)),0),ROUNDUP(MIN(IF($D$11&gt;=1,MIN($D$11,G219),G219*$D$11),IF($E$11="",9E+99,$E$11)),0))))</f>
        <v/>
      </c>
      <c r="K219" s="20">
        <f>IF(G219="","",IF(OR($D$12="",$H$12="X",G219&lt;N($C$12)),0,IF(B219="G마켓",ROUNDDOWN(MIN(IF($D$12&gt;=1,MIN($D$12,G219),G219*$D$12),IF($E$12="",9E+99,$E$12)),0),ROUNDUP(MIN(IF($D$12&gt;=1,MIN($D$12,G219),G219*$D$12),IF($E$12="",9E+99,$E$12)),0))))</f>
        <v/>
      </c>
      <c r="L219" s="20">
        <f>IF(G219="","",IF(OR($D$13="",$H$13="X",G219&lt;N($C$13)),0,IF(B219="G마켓",ROUNDDOWN(MIN(IF($D$13&gt;=1,MIN($D$13,G219),G219*$D$13),IF($E$13="",9E+99,$E$13)),0),ROUNDUP(MIN(IF($D$13&gt;=1,MIN($D$13,G219),G219*$D$13),IF($E$13="",9E+99,$E$13)),0))))</f>
        <v/>
      </c>
      <c r="M219" s="20">
        <f>IF(G219="","",IF(OR($D$14="",$H$14="X",G219&lt;N($C$14)),0,IF(B219="G마켓",ROUNDDOWN(MIN(IF($D$14&gt;=1,MIN($D$14,G219),G219*$D$14),IF($E$14="",9E+99,$E$14)),0),ROUNDUP(MIN(IF($D$14&gt;=1,MIN($D$14,G219),G219*$D$14),IF($E$14="",9E+99,$E$14)),0))))</f>
        <v/>
      </c>
      <c r="N219" s="19">
        <f>IF(G219="","",G219-MAX(I219:M219))</f>
        <v/>
      </c>
      <c r="O219" s="20">
        <f>IF(N219="","",IF(OR($D$18="",$H$18="X",N219&lt;N($C$18)),0,IF(B219="G마켓",ROUNDDOWN(MIN(IF($D$18&gt;=1,MIN($D$18,N219),N219*$D$18),IF($E$18="",9E+99,$E$18)),0),ROUNDUP(MIN(IF($D$18&gt;=1,MIN($D$18,N219),N219*$D$18),IF($E$18="",9E+99,$E$18)),0))))</f>
        <v/>
      </c>
      <c r="P219" s="20">
        <f>IF(N219="","",IF(OR($D$19="",$H$19="X",N219&lt;N($C$19)),0,IF(B219="G마켓",ROUNDDOWN(MIN(IF($D$19&gt;=1,MIN($D$19,N219),N219*$D$19),IF($E$19="",9E+99,$E$19)),0),ROUNDUP(MIN(IF($D$19&gt;=1,MIN($D$19,N219),N219*$D$19),IF($E$19="",9E+99,$E$19)),0))))</f>
        <v/>
      </c>
      <c r="Q219" s="20">
        <f>IF(N219="","",IF(OR($D$20="",$H$20="X",N219&lt;N($C$20)),0,IF(B219="G마켓",ROUNDDOWN(MIN(IF($D$20&gt;=1,MIN($D$20,N219),N219*$D$20),IF($E$20="",9E+99,$E$20)),0),ROUNDUP(MIN(IF($D$20&gt;=1,MIN($D$20,N219),N219*$D$20),IF($E$20="",9E+99,$E$20)),0))))</f>
        <v/>
      </c>
      <c r="R219" s="20">
        <f>IF(N219="","",IF(OR($D$21="",$H$21="X",N219&lt;N($C$21)),0,IF(B219="G마켓",ROUNDDOWN(MIN(IF($D$21&gt;=1,MIN($D$21,N219),N219*$D$21),IF($E$21="",9E+99,$E$21)),0),ROUNDUP(MIN(IF($D$21&gt;=1,MIN($D$21,N219),N219*$D$21),IF($E$21="",9E+99,$E$21)),0))))</f>
        <v/>
      </c>
      <c r="S219" s="19">
        <f>IF(G219="","",N219-MAX(O219:R219))</f>
        <v/>
      </c>
      <c r="T219" s="20">
        <f>IF(S219="","",IF(OR($D$25="",S219&lt;N($C$25)),0,IF(B219="G마켓",ROUNDDOWN(MIN(IF($D$25&gt;=1,MIN($D$25,S219),S219*$D$25),IF($E$25="",9E+99,$E$25)),0),ROUNDUP(MIN(IF($D$25&gt;=1,MIN($D$25,S219),S219*$D$25),IF($E$25="",9E+99,$E$25)),0))))</f>
        <v/>
      </c>
      <c r="U219" s="20">
        <f>IF(S219="","",IF(OR($D$26="",S219&lt;N($C$26)),0,IF(B219="G마켓",ROUNDDOWN(MIN(IF($D$26&gt;=1,MIN($D$26,S219),S219*$D$26),IF($E$26="",9E+99,$E$26)),0),ROUNDUP(MIN(IF($D$26&gt;=1,MIN($D$26,S219),S219*$D$26),IF($E$26="",9E+99,$E$26)),0))))</f>
        <v/>
      </c>
      <c r="V219" s="20">
        <f>IF(S219="","",IF(OR($D$27="",S219&lt;N($C$27)),0,IF(B219="G마켓",ROUNDDOWN(MIN(IF($D$27&gt;=1,MIN($D$27,S219),S219*$D$27),IF($E$27="",9E+99,$E$27)),0),ROUNDUP(MIN(IF($D$27&gt;=1,MIN($D$27,S219),S219*$D$27),IF($E$27="",9E+99,$E$27)),0))))</f>
        <v/>
      </c>
      <c r="W219" s="19">
        <f>IF(G219="","",MAX(T219:V219))</f>
        <v/>
      </c>
      <c r="X219" s="21">
        <f>IF(G219="","",S219-W219)</f>
        <v/>
      </c>
      <c r="Y219" s="19">
        <f>IF(G219="","",IF(B219="G마켓",ROUNDDOWN(MAX(I219*N($G$10),J219*N($G$11),K219*N($G$12),L219*N($G$13),M219*N($G$14))+MAX(O219*N($G$18),P219*N($G$19),Q219*N($G$20),R219*N($G$21))+MAX(T219*N($G$25),U219*N($G$26),V219*N($G$27)),0),ROUNDUP(MAX(I219*N($G$10),J219*N($G$11),K219*N($G$12),L219*N($G$13),M219*N($G$14))+MAX(O219*N($G$18),P219*N($G$19),Q219*N($G$20),R219*N($G$21))+MAX(T219*N($G$25),U219*N($G$26),V219*N($G$27)),0)))</f>
        <v/>
      </c>
      <c r="Z219" s="21">
        <f>IF(G219="","",IF(B219="G마켓",ROUNDDOWN(G219-G219*$Q$6-Y219,0),ROUNDUP(G219-G219*$Q$6-Y219,0)))</f>
        <v/>
      </c>
    </row>
    <row r="220">
      <c r="B220" s="7" t="n"/>
      <c r="C220" s="7" t="n"/>
      <c r="D220" s="22" t="n"/>
      <c r="E220" s="23" t="n"/>
      <c r="F220" s="23" t="n"/>
      <c r="G220" s="19">
        <f>IF(E220="","",E220-N(F220))</f>
        <v/>
      </c>
      <c r="I220" s="20">
        <f>IF(G220="","",IF(OR($D$10="",$H$10="X",G220&lt;N($C$10)),0,IF(B220="G마켓",ROUNDDOWN(MIN(IF($D$10&gt;=1,MIN($D$10,G220),G220*$D$10),IF($E$10="",9E+99,$E$10)),0),ROUNDUP(MIN(IF($D$10&gt;=1,MIN($D$10,G220),G220*$D$10),IF($E$10="",9E+99,$E$10)),0))))</f>
        <v/>
      </c>
      <c r="J220" s="20">
        <f>IF(G220="","",IF(OR($D$11="",$H$11="X",G220&lt;N($C$11)),0,IF(B220="G마켓",ROUNDDOWN(MIN(IF($D$11&gt;=1,MIN($D$11,G220),G220*$D$11),IF($E$11="",9E+99,$E$11)),0),ROUNDUP(MIN(IF($D$11&gt;=1,MIN($D$11,G220),G220*$D$11),IF($E$11="",9E+99,$E$11)),0))))</f>
        <v/>
      </c>
      <c r="K220" s="20">
        <f>IF(G220="","",IF(OR($D$12="",$H$12="X",G220&lt;N($C$12)),0,IF(B220="G마켓",ROUNDDOWN(MIN(IF($D$12&gt;=1,MIN($D$12,G220),G220*$D$12),IF($E$12="",9E+99,$E$12)),0),ROUNDUP(MIN(IF($D$12&gt;=1,MIN($D$12,G220),G220*$D$12),IF($E$12="",9E+99,$E$12)),0))))</f>
        <v/>
      </c>
      <c r="L220" s="20">
        <f>IF(G220="","",IF(OR($D$13="",$H$13="X",G220&lt;N($C$13)),0,IF(B220="G마켓",ROUNDDOWN(MIN(IF($D$13&gt;=1,MIN($D$13,G220),G220*$D$13),IF($E$13="",9E+99,$E$13)),0),ROUNDUP(MIN(IF($D$13&gt;=1,MIN($D$13,G220),G220*$D$13),IF($E$13="",9E+99,$E$13)),0))))</f>
        <v/>
      </c>
      <c r="M220" s="20">
        <f>IF(G220="","",IF(OR($D$14="",$H$14="X",G220&lt;N($C$14)),0,IF(B220="G마켓",ROUNDDOWN(MIN(IF($D$14&gt;=1,MIN($D$14,G220),G220*$D$14),IF($E$14="",9E+99,$E$14)),0),ROUNDUP(MIN(IF($D$14&gt;=1,MIN($D$14,G220),G220*$D$14),IF($E$14="",9E+99,$E$14)),0))))</f>
        <v/>
      </c>
      <c r="N220" s="19">
        <f>IF(G220="","",G220-MAX(I220:M220))</f>
        <v/>
      </c>
      <c r="O220" s="20">
        <f>IF(N220="","",IF(OR($D$18="",$H$18="X",N220&lt;N($C$18)),0,IF(B220="G마켓",ROUNDDOWN(MIN(IF($D$18&gt;=1,MIN($D$18,N220),N220*$D$18),IF($E$18="",9E+99,$E$18)),0),ROUNDUP(MIN(IF($D$18&gt;=1,MIN($D$18,N220),N220*$D$18),IF($E$18="",9E+99,$E$18)),0))))</f>
        <v/>
      </c>
      <c r="P220" s="20">
        <f>IF(N220="","",IF(OR($D$19="",$H$19="X",N220&lt;N($C$19)),0,IF(B220="G마켓",ROUNDDOWN(MIN(IF($D$19&gt;=1,MIN($D$19,N220),N220*$D$19),IF($E$19="",9E+99,$E$19)),0),ROUNDUP(MIN(IF($D$19&gt;=1,MIN($D$19,N220),N220*$D$19),IF($E$19="",9E+99,$E$19)),0))))</f>
        <v/>
      </c>
      <c r="Q220" s="20">
        <f>IF(N220="","",IF(OR($D$20="",$H$20="X",N220&lt;N($C$20)),0,IF(B220="G마켓",ROUNDDOWN(MIN(IF($D$20&gt;=1,MIN($D$20,N220),N220*$D$20),IF($E$20="",9E+99,$E$20)),0),ROUNDUP(MIN(IF($D$20&gt;=1,MIN($D$20,N220),N220*$D$20),IF($E$20="",9E+99,$E$20)),0))))</f>
        <v/>
      </c>
      <c r="R220" s="20">
        <f>IF(N220="","",IF(OR($D$21="",$H$21="X",N220&lt;N($C$21)),0,IF(B220="G마켓",ROUNDDOWN(MIN(IF($D$21&gt;=1,MIN($D$21,N220),N220*$D$21),IF($E$21="",9E+99,$E$21)),0),ROUNDUP(MIN(IF($D$21&gt;=1,MIN($D$21,N220),N220*$D$21),IF($E$21="",9E+99,$E$21)),0))))</f>
        <v/>
      </c>
      <c r="S220" s="19">
        <f>IF(G220="","",N220-MAX(O220:R220))</f>
        <v/>
      </c>
      <c r="T220" s="20">
        <f>IF(S220="","",IF(OR($D$25="",S220&lt;N($C$25)),0,IF(B220="G마켓",ROUNDDOWN(MIN(IF($D$25&gt;=1,MIN($D$25,S220),S220*$D$25),IF($E$25="",9E+99,$E$25)),0),ROUNDUP(MIN(IF($D$25&gt;=1,MIN($D$25,S220),S220*$D$25),IF($E$25="",9E+99,$E$25)),0))))</f>
        <v/>
      </c>
      <c r="U220" s="20">
        <f>IF(S220="","",IF(OR($D$26="",S220&lt;N($C$26)),0,IF(B220="G마켓",ROUNDDOWN(MIN(IF($D$26&gt;=1,MIN($D$26,S220),S220*$D$26),IF($E$26="",9E+99,$E$26)),0),ROUNDUP(MIN(IF($D$26&gt;=1,MIN($D$26,S220),S220*$D$26),IF($E$26="",9E+99,$E$26)),0))))</f>
        <v/>
      </c>
      <c r="V220" s="20">
        <f>IF(S220="","",IF(OR($D$27="",S220&lt;N($C$27)),0,IF(B220="G마켓",ROUNDDOWN(MIN(IF($D$27&gt;=1,MIN($D$27,S220),S220*$D$27),IF($E$27="",9E+99,$E$27)),0),ROUNDUP(MIN(IF($D$27&gt;=1,MIN($D$27,S220),S220*$D$27),IF($E$27="",9E+99,$E$27)),0))))</f>
        <v/>
      </c>
      <c r="W220" s="19">
        <f>IF(G220="","",MAX(T220:V220))</f>
        <v/>
      </c>
      <c r="X220" s="21">
        <f>IF(G220="","",S220-W220)</f>
        <v/>
      </c>
      <c r="Y220" s="19">
        <f>IF(G220="","",IF(B220="G마켓",ROUNDDOWN(MAX(I220*N($G$10),J220*N($G$11),K220*N($G$12),L220*N($G$13),M220*N($G$14))+MAX(O220*N($G$18),P220*N($G$19),Q220*N($G$20),R220*N($G$21))+MAX(T220*N($G$25),U220*N($G$26),V220*N($G$27)),0),ROUNDUP(MAX(I220*N($G$10),J220*N($G$11),K220*N($G$12),L220*N($G$13),M220*N($G$14))+MAX(O220*N($G$18),P220*N($G$19),Q220*N($G$20),R220*N($G$21))+MAX(T220*N($G$25),U220*N($G$26),V220*N($G$27)),0)))</f>
        <v/>
      </c>
      <c r="Z220" s="21">
        <f>IF(G220="","",IF(B220="G마켓",ROUNDDOWN(G220-G220*$Q$6-Y220,0),ROUNDUP(G220-G220*$Q$6-Y220,0)))</f>
        <v/>
      </c>
    </row>
    <row r="221">
      <c r="B221" s="7" t="n"/>
      <c r="C221" s="7" t="n"/>
      <c r="D221" s="22" t="n"/>
      <c r="E221" s="23" t="n"/>
      <c r="F221" s="23" t="n"/>
      <c r="G221" s="19">
        <f>IF(E221="","",E221-N(F221))</f>
        <v/>
      </c>
      <c r="I221" s="20">
        <f>IF(G221="","",IF(OR($D$10="",$H$10="X",G221&lt;N($C$10)),0,IF(B221="G마켓",ROUNDDOWN(MIN(IF($D$10&gt;=1,MIN($D$10,G221),G221*$D$10),IF($E$10="",9E+99,$E$10)),0),ROUNDUP(MIN(IF($D$10&gt;=1,MIN($D$10,G221),G221*$D$10),IF($E$10="",9E+99,$E$10)),0))))</f>
        <v/>
      </c>
      <c r="J221" s="20">
        <f>IF(G221="","",IF(OR($D$11="",$H$11="X",G221&lt;N($C$11)),0,IF(B221="G마켓",ROUNDDOWN(MIN(IF($D$11&gt;=1,MIN($D$11,G221),G221*$D$11),IF($E$11="",9E+99,$E$11)),0),ROUNDUP(MIN(IF($D$11&gt;=1,MIN($D$11,G221),G221*$D$11),IF($E$11="",9E+99,$E$11)),0))))</f>
        <v/>
      </c>
      <c r="K221" s="20">
        <f>IF(G221="","",IF(OR($D$12="",$H$12="X",G221&lt;N($C$12)),0,IF(B221="G마켓",ROUNDDOWN(MIN(IF($D$12&gt;=1,MIN($D$12,G221),G221*$D$12),IF($E$12="",9E+99,$E$12)),0),ROUNDUP(MIN(IF($D$12&gt;=1,MIN($D$12,G221),G221*$D$12),IF($E$12="",9E+99,$E$12)),0))))</f>
        <v/>
      </c>
      <c r="L221" s="20">
        <f>IF(G221="","",IF(OR($D$13="",$H$13="X",G221&lt;N($C$13)),0,IF(B221="G마켓",ROUNDDOWN(MIN(IF($D$13&gt;=1,MIN($D$13,G221),G221*$D$13),IF($E$13="",9E+99,$E$13)),0),ROUNDUP(MIN(IF($D$13&gt;=1,MIN($D$13,G221),G221*$D$13),IF($E$13="",9E+99,$E$13)),0))))</f>
        <v/>
      </c>
      <c r="M221" s="20">
        <f>IF(G221="","",IF(OR($D$14="",$H$14="X",G221&lt;N($C$14)),0,IF(B221="G마켓",ROUNDDOWN(MIN(IF($D$14&gt;=1,MIN($D$14,G221),G221*$D$14),IF($E$14="",9E+99,$E$14)),0),ROUNDUP(MIN(IF($D$14&gt;=1,MIN($D$14,G221),G221*$D$14),IF($E$14="",9E+99,$E$14)),0))))</f>
        <v/>
      </c>
      <c r="N221" s="19">
        <f>IF(G221="","",G221-MAX(I221:M221))</f>
        <v/>
      </c>
      <c r="O221" s="20">
        <f>IF(N221="","",IF(OR($D$18="",$H$18="X",N221&lt;N($C$18)),0,IF(B221="G마켓",ROUNDDOWN(MIN(IF($D$18&gt;=1,MIN($D$18,N221),N221*$D$18),IF($E$18="",9E+99,$E$18)),0),ROUNDUP(MIN(IF($D$18&gt;=1,MIN($D$18,N221),N221*$D$18),IF($E$18="",9E+99,$E$18)),0))))</f>
        <v/>
      </c>
      <c r="P221" s="20">
        <f>IF(N221="","",IF(OR($D$19="",$H$19="X",N221&lt;N($C$19)),0,IF(B221="G마켓",ROUNDDOWN(MIN(IF($D$19&gt;=1,MIN($D$19,N221),N221*$D$19),IF($E$19="",9E+99,$E$19)),0),ROUNDUP(MIN(IF($D$19&gt;=1,MIN($D$19,N221),N221*$D$19),IF($E$19="",9E+99,$E$19)),0))))</f>
        <v/>
      </c>
      <c r="Q221" s="20">
        <f>IF(N221="","",IF(OR($D$20="",$H$20="X",N221&lt;N($C$20)),0,IF(B221="G마켓",ROUNDDOWN(MIN(IF($D$20&gt;=1,MIN($D$20,N221),N221*$D$20),IF($E$20="",9E+99,$E$20)),0),ROUNDUP(MIN(IF($D$20&gt;=1,MIN($D$20,N221),N221*$D$20),IF($E$20="",9E+99,$E$20)),0))))</f>
        <v/>
      </c>
      <c r="R221" s="20">
        <f>IF(N221="","",IF(OR($D$21="",$H$21="X",N221&lt;N($C$21)),0,IF(B221="G마켓",ROUNDDOWN(MIN(IF($D$21&gt;=1,MIN($D$21,N221),N221*$D$21),IF($E$21="",9E+99,$E$21)),0),ROUNDUP(MIN(IF($D$21&gt;=1,MIN($D$21,N221),N221*$D$21),IF($E$21="",9E+99,$E$21)),0))))</f>
        <v/>
      </c>
      <c r="S221" s="19">
        <f>IF(G221="","",N221-MAX(O221:R221))</f>
        <v/>
      </c>
      <c r="T221" s="20">
        <f>IF(S221="","",IF(OR($D$25="",S221&lt;N($C$25)),0,IF(B221="G마켓",ROUNDDOWN(MIN(IF($D$25&gt;=1,MIN($D$25,S221),S221*$D$25),IF($E$25="",9E+99,$E$25)),0),ROUNDUP(MIN(IF($D$25&gt;=1,MIN($D$25,S221),S221*$D$25),IF($E$25="",9E+99,$E$25)),0))))</f>
        <v/>
      </c>
      <c r="U221" s="20">
        <f>IF(S221="","",IF(OR($D$26="",S221&lt;N($C$26)),0,IF(B221="G마켓",ROUNDDOWN(MIN(IF($D$26&gt;=1,MIN($D$26,S221),S221*$D$26),IF($E$26="",9E+99,$E$26)),0),ROUNDUP(MIN(IF($D$26&gt;=1,MIN($D$26,S221),S221*$D$26),IF($E$26="",9E+99,$E$26)),0))))</f>
        <v/>
      </c>
      <c r="V221" s="20">
        <f>IF(S221="","",IF(OR($D$27="",S221&lt;N($C$27)),0,IF(B221="G마켓",ROUNDDOWN(MIN(IF($D$27&gt;=1,MIN($D$27,S221),S221*$D$27),IF($E$27="",9E+99,$E$27)),0),ROUNDUP(MIN(IF($D$27&gt;=1,MIN($D$27,S221),S221*$D$27),IF($E$27="",9E+99,$E$27)),0))))</f>
        <v/>
      </c>
      <c r="W221" s="19">
        <f>IF(G221="","",MAX(T221:V221))</f>
        <v/>
      </c>
      <c r="X221" s="21">
        <f>IF(G221="","",S221-W221)</f>
        <v/>
      </c>
      <c r="Y221" s="19">
        <f>IF(G221="","",IF(B221="G마켓",ROUNDDOWN(MAX(I221*N($G$10),J221*N($G$11),K221*N($G$12),L221*N($G$13),M221*N($G$14))+MAX(O221*N($G$18),P221*N($G$19),Q221*N($G$20),R221*N($G$21))+MAX(T221*N($G$25),U221*N($G$26),V221*N($G$27)),0),ROUNDUP(MAX(I221*N($G$10),J221*N($G$11),K221*N($G$12),L221*N($G$13),M221*N($G$14))+MAX(O221*N($G$18),P221*N($G$19),Q221*N($G$20),R221*N($G$21))+MAX(T221*N($G$25),U221*N($G$26),V221*N($G$27)),0)))</f>
        <v/>
      </c>
      <c r="Z221" s="21">
        <f>IF(G221="","",IF(B221="G마켓",ROUNDDOWN(G221-G221*$Q$6-Y221,0),ROUNDUP(G221-G221*$Q$6-Y221,0)))</f>
        <v/>
      </c>
    </row>
    <row r="222">
      <c r="B222" s="7" t="n"/>
      <c r="C222" s="7" t="n"/>
      <c r="D222" s="22" t="n"/>
      <c r="E222" s="23" t="n"/>
      <c r="F222" s="23" t="n"/>
      <c r="G222" s="19">
        <f>IF(E222="","",E222-N(F222))</f>
        <v/>
      </c>
      <c r="I222" s="20">
        <f>IF(G222="","",IF(OR($D$10="",$H$10="X",G222&lt;N($C$10)),0,IF(B222="G마켓",ROUNDDOWN(MIN(IF($D$10&gt;=1,MIN($D$10,G222),G222*$D$10),IF($E$10="",9E+99,$E$10)),0),ROUNDUP(MIN(IF($D$10&gt;=1,MIN($D$10,G222),G222*$D$10),IF($E$10="",9E+99,$E$10)),0))))</f>
        <v/>
      </c>
      <c r="J222" s="20">
        <f>IF(G222="","",IF(OR($D$11="",$H$11="X",G222&lt;N($C$11)),0,IF(B222="G마켓",ROUNDDOWN(MIN(IF($D$11&gt;=1,MIN($D$11,G222),G222*$D$11),IF($E$11="",9E+99,$E$11)),0),ROUNDUP(MIN(IF($D$11&gt;=1,MIN($D$11,G222),G222*$D$11),IF($E$11="",9E+99,$E$11)),0))))</f>
        <v/>
      </c>
      <c r="K222" s="20">
        <f>IF(G222="","",IF(OR($D$12="",$H$12="X",G222&lt;N($C$12)),0,IF(B222="G마켓",ROUNDDOWN(MIN(IF($D$12&gt;=1,MIN($D$12,G222),G222*$D$12),IF($E$12="",9E+99,$E$12)),0),ROUNDUP(MIN(IF($D$12&gt;=1,MIN($D$12,G222),G222*$D$12),IF($E$12="",9E+99,$E$12)),0))))</f>
        <v/>
      </c>
      <c r="L222" s="20">
        <f>IF(G222="","",IF(OR($D$13="",$H$13="X",G222&lt;N($C$13)),0,IF(B222="G마켓",ROUNDDOWN(MIN(IF($D$13&gt;=1,MIN($D$13,G222),G222*$D$13),IF($E$13="",9E+99,$E$13)),0),ROUNDUP(MIN(IF($D$13&gt;=1,MIN($D$13,G222),G222*$D$13),IF($E$13="",9E+99,$E$13)),0))))</f>
        <v/>
      </c>
      <c r="M222" s="20">
        <f>IF(G222="","",IF(OR($D$14="",$H$14="X",G222&lt;N($C$14)),0,IF(B222="G마켓",ROUNDDOWN(MIN(IF($D$14&gt;=1,MIN($D$14,G222),G222*$D$14),IF($E$14="",9E+99,$E$14)),0),ROUNDUP(MIN(IF($D$14&gt;=1,MIN($D$14,G222),G222*$D$14),IF($E$14="",9E+99,$E$14)),0))))</f>
        <v/>
      </c>
      <c r="N222" s="19">
        <f>IF(G222="","",G222-MAX(I222:M222))</f>
        <v/>
      </c>
      <c r="O222" s="20">
        <f>IF(N222="","",IF(OR($D$18="",$H$18="X",N222&lt;N($C$18)),0,IF(B222="G마켓",ROUNDDOWN(MIN(IF($D$18&gt;=1,MIN($D$18,N222),N222*$D$18),IF($E$18="",9E+99,$E$18)),0),ROUNDUP(MIN(IF($D$18&gt;=1,MIN($D$18,N222),N222*$D$18),IF($E$18="",9E+99,$E$18)),0))))</f>
        <v/>
      </c>
      <c r="P222" s="20">
        <f>IF(N222="","",IF(OR($D$19="",$H$19="X",N222&lt;N($C$19)),0,IF(B222="G마켓",ROUNDDOWN(MIN(IF($D$19&gt;=1,MIN($D$19,N222),N222*$D$19),IF($E$19="",9E+99,$E$19)),0),ROUNDUP(MIN(IF($D$19&gt;=1,MIN($D$19,N222),N222*$D$19),IF($E$19="",9E+99,$E$19)),0))))</f>
        <v/>
      </c>
      <c r="Q222" s="20">
        <f>IF(N222="","",IF(OR($D$20="",$H$20="X",N222&lt;N($C$20)),0,IF(B222="G마켓",ROUNDDOWN(MIN(IF($D$20&gt;=1,MIN($D$20,N222),N222*$D$20),IF($E$20="",9E+99,$E$20)),0),ROUNDUP(MIN(IF($D$20&gt;=1,MIN($D$20,N222),N222*$D$20),IF($E$20="",9E+99,$E$20)),0))))</f>
        <v/>
      </c>
      <c r="R222" s="20">
        <f>IF(N222="","",IF(OR($D$21="",$H$21="X",N222&lt;N($C$21)),0,IF(B222="G마켓",ROUNDDOWN(MIN(IF($D$21&gt;=1,MIN($D$21,N222),N222*$D$21),IF($E$21="",9E+99,$E$21)),0),ROUNDUP(MIN(IF($D$21&gt;=1,MIN($D$21,N222),N222*$D$21),IF($E$21="",9E+99,$E$21)),0))))</f>
        <v/>
      </c>
      <c r="S222" s="19">
        <f>IF(G222="","",N222-MAX(O222:R222))</f>
        <v/>
      </c>
      <c r="T222" s="20">
        <f>IF(S222="","",IF(OR($D$25="",S222&lt;N($C$25)),0,IF(B222="G마켓",ROUNDDOWN(MIN(IF($D$25&gt;=1,MIN($D$25,S222),S222*$D$25),IF($E$25="",9E+99,$E$25)),0),ROUNDUP(MIN(IF($D$25&gt;=1,MIN($D$25,S222),S222*$D$25),IF($E$25="",9E+99,$E$25)),0))))</f>
        <v/>
      </c>
      <c r="U222" s="20">
        <f>IF(S222="","",IF(OR($D$26="",S222&lt;N($C$26)),0,IF(B222="G마켓",ROUNDDOWN(MIN(IF($D$26&gt;=1,MIN($D$26,S222),S222*$D$26),IF($E$26="",9E+99,$E$26)),0),ROUNDUP(MIN(IF($D$26&gt;=1,MIN($D$26,S222),S222*$D$26),IF($E$26="",9E+99,$E$26)),0))))</f>
        <v/>
      </c>
      <c r="V222" s="20">
        <f>IF(S222="","",IF(OR($D$27="",S222&lt;N($C$27)),0,IF(B222="G마켓",ROUNDDOWN(MIN(IF($D$27&gt;=1,MIN($D$27,S222),S222*$D$27),IF($E$27="",9E+99,$E$27)),0),ROUNDUP(MIN(IF($D$27&gt;=1,MIN($D$27,S222),S222*$D$27),IF($E$27="",9E+99,$E$27)),0))))</f>
        <v/>
      </c>
      <c r="W222" s="19">
        <f>IF(G222="","",MAX(T222:V222))</f>
        <v/>
      </c>
      <c r="X222" s="21">
        <f>IF(G222="","",S222-W222)</f>
        <v/>
      </c>
      <c r="Y222" s="19">
        <f>IF(G222="","",IF(B222="G마켓",ROUNDDOWN(MAX(I222*N($G$10),J222*N($G$11),K222*N($G$12),L222*N($G$13),M222*N($G$14))+MAX(O222*N($G$18),P222*N($G$19),Q222*N($G$20),R222*N($G$21))+MAX(T222*N($G$25),U222*N($G$26),V222*N($G$27)),0),ROUNDUP(MAX(I222*N($G$10),J222*N($G$11),K222*N($G$12),L222*N($G$13),M222*N($G$14))+MAX(O222*N($G$18),P222*N($G$19),Q222*N($G$20),R222*N($G$21))+MAX(T222*N($G$25),U222*N($G$26),V222*N($G$27)),0)))</f>
        <v/>
      </c>
      <c r="Z222" s="21">
        <f>IF(G222="","",IF(B222="G마켓",ROUNDDOWN(G222-G222*$Q$6-Y222,0),ROUNDUP(G222-G222*$Q$6-Y222,0)))</f>
        <v/>
      </c>
    </row>
    <row r="223">
      <c r="B223" s="7" t="n"/>
      <c r="C223" s="7" t="n"/>
      <c r="D223" s="22" t="n"/>
      <c r="E223" s="23" t="n"/>
      <c r="F223" s="23" t="n"/>
      <c r="G223" s="19">
        <f>IF(E223="","",E223-N(F223))</f>
        <v/>
      </c>
      <c r="I223" s="20">
        <f>IF(G223="","",IF(OR($D$10="",$H$10="X",G223&lt;N($C$10)),0,IF(B223="G마켓",ROUNDDOWN(MIN(IF($D$10&gt;=1,MIN($D$10,G223),G223*$D$10),IF($E$10="",9E+99,$E$10)),0),ROUNDUP(MIN(IF($D$10&gt;=1,MIN($D$10,G223),G223*$D$10),IF($E$10="",9E+99,$E$10)),0))))</f>
        <v/>
      </c>
      <c r="J223" s="20">
        <f>IF(G223="","",IF(OR($D$11="",$H$11="X",G223&lt;N($C$11)),0,IF(B223="G마켓",ROUNDDOWN(MIN(IF($D$11&gt;=1,MIN($D$11,G223),G223*$D$11),IF($E$11="",9E+99,$E$11)),0),ROUNDUP(MIN(IF($D$11&gt;=1,MIN($D$11,G223),G223*$D$11),IF($E$11="",9E+99,$E$11)),0))))</f>
        <v/>
      </c>
      <c r="K223" s="20">
        <f>IF(G223="","",IF(OR($D$12="",$H$12="X",G223&lt;N($C$12)),0,IF(B223="G마켓",ROUNDDOWN(MIN(IF($D$12&gt;=1,MIN($D$12,G223),G223*$D$12),IF($E$12="",9E+99,$E$12)),0),ROUNDUP(MIN(IF($D$12&gt;=1,MIN($D$12,G223),G223*$D$12),IF($E$12="",9E+99,$E$12)),0))))</f>
        <v/>
      </c>
      <c r="L223" s="20">
        <f>IF(G223="","",IF(OR($D$13="",$H$13="X",G223&lt;N($C$13)),0,IF(B223="G마켓",ROUNDDOWN(MIN(IF($D$13&gt;=1,MIN($D$13,G223),G223*$D$13),IF($E$13="",9E+99,$E$13)),0),ROUNDUP(MIN(IF($D$13&gt;=1,MIN($D$13,G223),G223*$D$13),IF($E$13="",9E+99,$E$13)),0))))</f>
        <v/>
      </c>
      <c r="M223" s="20">
        <f>IF(G223="","",IF(OR($D$14="",$H$14="X",G223&lt;N($C$14)),0,IF(B223="G마켓",ROUNDDOWN(MIN(IF($D$14&gt;=1,MIN($D$14,G223),G223*$D$14),IF($E$14="",9E+99,$E$14)),0),ROUNDUP(MIN(IF($D$14&gt;=1,MIN($D$14,G223),G223*$D$14),IF($E$14="",9E+99,$E$14)),0))))</f>
        <v/>
      </c>
      <c r="N223" s="19">
        <f>IF(G223="","",G223-MAX(I223:M223))</f>
        <v/>
      </c>
      <c r="O223" s="20">
        <f>IF(N223="","",IF(OR($D$18="",$H$18="X",N223&lt;N($C$18)),0,IF(B223="G마켓",ROUNDDOWN(MIN(IF($D$18&gt;=1,MIN($D$18,N223),N223*$D$18),IF($E$18="",9E+99,$E$18)),0),ROUNDUP(MIN(IF($D$18&gt;=1,MIN($D$18,N223),N223*$D$18),IF($E$18="",9E+99,$E$18)),0))))</f>
        <v/>
      </c>
      <c r="P223" s="20">
        <f>IF(N223="","",IF(OR($D$19="",$H$19="X",N223&lt;N($C$19)),0,IF(B223="G마켓",ROUNDDOWN(MIN(IF($D$19&gt;=1,MIN($D$19,N223),N223*$D$19),IF($E$19="",9E+99,$E$19)),0),ROUNDUP(MIN(IF($D$19&gt;=1,MIN($D$19,N223),N223*$D$19),IF($E$19="",9E+99,$E$19)),0))))</f>
        <v/>
      </c>
      <c r="Q223" s="20">
        <f>IF(N223="","",IF(OR($D$20="",$H$20="X",N223&lt;N($C$20)),0,IF(B223="G마켓",ROUNDDOWN(MIN(IF($D$20&gt;=1,MIN($D$20,N223),N223*$D$20),IF($E$20="",9E+99,$E$20)),0),ROUNDUP(MIN(IF($D$20&gt;=1,MIN($D$20,N223),N223*$D$20),IF($E$20="",9E+99,$E$20)),0))))</f>
        <v/>
      </c>
      <c r="R223" s="20">
        <f>IF(N223="","",IF(OR($D$21="",$H$21="X",N223&lt;N($C$21)),0,IF(B223="G마켓",ROUNDDOWN(MIN(IF($D$21&gt;=1,MIN($D$21,N223),N223*$D$21),IF($E$21="",9E+99,$E$21)),0),ROUNDUP(MIN(IF($D$21&gt;=1,MIN($D$21,N223),N223*$D$21),IF($E$21="",9E+99,$E$21)),0))))</f>
        <v/>
      </c>
      <c r="S223" s="19">
        <f>IF(G223="","",N223-MAX(O223:R223))</f>
        <v/>
      </c>
      <c r="T223" s="20">
        <f>IF(S223="","",IF(OR($D$25="",S223&lt;N($C$25)),0,IF(B223="G마켓",ROUNDDOWN(MIN(IF($D$25&gt;=1,MIN($D$25,S223),S223*$D$25),IF($E$25="",9E+99,$E$25)),0),ROUNDUP(MIN(IF($D$25&gt;=1,MIN($D$25,S223),S223*$D$25),IF($E$25="",9E+99,$E$25)),0))))</f>
        <v/>
      </c>
      <c r="U223" s="20">
        <f>IF(S223="","",IF(OR($D$26="",S223&lt;N($C$26)),0,IF(B223="G마켓",ROUNDDOWN(MIN(IF($D$26&gt;=1,MIN($D$26,S223),S223*$D$26),IF($E$26="",9E+99,$E$26)),0),ROUNDUP(MIN(IF($D$26&gt;=1,MIN($D$26,S223),S223*$D$26),IF($E$26="",9E+99,$E$26)),0))))</f>
        <v/>
      </c>
      <c r="V223" s="20">
        <f>IF(S223="","",IF(OR($D$27="",S223&lt;N($C$27)),0,IF(B223="G마켓",ROUNDDOWN(MIN(IF($D$27&gt;=1,MIN($D$27,S223),S223*$D$27),IF($E$27="",9E+99,$E$27)),0),ROUNDUP(MIN(IF($D$27&gt;=1,MIN($D$27,S223),S223*$D$27),IF($E$27="",9E+99,$E$27)),0))))</f>
        <v/>
      </c>
      <c r="W223" s="19">
        <f>IF(G223="","",MAX(T223:V223))</f>
        <v/>
      </c>
      <c r="X223" s="21">
        <f>IF(G223="","",S223-W223)</f>
        <v/>
      </c>
      <c r="Y223" s="19">
        <f>IF(G223="","",IF(B223="G마켓",ROUNDDOWN(MAX(I223*N($G$10),J223*N($G$11),K223*N($G$12),L223*N($G$13),M223*N($G$14))+MAX(O223*N($G$18),P223*N($G$19),Q223*N($G$20),R223*N($G$21))+MAX(T223*N($G$25),U223*N($G$26),V223*N($G$27)),0),ROUNDUP(MAX(I223*N($G$10),J223*N($G$11),K223*N($G$12),L223*N($G$13),M223*N($G$14))+MAX(O223*N($G$18),P223*N($G$19),Q223*N($G$20),R223*N($G$21))+MAX(T223*N($G$25),U223*N($G$26),V223*N($G$27)),0)))</f>
        <v/>
      </c>
      <c r="Z223" s="21">
        <f>IF(G223="","",IF(B223="G마켓",ROUNDDOWN(G223-G223*$Q$6-Y223,0),ROUNDUP(G223-G223*$Q$6-Y223,0)))</f>
        <v/>
      </c>
    </row>
    <row r="224">
      <c r="B224" s="7" t="n"/>
      <c r="C224" s="7" t="n"/>
      <c r="D224" s="22" t="n"/>
      <c r="E224" s="23" t="n"/>
      <c r="F224" s="23" t="n"/>
      <c r="G224" s="19">
        <f>IF(E224="","",E224-N(F224))</f>
        <v/>
      </c>
      <c r="I224" s="20">
        <f>IF(G224="","",IF(OR($D$10="",$H$10="X",G224&lt;N($C$10)),0,IF(B224="G마켓",ROUNDDOWN(MIN(IF($D$10&gt;=1,MIN($D$10,G224),G224*$D$10),IF($E$10="",9E+99,$E$10)),0),ROUNDUP(MIN(IF($D$10&gt;=1,MIN($D$10,G224),G224*$D$10),IF($E$10="",9E+99,$E$10)),0))))</f>
        <v/>
      </c>
      <c r="J224" s="20">
        <f>IF(G224="","",IF(OR($D$11="",$H$11="X",G224&lt;N($C$11)),0,IF(B224="G마켓",ROUNDDOWN(MIN(IF($D$11&gt;=1,MIN($D$11,G224),G224*$D$11),IF($E$11="",9E+99,$E$11)),0),ROUNDUP(MIN(IF($D$11&gt;=1,MIN($D$11,G224),G224*$D$11),IF($E$11="",9E+99,$E$11)),0))))</f>
        <v/>
      </c>
      <c r="K224" s="20">
        <f>IF(G224="","",IF(OR($D$12="",$H$12="X",G224&lt;N($C$12)),0,IF(B224="G마켓",ROUNDDOWN(MIN(IF($D$12&gt;=1,MIN($D$12,G224),G224*$D$12),IF($E$12="",9E+99,$E$12)),0),ROUNDUP(MIN(IF($D$12&gt;=1,MIN($D$12,G224),G224*$D$12),IF($E$12="",9E+99,$E$12)),0))))</f>
        <v/>
      </c>
      <c r="L224" s="20">
        <f>IF(G224="","",IF(OR($D$13="",$H$13="X",G224&lt;N($C$13)),0,IF(B224="G마켓",ROUNDDOWN(MIN(IF($D$13&gt;=1,MIN($D$13,G224),G224*$D$13),IF($E$13="",9E+99,$E$13)),0),ROUNDUP(MIN(IF($D$13&gt;=1,MIN($D$13,G224),G224*$D$13),IF($E$13="",9E+99,$E$13)),0))))</f>
        <v/>
      </c>
      <c r="M224" s="20">
        <f>IF(G224="","",IF(OR($D$14="",$H$14="X",G224&lt;N($C$14)),0,IF(B224="G마켓",ROUNDDOWN(MIN(IF($D$14&gt;=1,MIN($D$14,G224),G224*$D$14),IF($E$14="",9E+99,$E$14)),0),ROUNDUP(MIN(IF($D$14&gt;=1,MIN($D$14,G224),G224*$D$14),IF($E$14="",9E+99,$E$14)),0))))</f>
        <v/>
      </c>
      <c r="N224" s="19">
        <f>IF(G224="","",G224-MAX(I224:M224))</f>
        <v/>
      </c>
      <c r="O224" s="20">
        <f>IF(N224="","",IF(OR($D$18="",$H$18="X",N224&lt;N($C$18)),0,IF(B224="G마켓",ROUNDDOWN(MIN(IF($D$18&gt;=1,MIN($D$18,N224),N224*$D$18),IF($E$18="",9E+99,$E$18)),0),ROUNDUP(MIN(IF($D$18&gt;=1,MIN($D$18,N224),N224*$D$18),IF($E$18="",9E+99,$E$18)),0))))</f>
        <v/>
      </c>
      <c r="P224" s="20">
        <f>IF(N224="","",IF(OR($D$19="",$H$19="X",N224&lt;N($C$19)),0,IF(B224="G마켓",ROUNDDOWN(MIN(IF($D$19&gt;=1,MIN($D$19,N224),N224*$D$19),IF($E$19="",9E+99,$E$19)),0),ROUNDUP(MIN(IF($D$19&gt;=1,MIN($D$19,N224),N224*$D$19),IF($E$19="",9E+99,$E$19)),0))))</f>
        <v/>
      </c>
      <c r="Q224" s="20">
        <f>IF(N224="","",IF(OR($D$20="",$H$20="X",N224&lt;N($C$20)),0,IF(B224="G마켓",ROUNDDOWN(MIN(IF($D$20&gt;=1,MIN($D$20,N224),N224*$D$20),IF($E$20="",9E+99,$E$20)),0),ROUNDUP(MIN(IF($D$20&gt;=1,MIN($D$20,N224),N224*$D$20),IF($E$20="",9E+99,$E$20)),0))))</f>
        <v/>
      </c>
      <c r="R224" s="20">
        <f>IF(N224="","",IF(OR($D$21="",$H$21="X",N224&lt;N($C$21)),0,IF(B224="G마켓",ROUNDDOWN(MIN(IF($D$21&gt;=1,MIN($D$21,N224),N224*$D$21),IF($E$21="",9E+99,$E$21)),0),ROUNDUP(MIN(IF($D$21&gt;=1,MIN($D$21,N224),N224*$D$21),IF($E$21="",9E+99,$E$21)),0))))</f>
        <v/>
      </c>
      <c r="S224" s="19">
        <f>IF(G224="","",N224-MAX(O224:R224))</f>
        <v/>
      </c>
      <c r="T224" s="20">
        <f>IF(S224="","",IF(OR($D$25="",S224&lt;N($C$25)),0,IF(B224="G마켓",ROUNDDOWN(MIN(IF($D$25&gt;=1,MIN($D$25,S224),S224*$D$25),IF($E$25="",9E+99,$E$25)),0),ROUNDUP(MIN(IF($D$25&gt;=1,MIN($D$25,S224),S224*$D$25),IF($E$25="",9E+99,$E$25)),0))))</f>
        <v/>
      </c>
      <c r="U224" s="20">
        <f>IF(S224="","",IF(OR($D$26="",S224&lt;N($C$26)),0,IF(B224="G마켓",ROUNDDOWN(MIN(IF($D$26&gt;=1,MIN($D$26,S224),S224*$D$26),IF($E$26="",9E+99,$E$26)),0),ROUNDUP(MIN(IF($D$26&gt;=1,MIN($D$26,S224),S224*$D$26),IF($E$26="",9E+99,$E$26)),0))))</f>
        <v/>
      </c>
      <c r="V224" s="20">
        <f>IF(S224="","",IF(OR($D$27="",S224&lt;N($C$27)),0,IF(B224="G마켓",ROUNDDOWN(MIN(IF($D$27&gt;=1,MIN($D$27,S224),S224*$D$27),IF($E$27="",9E+99,$E$27)),0),ROUNDUP(MIN(IF($D$27&gt;=1,MIN($D$27,S224),S224*$D$27),IF($E$27="",9E+99,$E$27)),0))))</f>
        <v/>
      </c>
      <c r="W224" s="19">
        <f>IF(G224="","",MAX(T224:V224))</f>
        <v/>
      </c>
      <c r="X224" s="21">
        <f>IF(G224="","",S224-W224)</f>
        <v/>
      </c>
      <c r="Y224" s="19">
        <f>IF(G224="","",IF(B224="G마켓",ROUNDDOWN(MAX(I224*N($G$10),J224*N($G$11),K224*N($G$12),L224*N($G$13),M224*N($G$14))+MAX(O224*N($G$18),P224*N($G$19),Q224*N($G$20),R224*N($G$21))+MAX(T224*N($G$25),U224*N($G$26),V224*N($G$27)),0),ROUNDUP(MAX(I224*N($G$10),J224*N($G$11),K224*N($G$12),L224*N($G$13),M224*N($G$14))+MAX(O224*N($G$18),P224*N($G$19),Q224*N($G$20),R224*N($G$21))+MAX(T224*N($G$25),U224*N($G$26),V224*N($G$27)),0)))</f>
        <v/>
      </c>
      <c r="Z224" s="21">
        <f>IF(G224="","",IF(B224="G마켓",ROUNDDOWN(G224-G224*$Q$6-Y224,0),ROUNDUP(G224-G224*$Q$6-Y224,0)))</f>
        <v/>
      </c>
    </row>
    <row r="225">
      <c r="B225" s="7" t="n"/>
      <c r="C225" s="7" t="n"/>
      <c r="D225" s="22" t="n"/>
      <c r="E225" s="23" t="n"/>
      <c r="F225" s="23" t="n"/>
      <c r="G225" s="19">
        <f>IF(E225="","",E225-N(F225))</f>
        <v/>
      </c>
      <c r="I225" s="20">
        <f>IF(G225="","",IF(OR($D$10="",$H$10="X",G225&lt;N($C$10)),0,IF(B225="G마켓",ROUNDDOWN(MIN(IF($D$10&gt;=1,MIN($D$10,G225),G225*$D$10),IF($E$10="",9E+99,$E$10)),0),ROUNDUP(MIN(IF($D$10&gt;=1,MIN($D$10,G225),G225*$D$10),IF($E$10="",9E+99,$E$10)),0))))</f>
        <v/>
      </c>
      <c r="J225" s="20">
        <f>IF(G225="","",IF(OR($D$11="",$H$11="X",G225&lt;N($C$11)),0,IF(B225="G마켓",ROUNDDOWN(MIN(IF($D$11&gt;=1,MIN($D$11,G225),G225*$D$11),IF($E$11="",9E+99,$E$11)),0),ROUNDUP(MIN(IF($D$11&gt;=1,MIN($D$11,G225),G225*$D$11),IF($E$11="",9E+99,$E$11)),0))))</f>
        <v/>
      </c>
      <c r="K225" s="20">
        <f>IF(G225="","",IF(OR($D$12="",$H$12="X",G225&lt;N($C$12)),0,IF(B225="G마켓",ROUNDDOWN(MIN(IF($D$12&gt;=1,MIN($D$12,G225),G225*$D$12),IF($E$12="",9E+99,$E$12)),0),ROUNDUP(MIN(IF($D$12&gt;=1,MIN($D$12,G225),G225*$D$12),IF($E$12="",9E+99,$E$12)),0))))</f>
        <v/>
      </c>
      <c r="L225" s="20">
        <f>IF(G225="","",IF(OR($D$13="",$H$13="X",G225&lt;N($C$13)),0,IF(B225="G마켓",ROUNDDOWN(MIN(IF($D$13&gt;=1,MIN($D$13,G225),G225*$D$13),IF($E$13="",9E+99,$E$13)),0),ROUNDUP(MIN(IF($D$13&gt;=1,MIN($D$13,G225),G225*$D$13),IF($E$13="",9E+99,$E$13)),0))))</f>
        <v/>
      </c>
      <c r="M225" s="20">
        <f>IF(G225="","",IF(OR($D$14="",$H$14="X",G225&lt;N($C$14)),0,IF(B225="G마켓",ROUNDDOWN(MIN(IF($D$14&gt;=1,MIN($D$14,G225),G225*$D$14),IF($E$14="",9E+99,$E$14)),0),ROUNDUP(MIN(IF($D$14&gt;=1,MIN($D$14,G225),G225*$D$14),IF($E$14="",9E+99,$E$14)),0))))</f>
        <v/>
      </c>
      <c r="N225" s="19">
        <f>IF(G225="","",G225-MAX(I225:M225))</f>
        <v/>
      </c>
      <c r="O225" s="20">
        <f>IF(N225="","",IF(OR($D$18="",$H$18="X",N225&lt;N($C$18)),0,IF(B225="G마켓",ROUNDDOWN(MIN(IF($D$18&gt;=1,MIN($D$18,N225),N225*$D$18),IF($E$18="",9E+99,$E$18)),0),ROUNDUP(MIN(IF($D$18&gt;=1,MIN($D$18,N225),N225*$D$18),IF($E$18="",9E+99,$E$18)),0))))</f>
        <v/>
      </c>
      <c r="P225" s="20">
        <f>IF(N225="","",IF(OR($D$19="",$H$19="X",N225&lt;N($C$19)),0,IF(B225="G마켓",ROUNDDOWN(MIN(IF($D$19&gt;=1,MIN($D$19,N225),N225*$D$19),IF($E$19="",9E+99,$E$19)),0),ROUNDUP(MIN(IF($D$19&gt;=1,MIN($D$19,N225),N225*$D$19),IF($E$19="",9E+99,$E$19)),0))))</f>
        <v/>
      </c>
      <c r="Q225" s="20">
        <f>IF(N225="","",IF(OR($D$20="",$H$20="X",N225&lt;N($C$20)),0,IF(B225="G마켓",ROUNDDOWN(MIN(IF($D$20&gt;=1,MIN($D$20,N225),N225*$D$20),IF($E$20="",9E+99,$E$20)),0),ROUNDUP(MIN(IF($D$20&gt;=1,MIN($D$20,N225),N225*$D$20),IF($E$20="",9E+99,$E$20)),0))))</f>
        <v/>
      </c>
      <c r="R225" s="20">
        <f>IF(N225="","",IF(OR($D$21="",$H$21="X",N225&lt;N($C$21)),0,IF(B225="G마켓",ROUNDDOWN(MIN(IF($D$21&gt;=1,MIN($D$21,N225),N225*$D$21),IF($E$21="",9E+99,$E$21)),0),ROUNDUP(MIN(IF($D$21&gt;=1,MIN($D$21,N225),N225*$D$21),IF($E$21="",9E+99,$E$21)),0))))</f>
        <v/>
      </c>
      <c r="S225" s="19">
        <f>IF(G225="","",N225-MAX(O225:R225))</f>
        <v/>
      </c>
      <c r="T225" s="20">
        <f>IF(S225="","",IF(OR($D$25="",S225&lt;N($C$25)),0,IF(B225="G마켓",ROUNDDOWN(MIN(IF($D$25&gt;=1,MIN($D$25,S225),S225*$D$25),IF($E$25="",9E+99,$E$25)),0),ROUNDUP(MIN(IF($D$25&gt;=1,MIN($D$25,S225),S225*$D$25),IF($E$25="",9E+99,$E$25)),0))))</f>
        <v/>
      </c>
      <c r="U225" s="20">
        <f>IF(S225="","",IF(OR($D$26="",S225&lt;N($C$26)),0,IF(B225="G마켓",ROUNDDOWN(MIN(IF($D$26&gt;=1,MIN($D$26,S225),S225*$D$26),IF($E$26="",9E+99,$E$26)),0),ROUNDUP(MIN(IF($D$26&gt;=1,MIN($D$26,S225),S225*$D$26),IF($E$26="",9E+99,$E$26)),0))))</f>
        <v/>
      </c>
      <c r="V225" s="20">
        <f>IF(S225="","",IF(OR($D$27="",S225&lt;N($C$27)),0,IF(B225="G마켓",ROUNDDOWN(MIN(IF($D$27&gt;=1,MIN($D$27,S225),S225*$D$27),IF($E$27="",9E+99,$E$27)),0),ROUNDUP(MIN(IF($D$27&gt;=1,MIN($D$27,S225),S225*$D$27),IF($E$27="",9E+99,$E$27)),0))))</f>
        <v/>
      </c>
      <c r="W225" s="19">
        <f>IF(G225="","",MAX(T225:V225))</f>
        <v/>
      </c>
      <c r="X225" s="21">
        <f>IF(G225="","",S225-W225)</f>
        <v/>
      </c>
      <c r="Y225" s="19">
        <f>IF(G225="","",IF(B225="G마켓",ROUNDDOWN(MAX(I225*N($G$10),J225*N($G$11),K225*N($G$12),L225*N($G$13),M225*N($G$14))+MAX(O225*N($G$18),P225*N($G$19),Q225*N($G$20),R225*N($G$21))+MAX(T225*N($G$25),U225*N($G$26),V225*N($G$27)),0),ROUNDUP(MAX(I225*N($G$10),J225*N($G$11),K225*N($G$12),L225*N($G$13),M225*N($G$14))+MAX(O225*N($G$18),P225*N($G$19),Q225*N($G$20),R225*N($G$21))+MAX(T225*N($G$25),U225*N($G$26),V225*N($G$27)),0)))</f>
        <v/>
      </c>
      <c r="Z225" s="21">
        <f>IF(G225="","",IF(B225="G마켓",ROUNDDOWN(G225-G225*$Q$6-Y225,0),ROUNDUP(G225-G225*$Q$6-Y225,0)))</f>
        <v/>
      </c>
    </row>
    <row r="226">
      <c r="B226" s="7" t="n"/>
      <c r="C226" s="7" t="n"/>
      <c r="D226" s="22" t="n"/>
      <c r="E226" s="23" t="n"/>
      <c r="F226" s="23" t="n"/>
      <c r="G226" s="19">
        <f>IF(E226="","",E226-N(F226))</f>
        <v/>
      </c>
      <c r="I226" s="20">
        <f>IF(G226="","",IF(OR($D$10="",$H$10="X",G226&lt;N($C$10)),0,IF(B226="G마켓",ROUNDDOWN(MIN(IF($D$10&gt;=1,MIN($D$10,G226),G226*$D$10),IF($E$10="",9E+99,$E$10)),0),ROUNDUP(MIN(IF($D$10&gt;=1,MIN($D$10,G226),G226*$D$10),IF($E$10="",9E+99,$E$10)),0))))</f>
        <v/>
      </c>
      <c r="J226" s="20">
        <f>IF(G226="","",IF(OR($D$11="",$H$11="X",G226&lt;N($C$11)),0,IF(B226="G마켓",ROUNDDOWN(MIN(IF($D$11&gt;=1,MIN($D$11,G226),G226*$D$11),IF($E$11="",9E+99,$E$11)),0),ROUNDUP(MIN(IF($D$11&gt;=1,MIN($D$11,G226),G226*$D$11),IF($E$11="",9E+99,$E$11)),0))))</f>
        <v/>
      </c>
      <c r="K226" s="20">
        <f>IF(G226="","",IF(OR($D$12="",$H$12="X",G226&lt;N($C$12)),0,IF(B226="G마켓",ROUNDDOWN(MIN(IF($D$12&gt;=1,MIN($D$12,G226),G226*$D$12),IF($E$12="",9E+99,$E$12)),0),ROUNDUP(MIN(IF($D$12&gt;=1,MIN($D$12,G226),G226*$D$12),IF($E$12="",9E+99,$E$12)),0))))</f>
        <v/>
      </c>
      <c r="L226" s="20">
        <f>IF(G226="","",IF(OR($D$13="",$H$13="X",G226&lt;N($C$13)),0,IF(B226="G마켓",ROUNDDOWN(MIN(IF($D$13&gt;=1,MIN($D$13,G226),G226*$D$13),IF($E$13="",9E+99,$E$13)),0),ROUNDUP(MIN(IF($D$13&gt;=1,MIN($D$13,G226),G226*$D$13),IF($E$13="",9E+99,$E$13)),0))))</f>
        <v/>
      </c>
      <c r="M226" s="20">
        <f>IF(G226="","",IF(OR($D$14="",$H$14="X",G226&lt;N($C$14)),0,IF(B226="G마켓",ROUNDDOWN(MIN(IF($D$14&gt;=1,MIN($D$14,G226),G226*$D$14),IF($E$14="",9E+99,$E$14)),0),ROUNDUP(MIN(IF($D$14&gt;=1,MIN($D$14,G226),G226*$D$14),IF($E$14="",9E+99,$E$14)),0))))</f>
        <v/>
      </c>
      <c r="N226" s="19">
        <f>IF(G226="","",G226-MAX(I226:M226))</f>
        <v/>
      </c>
      <c r="O226" s="20">
        <f>IF(N226="","",IF(OR($D$18="",$H$18="X",N226&lt;N($C$18)),0,IF(B226="G마켓",ROUNDDOWN(MIN(IF($D$18&gt;=1,MIN($D$18,N226),N226*$D$18),IF($E$18="",9E+99,$E$18)),0),ROUNDUP(MIN(IF($D$18&gt;=1,MIN($D$18,N226),N226*$D$18),IF($E$18="",9E+99,$E$18)),0))))</f>
        <v/>
      </c>
      <c r="P226" s="20">
        <f>IF(N226="","",IF(OR($D$19="",$H$19="X",N226&lt;N($C$19)),0,IF(B226="G마켓",ROUNDDOWN(MIN(IF($D$19&gt;=1,MIN($D$19,N226),N226*$D$19),IF($E$19="",9E+99,$E$19)),0),ROUNDUP(MIN(IF($D$19&gt;=1,MIN($D$19,N226),N226*$D$19),IF($E$19="",9E+99,$E$19)),0))))</f>
        <v/>
      </c>
      <c r="Q226" s="20">
        <f>IF(N226="","",IF(OR($D$20="",$H$20="X",N226&lt;N($C$20)),0,IF(B226="G마켓",ROUNDDOWN(MIN(IF($D$20&gt;=1,MIN($D$20,N226),N226*$D$20),IF($E$20="",9E+99,$E$20)),0),ROUNDUP(MIN(IF($D$20&gt;=1,MIN($D$20,N226),N226*$D$20),IF($E$20="",9E+99,$E$20)),0))))</f>
        <v/>
      </c>
      <c r="R226" s="20">
        <f>IF(N226="","",IF(OR($D$21="",$H$21="X",N226&lt;N($C$21)),0,IF(B226="G마켓",ROUNDDOWN(MIN(IF($D$21&gt;=1,MIN($D$21,N226),N226*$D$21),IF($E$21="",9E+99,$E$21)),0),ROUNDUP(MIN(IF($D$21&gt;=1,MIN($D$21,N226),N226*$D$21),IF($E$21="",9E+99,$E$21)),0))))</f>
        <v/>
      </c>
      <c r="S226" s="19">
        <f>IF(G226="","",N226-MAX(O226:R226))</f>
        <v/>
      </c>
      <c r="T226" s="20">
        <f>IF(S226="","",IF(OR($D$25="",S226&lt;N($C$25)),0,IF(B226="G마켓",ROUNDDOWN(MIN(IF($D$25&gt;=1,MIN($D$25,S226),S226*$D$25),IF($E$25="",9E+99,$E$25)),0),ROUNDUP(MIN(IF($D$25&gt;=1,MIN($D$25,S226),S226*$D$25),IF($E$25="",9E+99,$E$25)),0))))</f>
        <v/>
      </c>
      <c r="U226" s="20">
        <f>IF(S226="","",IF(OR($D$26="",S226&lt;N($C$26)),0,IF(B226="G마켓",ROUNDDOWN(MIN(IF($D$26&gt;=1,MIN($D$26,S226),S226*$D$26),IF($E$26="",9E+99,$E$26)),0),ROUNDUP(MIN(IF($D$26&gt;=1,MIN($D$26,S226),S226*$D$26),IF($E$26="",9E+99,$E$26)),0))))</f>
        <v/>
      </c>
      <c r="V226" s="20">
        <f>IF(S226="","",IF(OR($D$27="",S226&lt;N($C$27)),0,IF(B226="G마켓",ROUNDDOWN(MIN(IF($D$27&gt;=1,MIN($D$27,S226),S226*$D$27),IF($E$27="",9E+99,$E$27)),0),ROUNDUP(MIN(IF($D$27&gt;=1,MIN($D$27,S226),S226*$D$27),IF($E$27="",9E+99,$E$27)),0))))</f>
        <v/>
      </c>
      <c r="W226" s="19">
        <f>IF(G226="","",MAX(T226:V226))</f>
        <v/>
      </c>
      <c r="X226" s="21">
        <f>IF(G226="","",S226-W226)</f>
        <v/>
      </c>
      <c r="Y226" s="19">
        <f>IF(G226="","",IF(B226="G마켓",ROUNDDOWN(MAX(I226*N($G$10),J226*N($G$11),K226*N($G$12),L226*N($G$13),M226*N($G$14))+MAX(O226*N($G$18),P226*N($G$19),Q226*N($G$20),R226*N($G$21))+MAX(T226*N($G$25),U226*N($G$26),V226*N($G$27)),0),ROUNDUP(MAX(I226*N($G$10),J226*N($G$11),K226*N($G$12),L226*N($G$13),M226*N($G$14))+MAX(O226*N($G$18),P226*N($G$19),Q226*N($G$20),R226*N($G$21))+MAX(T226*N($G$25),U226*N($G$26),V226*N($G$27)),0)))</f>
        <v/>
      </c>
      <c r="Z226" s="21">
        <f>IF(G226="","",IF(B226="G마켓",ROUNDDOWN(G226-G226*$Q$6-Y226,0),ROUNDUP(G226-G226*$Q$6-Y226,0)))</f>
        <v/>
      </c>
    </row>
    <row r="227">
      <c r="B227" s="7" t="n"/>
      <c r="C227" s="7" t="n"/>
      <c r="D227" s="22" t="n"/>
      <c r="E227" s="23" t="n"/>
      <c r="F227" s="23" t="n"/>
      <c r="G227" s="19">
        <f>IF(E227="","",E227-N(F227))</f>
        <v/>
      </c>
      <c r="I227" s="20">
        <f>IF(G227="","",IF(OR($D$10="",$H$10="X",G227&lt;N($C$10)),0,IF(B227="G마켓",ROUNDDOWN(MIN(IF($D$10&gt;=1,MIN($D$10,G227),G227*$D$10),IF($E$10="",9E+99,$E$10)),0),ROUNDUP(MIN(IF($D$10&gt;=1,MIN($D$10,G227),G227*$D$10),IF($E$10="",9E+99,$E$10)),0))))</f>
        <v/>
      </c>
      <c r="J227" s="20">
        <f>IF(G227="","",IF(OR($D$11="",$H$11="X",G227&lt;N($C$11)),0,IF(B227="G마켓",ROUNDDOWN(MIN(IF($D$11&gt;=1,MIN($D$11,G227),G227*$D$11),IF($E$11="",9E+99,$E$11)),0),ROUNDUP(MIN(IF($D$11&gt;=1,MIN($D$11,G227),G227*$D$11),IF($E$11="",9E+99,$E$11)),0))))</f>
        <v/>
      </c>
      <c r="K227" s="20">
        <f>IF(G227="","",IF(OR($D$12="",$H$12="X",G227&lt;N($C$12)),0,IF(B227="G마켓",ROUNDDOWN(MIN(IF($D$12&gt;=1,MIN($D$12,G227),G227*$D$12),IF($E$12="",9E+99,$E$12)),0),ROUNDUP(MIN(IF($D$12&gt;=1,MIN($D$12,G227),G227*$D$12),IF($E$12="",9E+99,$E$12)),0))))</f>
        <v/>
      </c>
      <c r="L227" s="20">
        <f>IF(G227="","",IF(OR($D$13="",$H$13="X",G227&lt;N($C$13)),0,IF(B227="G마켓",ROUNDDOWN(MIN(IF($D$13&gt;=1,MIN($D$13,G227),G227*$D$13),IF($E$13="",9E+99,$E$13)),0),ROUNDUP(MIN(IF($D$13&gt;=1,MIN($D$13,G227),G227*$D$13),IF($E$13="",9E+99,$E$13)),0))))</f>
        <v/>
      </c>
      <c r="M227" s="20">
        <f>IF(G227="","",IF(OR($D$14="",$H$14="X",G227&lt;N($C$14)),0,IF(B227="G마켓",ROUNDDOWN(MIN(IF($D$14&gt;=1,MIN($D$14,G227),G227*$D$14),IF($E$14="",9E+99,$E$14)),0),ROUNDUP(MIN(IF($D$14&gt;=1,MIN($D$14,G227),G227*$D$14),IF($E$14="",9E+99,$E$14)),0))))</f>
        <v/>
      </c>
      <c r="N227" s="19">
        <f>IF(G227="","",G227-MAX(I227:M227))</f>
        <v/>
      </c>
      <c r="O227" s="20">
        <f>IF(N227="","",IF(OR($D$18="",$H$18="X",N227&lt;N($C$18)),0,IF(B227="G마켓",ROUNDDOWN(MIN(IF($D$18&gt;=1,MIN($D$18,N227),N227*$D$18),IF($E$18="",9E+99,$E$18)),0),ROUNDUP(MIN(IF($D$18&gt;=1,MIN($D$18,N227),N227*$D$18),IF($E$18="",9E+99,$E$18)),0))))</f>
        <v/>
      </c>
      <c r="P227" s="20">
        <f>IF(N227="","",IF(OR($D$19="",$H$19="X",N227&lt;N($C$19)),0,IF(B227="G마켓",ROUNDDOWN(MIN(IF($D$19&gt;=1,MIN($D$19,N227),N227*$D$19),IF($E$19="",9E+99,$E$19)),0),ROUNDUP(MIN(IF($D$19&gt;=1,MIN($D$19,N227),N227*$D$19),IF($E$19="",9E+99,$E$19)),0))))</f>
        <v/>
      </c>
      <c r="Q227" s="20">
        <f>IF(N227="","",IF(OR($D$20="",$H$20="X",N227&lt;N($C$20)),0,IF(B227="G마켓",ROUNDDOWN(MIN(IF($D$20&gt;=1,MIN($D$20,N227),N227*$D$20),IF($E$20="",9E+99,$E$20)),0),ROUNDUP(MIN(IF($D$20&gt;=1,MIN($D$20,N227),N227*$D$20),IF($E$20="",9E+99,$E$20)),0))))</f>
        <v/>
      </c>
      <c r="R227" s="20">
        <f>IF(N227="","",IF(OR($D$21="",$H$21="X",N227&lt;N($C$21)),0,IF(B227="G마켓",ROUNDDOWN(MIN(IF($D$21&gt;=1,MIN($D$21,N227),N227*$D$21),IF($E$21="",9E+99,$E$21)),0),ROUNDUP(MIN(IF($D$21&gt;=1,MIN($D$21,N227),N227*$D$21),IF($E$21="",9E+99,$E$21)),0))))</f>
        <v/>
      </c>
      <c r="S227" s="19">
        <f>IF(G227="","",N227-MAX(O227:R227))</f>
        <v/>
      </c>
      <c r="T227" s="20">
        <f>IF(S227="","",IF(OR($D$25="",S227&lt;N($C$25)),0,IF(B227="G마켓",ROUNDDOWN(MIN(IF($D$25&gt;=1,MIN($D$25,S227),S227*$D$25),IF($E$25="",9E+99,$E$25)),0),ROUNDUP(MIN(IF($D$25&gt;=1,MIN($D$25,S227),S227*$D$25),IF($E$25="",9E+99,$E$25)),0))))</f>
        <v/>
      </c>
      <c r="U227" s="20">
        <f>IF(S227="","",IF(OR($D$26="",S227&lt;N($C$26)),0,IF(B227="G마켓",ROUNDDOWN(MIN(IF($D$26&gt;=1,MIN($D$26,S227),S227*$D$26),IF($E$26="",9E+99,$E$26)),0),ROUNDUP(MIN(IF($D$26&gt;=1,MIN($D$26,S227),S227*$D$26),IF($E$26="",9E+99,$E$26)),0))))</f>
        <v/>
      </c>
      <c r="V227" s="20">
        <f>IF(S227="","",IF(OR($D$27="",S227&lt;N($C$27)),0,IF(B227="G마켓",ROUNDDOWN(MIN(IF($D$27&gt;=1,MIN($D$27,S227),S227*$D$27),IF($E$27="",9E+99,$E$27)),0),ROUNDUP(MIN(IF($D$27&gt;=1,MIN($D$27,S227),S227*$D$27),IF($E$27="",9E+99,$E$27)),0))))</f>
        <v/>
      </c>
      <c r="W227" s="19">
        <f>IF(G227="","",MAX(T227:V227))</f>
        <v/>
      </c>
      <c r="X227" s="21">
        <f>IF(G227="","",S227-W227)</f>
        <v/>
      </c>
      <c r="Y227" s="19">
        <f>IF(G227="","",IF(B227="G마켓",ROUNDDOWN(MAX(I227*N($G$10),J227*N($G$11),K227*N($G$12),L227*N($G$13),M227*N($G$14))+MAX(O227*N($G$18),P227*N($G$19),Q227*N($G$20),R227*N($G$21))+MAX(T227*N($G$25),U227*N($G$26),V227*N($G$27)),0),ROUNDUP(MAX(I227*N($G$10),J227*N($G$11),K227*N($G$12),L227*N($G$13),M227*N($G$14))+MAX(O227*N($G$18),P227*N($G$19),Q227*N($G$20),R227*N($G$21))+MAX(T227*N($G$25),U227*N($G$26),V227*N($G$27)),0)))</f>
        <v/>
      </c>
      <c r="Z227" s="21">
        <f>IF(G227="","",IF(B227="G마켓",ROUNDDOWN(G227-G227*$Q$6-Y227,0),ROUNDUP(G227-G227*$Q$6-Y227,0)))</f>
        <v/>
      </c>
    </row>
    <row r="228">
      <c r="B228" s="7" t="n"/>
      <c r="C228" s="7" t="n"/>
      <c r="D228" s="22" t="n"/>
      <c r="E228" s="23" t="n"/>
      <c r="F228" s="23" t="n"/>
      <c r="G228" s="19">
        <f>IF(E228="","",E228-N(F228))</f>
        <v/>
      </c>
      <c r="I228" s="20">
        <f>IF(G228="","",IF(OR($D$10="",$H$10="X",G228&lt;N($C$10)),0,IF(B228="G마켓",ROUNDDOWN(MIN(IF($D$10&gt;=1,MIN($D$10,G228),G228*$D$10),IF($E$10="",9E+99,$E$10)),0),ROUNDUP(MIN(IF($D$10&gt;=1,MIN($D$10,G228),G228*$D$10),IF($E$10="",9E+99,$E$10)),0))))</f>
        <v/>
      </c>
      <c r="J228" s="20">
        <f>IF(G228="","",IF(OR($D$11="",$H$11="X",G228&lt;N($C$11)),0,IF(B228="G마켓",ROUNDDOWN(MIN(IF($D$11&gt;=1,MIN($D$11,G228),G228*$D$11),IF($E$11="",9E+99,$E$11)),0),ROUNDUP(MIN(IF($D$11&gt;=1,MIN($D$11,G228),G228*$D$11),IF($E$11="",9E+99,$E$11)),0))))</f>
        <v/>
      </c>
      <c r="K228" s="20">
        <f>IF(G228="","",IF(OR($D$12="",$H$12="X",G228&lt;N($C$12)),0,IF(B228="G마켓",ROUNDDOWN(MIN(IF($D$12&gt;=1,MIN($D$12,G228),G228*$D$12),IF($E$12="",9E+99,$E$12)),0),ROUNDUP(MIN(IF($D$12&gt;=1,MIN($D$12,G228),G228*$D$12),IF($E$12="",9E+99,$E$12)),0))))</f>
        <v/>
      </c>
      <c r="L228" s="20">
        <f>IF(G228="","",IF(OR($D$13="",$H$13="X",G228&lt;N($C$13)),0,IF(B228="G마켓",ROUNDDOWN(MIN(IF($D$13&gt;=1,MIN($D$13,G228),G228*$D$13),IF($E$13="",9E+99,$E$13)),0),ROUNDUP(MIN(IF($D$13&gt;=1,MIN($D$13,G228),G228*$D$13),IF($E$13="",9E+99,$E$13)),0))))</f>
        <v/>
      </c>
      <c r="M228" s="20">
        <f>IF(G228="","",IF(OR($D$14="",$H$14="X",G228&lt;N($C$14)),0,IF(B228="G마켓",ROUNDDOWN(MIN(IF($D$14&gt;=1,MIN($D$14,G228),G228*$D$14),IF($E$14="",9E+99,$E$14)),0),ROUNDUP(MIN(IF($D$14&gt;=1,MIN($D$14,G228),G228*$D$14),IF($E$14="",9E+99,$E$14)),0))))</f>
        <v/>
      </c>
      <c r="N228" s="19">
        <f>IF(G228="","",G228-MAX(I228:M228))</f>
        <v/>
      </c>
      <c r="O228" s="20">
        <f>IF(N228="","",IF(OR($D$18="",$H$18="X",N228&lt;N($C$18)),0,IF(B228="G마켓",ROUNDDOWN(MIN(IF($D$18&gt;=1,MIN($D$18,N228),N228*$D$18),IF($E$18="",9E+99,$E$18)),0),ROUNDUP(MIN(IF($D$18&gt;=1,MIN($D$18,N228),N228*$D$18),IF($E$18="",9E+99,$E$18)),0))))</f>
        <v/>
      </c>
      <c r="P228" s="20">
        <f>IF(N228="","",IF(OR($D$19="",$H$19="X",N228&lt;N($C$19)),0,IF(B228="G마켓",ROUNDDOWN(MIN(IF($D$19&gt;=1,MIN($D$19,N228),N228*$D$19),IF($E$19="",9E+99,$E$19)),0),ROUNDUP(MIN(IF($D$19&gt;=1,MIN($D$19,N228),N228*$D$19),IF($E$19="",9E+99,$E$19)),0))))</f>
        <v/>
      </c>
      <c r="Q228" s="20">
        <f>IF(N228="","",IF(OR($D$20="",$H$20="X",N228&lt;N($C$20)),0,IF(B228="G마켓",ROUNDDOWN(MIN(IF($D$20&gt;=1,MIN($D$20,N228),N228*$D$20),IF($E$20="",9E+99,$E$20)),0),ROUNDUP(MIN(IF($D$20&gt;=1,MIN($D$20,N228),N228*$D$20),IF($E$20="",9E+99,$E$20)),0))))</f>
        <v/>
      </c>
      <c r="R228" s="20">
        <f>IF(N228="","",IF(OR($D$21="",$H$21="X",N228&lt;N($C$21)),0,IF(B228="G마켓",ROUNDDOWN(MIN(IF($D$21&gt;=1,MIN($D$21,N228),N228*$D$21),IF($E$21="",9E+99,$E$21)),0),ROUNDUP(MIN(IF($D$21&gt;=1,MIN($D$21,N228),N228*$D$21),IF($E$21="",9E+99,$E$21)),0))))</f>
        <v/>
      </c>
      <c r="S228" s="19">
        <f>IF(G228="","",N228-MAX(O228:R228))</f>
        <v/>
      </c>
      <c r="T228" s="20">
        <f>IF(S228="","",IF(OR($D$25="",S228&lt;N($C$25)),0,IF(B228="G마켓",ROUNDDOWN(MIN(IF($D$25&gt;=1,MIN($D$25,S228),S228*$D$25),IF($E$25="",9E+99,$E$25)),0),ROUNDUP(MIN(IF($D$25&gt;=1,MIN($D$25,S228),S228*$D$25),IF($E$25="",9E+99,$E$25)),0))))</f>
        <v/>
      </c>
      <c r="U228" s="20">
        <f>IF(S228="","",IF(OR($D$26="",S228&lt;N($C$26)),0,IF(B228="G마켓",ROUNDDOWN(MIN(IF($D$26&gt;=1,MIN($D$26,S228),S228*$D$26),IF($E$26="",9E+99,$E$26)),0),ROUNDUP(MIN(IF($D$26&gt;=1,MIN($D$26,S228),S228*$D$26),IF($E$26="",9E+99,$E$26)),0))))</f>
        <v/>
      </c>
      <c r="V228" s="20">
        <f>IF(S228="","",IF(OR($D$27="",S228&lt;N($C$27)),0,IF(B228="G마켓",ROUNDDOWN(MIN(IF($D$27&gt;=1,MIN($D$27,S228),S228*$D$27),IF($E$27="",9E+99,$E$27)),0),ROUNDUP(MIN(IF($D$27&gt;=1,MIN($D$27,S228),S228*$D$27),IF($E$27="",9E+99,$E$27)),0))))</f>
        <v/>
      </c>
      <c r="W228" s="19">
        <f>IF(G228="","",MAX(T228:V228))</f>
        <v/>
      </c>
      <c r="X228" s="21">
        <f>IF(G228="","",S228-W228)</f>
        <v/>
      </c>
      <c r="Y228" s="19">
        <f>IF(G228="","",IF(B228="G마켓",ROUNDDOWN(MAX(I228*N($G$10),J228*N($G$11),K228*N($G$12),L228*N($G$13),M228*N($G$14))+MAX(O228*N($G$18),P228*N($G$19),Q228*N($G$20),R228*N($G$21))+MAX(T228*N($G$25),U228*N($G$26),V228*N($G$27)),0),ROUNDUP(MAX(I228*N($G$10),J228*N($G$11),K228*N($G$12),L228*N($G$13),M228*N($G$14))+MAX(O228*N($G$18),P228*N($G$19),Q228*N($G$20),R228*N($G$21))+MAX(T228*N($G$25),U228*N($G$26),V228*N($G$27)),0)))</f>
        <v/>
      </c>
      <c r="Z228" s="21">
        <f>IF(G228="","",IF(B228="G마켓",ROUNDDOWN(G228-G228*$Q$6-Y228,0),ROUNDUP(G228-G228*$Q$6-Y228,0)))</f>
        <v/>
      </c>
    </row>
    <row r="229">
      <c r="B229" s="7" t="n"/>
      <c r="C229" s="7" t="n"/>
      <c r="D229" s="22" t="n"/>
      <c r="E229" s="23" t="n"/>
      <c r="F229" s="23" t="n"/>
      <c r="G229" s="19">
        <f>IF(E229="","",E229-N(F229))</f>
        <v/>
      </c>
      <c r="I229" s="20">
        <f>IF(G229="","",IF(OR($D$10="",$H$10="X",G229&lt;N($C$10)),0,IF(B229="G마켓",ROUNDDOWN(MIN(IF($D$10&gt;=1,MIN($D$10,G229),G229*$D$10),IF($E$10="",9E+99,$E$10)),0),ROUNDUP(MIN(IF($D$10&gt;=1,MIN($D$10,G229),G229*$D$10),IF($E$10="",9E+99,$E$10)),0))))</f>
        <v/>
      </c>
      <c r="J229" s="20">
        <f>IF(G229="","",IF(OR($D$11="",$H$11="X",G229&lt;N($C$11)),0,IF(B229="G마켓",ROUNDDOWN(MIN(IF($D$11&gt;=1,MIN($D$11,G229),G229*$D$11),IF($E$11="",9E+99,$E$11)),0),ROUNDUP(MIN(IF($D$11&gt;=1,MIN($D$11,G229),G229*$D$11),IF($E$11="",9E+99,$E$11)),0))))</f>
        <v/>
      </c>
      <c r="K229" s="20">
        <f>IF(G229="","",IF(OR($D$12="",$H$12="X",G229&lt;N($C$12)),0,IF(B229="G마켓",ROUNDDOWN(MIN(IF($D$12&gt;=1,MIN($D$12,G229),G229*$D$12),IF($E$12="",9E+99,$E$12)),0),ROUNDUP(MIN(IF($D$12&gt;=1,MIN($D$12,G229),G229*$D$12),IF($E$12="",9E+99,$E$12)),0))))</f>
        <v/>
      </c>
      <c r="L229" s="20">
        <f>IF(G229="","",IF(OR($D$13="",$H$13="X",G229&lt;N($C$13)),0,IF(B229="G마켓",ROUNDDOWN(MIN(IF($D$13&gt;=1,MIN($D$13,G229),G229*$D$13),IF($E$13="",9E+99,$E$13)),0),ROUNDUP(MIN(IF($D$13&gt;=1,MIN($D$13,G229),G229*$D$13),IF($E$13="",9E+99,$E$13)),0))))</f>
        <v/>
      </c>
      <c r="M229" s="20">
        <f>IF(G229="","",IF(OR($D$14="",$H$14="X",G229&lt;N($C$14)),0,IF(B229="G마켓",ROUNDDOWN(MIN(IF($D$14&gt;=1,MIN($D$14,G229),G229*$D$14),IF($E$14="",9E+99,$E$14)),0),ROUNDUP(MIN(IF($D$14&gt;=1,MIN($D$14,G229),G229*$D$14),IF($E$14="",9E+99,$E$14)),0))))</f>
        <v/>
      </c>
      <c r="N229" s="19">
        <f>IF(G229="","",G229-MAX(I229:M229))</f>
        <v/>
      </c>
      <c r="O229" s="20">
        <f>IF(N229="","",IF(OR($D$18="",$H$18="X",N229&lt;N($C$18)),0,IF(B229="G마켓",ROUNDDOWN(MIN(IF($D$18&gt;=1,MIN($D$18,N229),N229*$D$18),IF($E$18="",9E+99,$E$18)),0),ROUNDUP(MIN(IF($D$18&gt;=1,MIN($D$18,N229),N229*$D$18),IF($E$18="",9E+99,$E$18)),0))))</f>
        <v/>
      </c>
      <c r="P229" s="20">
        <f>IF(N229="","",IF(OR($D$19="",$H$19="X",N229&lt;N($C$19)),0,IF(B229="G마켓",ROUNDDOWN(MIN(IF($D$19&gt;=1,MIN($D$19,N229),N229*$D$19),IF($E$19="",9E+99,$E$19)),0),ROUNDUP(MIN(IF($D$19&gt;=1,MIN($D$19,N229),N229*$D$19),IF($E$19="",9E+99,$E$19)),0))))</f>
        <v/>
      </c>
      <c r="Q229" s="20">
        <f>IF(N229="","",IF(OR($D$20="",$H$20="X",N229&lt;N($C$20)),0,IF(B229="G마켓",ROUNDDOWN(MIN(IF($D$20&gt;=1,MIN($D$20,N229),N229*$D$20),IF($E$20="",9E+99,$E$20)),0),ROUNDUP(MIN(IF($D$20&gt;=1,MIN($D$20,N229),N229*$D$20),IF($E$20="",9E+99,$E$20)),0))))</f>
        <v/>
      </c>
      <c r="R229" s="20">
        <f>IF(N229="","",IF(OR($D$21="",$H$21="X",N229&lt;N($C$21)),0,IF(B229="G마켓",ROUNDDOWN(MIN(IF($D$21&gt;=1,MIN($D$21,N229),N229*$D$21),IF($E$21="",9E+99,$E$21)),0),ROUNDUP(MIN(IF($D$21&gt;=1,MIN($D$21,N229),N229*$D$21),IF($E$21="",9E+99,$E$21)),0))))</f>
        <v/>
      </c>
      <c r="S229" s="19">
        <f>IF(G229="","",N229-MAX(O229:R229))</f>
        <v/>
      </c>
      <c r="T229" s="20">
        <f>IF(S229="","",IF(OR($D$25="",S229&lt;N($C$25)),0,IF(B229="G마켓",ROUNDDOWN(MIN(IF($D$25&gt;=1,MIN($D$25,S229),S229*$D$25),IF($E$25="",9E+99,$E$25)),0),ROUNDUP(MIN(IF($D$25&gt;=1,MIN($D$25,S229),S229*$D$25),IF($E$25="",9E+99,$E$25)),0))))</f>
        <v/>
      </c>
      <c r="U229" s="20">
        <f>IF(S229="","",IF(OR($D$26="",S229&lt;N($C$26)),0,IF(B229="G마켓",ROUNDDOWN(MIN(IF($D$26&gt;=1,MIN($D$26,S229),S229*$D$26),IF($E$26="",9E+99,$E$26)),0),ROUNDUP(MIN(IF($D$26&gt;=1,MIN($D$26,S229),S229*$D$26),IF($E$26="",9E+99,$E$26)),0))))</f>
        <v/>
      </c>
      <c r="V229" s="20">
        <f>IF(S229="","",IF(OR($D$27="",S229&lt;N($C$27)),0,IF(B229="G마켓",ROUNDDOWN(MIN(IF($D$27&gt;=1,MIN($D$27,S229),S229*$D$27),IF($E$27="",9E+99,$E$27)),0),ROUNDUP(MIN(IF($D$27&gt;=1,MIN($D$27,S229),S229*$D$27),IF($E$27="",9E+99,$E$27)),0))))</f>
        <v/>
      </c>
      <c r="W229" s="19">
        <f>IF(G229="","",MAX(T229:V229))</f>
        <v/>
      </c>
      <c r="X229" s="21">
        <f>IF(G229="","",S229-W229)</f>
        <v/>
      </c>
      <c r="Y229" s="19">
        <f>IF(G229="","",IF(B229="G마켓",ROUNDDOWN(MAX(I229*N($G$10),J229*N($G$11),K229*N($G$12),L229*N($G$13),M229*N($G$14))+MAX(O229*N($G$18),P229*N($G$19),Q229*N($G$20),R229*N($G$21))+MAX(T229*N($G$25),U229*N($G$26),V229*N($G$27)),0),ROUNDUP(MAX(I229*N($G$10),J229*N($G$11),K229*N($G$12),L229*N($G$13),M229*N($G$14))+MAX(O229*N($G$18),P229*N($G$19),Q229*N($G$20),R229*N($G$21))+MAX(T229*N($G$25),U229*N($G$26),V229*N($G$27)),0)))</f>
        <v/>
      </c>
      <c r="Z229" s="21">
        <f>IF(G229="","",IF(B229="G마켓",ROUNDDOWN(G229-G229*$Q$6-Y229,0),ROUNDUP(G229-G229*$Q$6-Y229,0)))</f>
        <v/>
      </c>
    </row>
    <row r="230">
      <c r="B230" s="7" t="n"/>
      <c r="C230" s="7" t="n"/>
      <c r="D230" s="22" t="n"/>
      <c r="E230" s="23" t="n"/>
      <c r="F230" s="23" t="n"/>
      <c r="G230" s="19">
        <f>IF(E230="","",E230-N(F230))</f>
        <v/>
      </c>
      <c r="I230" s="20">
        <f>IF(G230="","",IF(OR($D$10="",$H$10="X",G230&lt;N($C$10)),0,IF(B230="G마켓",ROUNDDOWN(MIN(IF($D$10&gt;=1,MIN($D$10,G230),G230*$D$10),IF($E$10="",9E+99,$E$10)),0),ROUNDUP(MIN(IF($D$10&gt;=1,MIN($D$10,G230),G230*$D$10),IF($E$10="",9E+99,$E$10)),0))))</f>
        <v/>
      </c>
      <c r="J230" s="20">
        <f>IF(G230="","",IF(OR($D$11="",$H$11="X",G230&lt;N($C$11)),0,IF(B230="G마켓",ROUNDDOWN(MIN(IF($D$11&gt;=1,MIN($D$11,G230),G230*$D$11),IF($E$11="",9E+99,$E$11)),0),ROUNDUP(MIN(IF($D$11&gt;=1,MIN($D$11,G230),G230*$D$11),IF($E$11="",9E+99,$E$11)),0))))</f>
        <v/>
      </c>
      <c r="K230" s="20">
        <f>IF(G230="","",IF(OR($D$12="",$H$12="X",G230&lt;N($C$12)),0,IF(B230="G마켓",ROUNDDOWN(MIN(IF($D$12&gt;=1,MIN($D$12,G230),G230*$D$12),IF($E$12="",9E+99,$E$12)),0),ROUNDUP(MIN(IF($D$12&gt;=1,MIN($D$12,G230),G230*$D$12),IF($E$12="",9E+99,$E$12)),0))))</f>
        <v/>
      </c>
      <c r="L230" s="20">
        <f>IF(G230="","",IF(OR($D$13="",$H$13="X",G230&lt;N($C$13)),0,IF(B230="G마켓",ROUNDDOWN(MIN(IF($D$13&gt;=1,MIN($D$13,G230),G230*$D$13),IF($E$13="",9E+99,$E$13)),0),ROUNDUP(MIN(IF($D$13&gt;=1,MIN($D$13,G230),G230*$D$13),IF($E$13="",9E+99,$E$13)),0))))</f>
        <v/>
      </c>
      <c r="M230" s="20">
        <f>IF(G230="","",IF(OR($D$14="",$H$14="X",G230&lt;N($C$14)),0,IF(B230="G마켓",ROUNDDOWN(MIN(IF($D$14&gt;=1,MIN($D$14,G230),G230*$D$14),IF($E$14="",9E+99,$E$14)),0),ROUNDUP(MIN(IF($D$14&gt;=1,MIN($D$14,G230),G230*$D$14),IF($E$14="",9E+99,$E$14)),0))))</f>
        <v/>
      </c>
      <c r="N230" s="19">
        <f>IF(G230="","",G230-MAX(I230:M230))</f>
        <v/>
      </c>
      <c r="O230" s="20">
        <f>IF(N230="","",IF(OR($D$18="",$H$18="X",N230&lt;N($C$18)),0,IF(B230="G마켓",ROUNDDOWN(MIN(IF($D$18&gt;=1,MIN($D$18,N230),N230*$D$18),IF($E$18="",9E+99,$E$18)),0),ROUNDUP(MIN(IF($D$18&gt;=1,MIN($D$18,N230),N230*$D$18),IF($E$18="",9E+99,$E$18)),0))))</f>
        <v/>
      </c>
      <c r="P230" s="20">
        <f>IF(N230="","",IF(OR($D$19="",$H$19="X",N230&lt;N($C$19)),0,IF(B230="G마켓",ROUNDDOWN(MIN(IF($D$19&gt;=1,MIN($D$19,N230),N230*$D$19),IF($E$19="",9E+99,$E$19)),0),ROUNDUP(MIN(IF($D$19&gt;=1,MIN($D$19,N230),N230*$D$19),IF($E$19="",9E+99,$E$19)),0))))</f>
        <v/>
      </c>
      <c r="Q230" s="20">
        <f>IF(N230="","",IF(OR($D$20="",$H$20="X",N230&lt;N($C$20)),0,IF(B230="G마켓",ROUNDDOWN(MIN(IF($D$20&gt;=1,MIN($D$20,N230),N230*$D$20),IF($E$20="",9E+99,$E$20)),0),ROUNDUP(MIN(IF($D$20&gt;=1,MIN($D$20,N230),N230*$D$20),IF($E$20="",9E+99,$E$20)),0))))</f>
        <v/>
      </c>
      <c r="R230" s="20">
        <f>IF(N230="","",IF(OR($D$21="",$H$21="X",N230&lt;N($C$21)),0,IF(B230="G마켓",ROUNDDOWN(MIN(IF($D$21&gt;=1,MIN($D$21,N230),N230*$D$21),IF($E$21="",9E+99,$E$21)),0),ROUNDUP(MIN(IF($D$21&gt;=1,MIN($D$21,N230),N230*$D$21),IF($E$21="",9E+99,$E$21)),0))))</f>
        <v/>
      </c>
      <c r="S230" s="19">
        <f>IF(G230="","",N230-MAX(O230:R230))</f>
        <v/>
      </c>
      <c r="T230" s="20">
        <f>IF(S230="","",IF(OR($D$25="",S230&lt;N($C$25)),0,IF(B230="G마켓",ROUNDDOWN(MIN(IF($D$25&gt;=1,MIN($D$25,S230),S230*$D$25),IF($E$25="",9E+99,$E$25)),0),ROUNDUP(MIN(IF($D$25&gt;=1,MIN($D$25,S230),S230*$D$25),IF($E$25="",9E+99,$E$25)),0))))</f>
        <v/>
      </c>
      <c r="U230" s="20">
        <f>IF(S230="","",IF(OR($D$26="",S230&lt;N($C$26)),0,IF(B230="G마켓",ROUNDDOWN(MIN(IF($D$26&gt;=1,MIN($D$26,S230),S230*$D$26),IF($E$26="",9E+99,$E$26)),0),ROUNDUP(MIN(IF($D$26&gt;=1,MIN($D$26,S230),S230*$D$26),IF($E$26="",9E+99,$E$26)),0))))</f>
        <v/>
      </c>
      <c r="V230" s="20">
        <f>IF(S230="","",IF(OR($D$27="",S230&lt;N($C$27)),0,IF(B230="G마켓",ROUNDDOWN(MIN(IF($D$27&gt;=1,MIN($D$27,S230),S230*$D$27),IF($E$27="",9E+99,$E$27)),0),ROUNDUP(MIN(IF($D$27&gt;=1,MIN($D$27,S230),S230*$D$27),IF($E$27="",9E+99,$E$27)),0))))</f>
        <v/>
      </c>
      <c r="W230" s="19">
        <f>IF(G230="","",MAX(T230:V230))</f>
        <v/>
      </c>
      <c r="X230" s="21">
        <f>IF(G230="","",S230-W230)</f>
        <v/>
      </c>
      <c r="Y230" s="19">
        <f>IF(G230="","",IF(B230="G마켓",ROUNDDOWN(MAX(I230*N($G$10),J230*N($G$11),K230*N($G$12),L230*N($G$13),M230*N($G$14))+MAX(O230*N($G$18),P230*N($G$19),Q230*N($G$20),R230*N($G$21))+MAX(T230*N($G$25),U230*N($G$26),V230*N($G$27)),0),ROUNDUP(MAX(I230*N($G$10),J230*N($G$11),K230*N($G$12),L230*N($G$13),M230*N($G$14))+MAX(O230*N($G$18),P230*N($G$19),Q230*N($G$20),R230*N($G$21))+MAX(T230*N($G$25),U230*N($G$26),V230*N($G$27)),0)))</f>
        <v/>
      </c>
      <c r="Z230" s="21">
        <f>IF(G230="","",IF(B230="G마켓",ROUNDDOWN(G230-G230*$Q$6-Y230,0),ROUNDUP(G230-G230*$Q$6-Y230,0)))</f>
        <v/>
      </c>
    </row>
  </sheetData>
  <mergeCells count="32">
    <mergeCell ref="B4:O4"/>
    <mergeCell ref="Q5:S5"/>
    <mergeCell ref="I25:Z25"/>
    <mergeCell ref="O6:P6"/>
    <mergeCell ref="T29:X29"/>
    <mergeCell ref="E5:F5"/>
    <mergeCell ref="I18:Z18"/>
    <mergeCell ref="Q6:S6"/>
    <mergeCell ref="I12:Z12"/>
    <mergeCell ref="K6:N6"/>
    <mergeCell ref="I21:Z21"/>
    <mergeCell ref="O5:P5"/>
    <mergeCell ref="I24:Z24"/>
    <mergeCell ref="O29:S29"/>
    <mergeCell ref="Y29:Z29"/>
    <mergeCell ref="I14:Z14"/>
    <mergeCell ref="I17:Z17"/>
    <mergeCell ref="K5:N5"/>
    <mergeCell ref="I29:N29"/>
    <mergeCell ref="E6:F6"/>
    <mergeCell ref="I20:Z20"/>
    <mergeCell ref="I19:Z19"/>
    <mergeCell ref="I10:Z10"/>
    <mergeCell ref="I13:Z13"/>
    <mergeCell ref="I9:Z9"/>
    <mergeCell ref="G6:J6"/>
    <mergeCell ref="B6:C6"/>
    <mergeCell ref="B5:C5"/>
    <mergeCell ref="I11:Z11"/>
    <mergeCell ref="I27:Z27"/>
    <mergeCell ref="I26:Z26"/>
    <mergeCell ref="G5:J5"/>
  </mergeCells>
  <dataValidations count="2">
    <dataValidation sqref="H10 H11 H12 H13 H14 H18 H19 H20 H21" showDropDown="0" showInputMessage="0" showErrorMessage="0" allowBlank="1" type="list">
      <formula1>"O,X"</formula1>
    </dataValidation>
    <dataValidation sqref="B31:B230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2026-10-07T07:22:52Z</dcterms:created>
  <dcterms:modified xmlns:dcterms="http://purl.org/dc/terms/" xmlns:xsi="http://www.w3.org/2001/XMLSchema-instance" xsi:type="dcterms:W3CDTF">2026-10-21T00:55:38Z</dcterms:modified>
</cp:coreProperties>
</file>